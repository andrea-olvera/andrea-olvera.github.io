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defaultThemeVersion="202300"/>
  <mc:AlternateContent xmlns:mc="http://schemas.openxmlformats.org/markup-compatibility/2006">
    <mc:Choice Requires="x15">
      <x15ac:absPath xmlns:x15ac="http://schemas.microsoft.com/office/spreadsheetml/2010/11/ac" url="https://olucdenver-my.sharepoint.com/personal/andrea_2_olvera_ucdenver_edu/Documents/"/>
    </mc:Choice>
  </mc:AlternateContent>
  <xr:revisionPtr revIDLastSave="817" documentId="8_{877BD943-533E-9040-85B0-69AA5D6CD04C}" xr6:coauthVersionLast="47" xr6:coauthVersionMax="47" xr10:uidLastSave="{1F41D150-6D61-5647-81C7-91A7BBFDAE92}"/>
  <bookViews>
    <workbookView xWindow="520" yWindow="1300" windowWidth="34200" windowHeight="19040" xr2:uid="{72BF7D95-A7B6-2744-BA73-286AA2B05946}"/>
  </bookViews>
  <sheets>
    <sheet name="Company_Info" sheetId="11" r:id="rId1"/>
    <sheet name="Portfolio_NVDA_JPM" sheetId="12" r:id="rId2"/>
    <sheet name="NVDA_EMA" sheetId="6" r:id="rId3"/>
    <sheet name="NVDA_GoldenC" sheetId="10" r:id="rId4"/>
    <sheet name="Sheet4" sheetId="15" r:id="rId5"/>
  </sheets>
  <externalReferences>
    <externalReference r:id="rId6"/>
  </externalReferences>
  <definedNames>
    <definedName name="msg.Eng">[1]RES!$B$59</definedName>
    <definedName name="msg.Stat">[1]RES!$B$63</definedName>
    <definedName name="theCell">[1]RES!#REF!</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N10" i="12" l="1"/>
  <c r="N9" i="12"/>
  <c r="N8" i="12"/>
  <c r="N3" i="12"/>
  <c r="N4" i="12"/>
  <c r="N5" i="12"/>
  <c r="F3" i="12"/>
  <c r="F4" i="12"/>
  <c r="F5" i="12"/>
  <c r="F6" i="12"/>
  <c r="F7" i="12"/>
  <c r="F8" i="12"/>
  <c r="F9" i="12"/>
  <c r="F10" i="12"/>
  <c r="F11" i="12"/>
  <c r="F12" i="12"/>
  <c r="F13" i="12"/>
  <c r="F14" i="12"/>
  <c r="F15" i="12"/>
  <c r="F16" i="12"/>
  <c r="F17" i="12"/>
  <c r="F18" i="12"/>
  <c r="F19" i="12"/>
  <c r="F20" i="12"/>
  <c r="F21" i="12"/>
  <c r="F22" i="12"/>
  <c r="F23" i="12"/>
  <c r="F24" i="12"/>
  <c r="F25" i="12"/>
  <c r="F26" i="12"/>
  <c r="F27" i="12"/>
  <c r="F28" i="12"/>
  <c r="F29" i="12"/>
  <c r="F30" i="12"/>
  <c r="F31" i="12"/>
  <c r="F32" i="12"/>
  <c r="F33" i="12"/>
  <c r="F34" i="12"/>
  <c r="F35" i="12"/>
  <c r="F36" i="12"/>
  <c r="F37" i="12"/>
  <c r="F38" i="12"/>
  <c r="F39" i="12"/>
  <c r="F40" i="12"/>
  <c r="F41" i="12"/>
  <c r="F42" i="12"/>
  <c r="F43" i="12"/>
  <c r="F44" i="12"/>
  <c r="F45" i="12"/>
  <c r="F46" i="12"/>
  <c r="F47" i="12"/>
  <c r="F48" i="12"/>
  <c r="F49" i="12"/>
  <c r="F50" i="12"/>
  <c r="F51" i="12"/>
  <c r="F52" i="12"/>
  <c r="F53" i="12"/>
  <c r="F54" i="12"/>
  <c r="F55" i="12"/>
  <c r="F56" i="12"/>
  <c r="F57" i="12"/>
  <c r="F58" i="12"/>
  <c r="F59" i="12"/>
  <c r="F60" i="12"/>
  <c r="F61" i="12"/>
  <c r="E3" i="12"/>
  <c r="E4" i="12"/>
  <c r="E5" i="12"/>
  <c r="E6" i="12"/>
  <c r="E7" i="12"/>
  <c r="E8" i="12"/>
  <c r="E9" i="12"/>
  <c r="E10" i="12"/>
  <c r="E11" i="12"/>
  <c r="E12" i="12"/>
  <c r="E13" i="12"/>
  <c r="E14" i="12"/>
  <c r="E15" i="12"/>
  <c r="E16" i="12"/>
  <c r="E17" i="12"/>
  <c r="E18" i="12"/>
  <c r="E19" i="12"/>
  <c r="E20" i="12"/>
  <c r="E21" i="12"/>
  <c r="E22" i="12"/>
  <c r="E23" i="12"/>
  <c r="E24" i="12"/>
  <c r="E25" i="12"/>
  <c r="E26" i="12"/>
  <c r="E27" i="12"/>
  <c r="E28" i="12"/>
  <c r="E29" i="12"/>
  <c r="E30" i="12"/>
  <c r="E31" i="12"/>
  <c r="E32" i="12"/>
  <c r="E33" i="12"/>
  <c r="E34" i="12"/>
  <c r="E35" i="12"/>
  <c r="E36" i="12"/>
  <c r="E37" i="12"/>
  <c r="E38" i="12"/>
  <c r="E39" i="12"/>
  <c r="E40" i="12"/>
  <c r="E41" i="12"/>
  <c r="E42" i="12"/>
  <c r="E43" i="12"/>
  <c r="E44" i="12"/>
  <c r="E45" i="12"/>
  <c r="E46" i="12"/>
  <c r="E47" i="12"/>
  <c r="E48" i="12"/>
  <c r="E49" i="12"/>
  <c r="E50" i="12"/>
  <c r="E51" i="12"/>
  <c r="E52" i="12"/>
  <c r="E53" i="12"/>
  <c r="E54" i="12"/>
  <c r="E55" i="12"/>
  <c r="E56" i="12"/>
  <c r="E57" i="12"/>
  <c r="E58" i="12"/>
  <c r="E59" i="12"/>
  <c r="E60" i="12"/>
  <c r="E61" i="12"/>
  <c r="F2" i="12"/>
  <c r="E2" i="12"/>
  <c r="H3" i="6"/>
  <c r="E3" i="6"/>
  <c r="D30" i="11" a="1"/>
  <c r="D30" i="11" s="1"/>
  <c r="D3" i="11" a="1"/>
  <c r="D3" i="11" s="1"/>
  <c r="C30" i="11" a="1"/>
  <c r="C30" i="11" s="1"/>
  <c r="C3" i="11" a="1"/>
  <c r="C3" i="11" s="1"/>
  <c r="B30" i="11" a="1"/>
  <c r="B30" i="11" s="1"/>
  <c r="B3" i="11" a="1"/>
  <c r="B3" i="11" s="1"/>
  <c r="L3" i="6"/>
  <c r="L4" i="6"/>
  <c r="I30" i="6"/>
  <c r="I31" i="6"/>
  <c r="I32" i="6"/>
  <c r="I33" i="6"/>
  <c r="I34" i="6"/>
  <c r="I35" i="6" s="1"/>
  <c r="I36" i="6" s="1"/>
  <c r="I37" i="6" s="1"/>
  <c r="I38" i="6" s="1"/>
  <c r="I39" i="6" s="1"/>
  <c r="I40" i="6" s="1"/>
  <c r="I41" i="6" s="1"/>
  <c r="I42" i="6" s="1"/>
  <c r="I43" i="6" s="1"/>
  <c r="I44" i="6" s="1"/>
  <c r="I45" i="6" s="1"/>
  <c r="I46" i="6" s="1"/>
  <c r="I47" i="6" s="1"/>
  <c r="I48" i="6" s="1"/>
  <c r="I49" i="6" s="1"/>
  <c r="I50" i="6" s="1"/>
  <c r="I51" i="6" s="1"/>
  <c r="I52" i="6" s="1"/>
  <c r="I53" i="6" s="1"/>
  <c r="I54" i="6" s="1"/>
  <c r="I55" i="6" s="1"/>
  <c r="I56" i="6" s="1"/>
  <c r="I57" i="6" s="1"/>
  <c r="I58" i="6" s="1"/>
  <c r="I59" i="6" s="1"/>
  <c r="I60" i="6" s="1"/>
  <c r="I61" i="6" s="1"/>
  <c r="I62" i="6" s="1"/>
  <c r="I63" i="6" s="1"/>
  <c r="I64" i="6" s="1"/>
  <c r="I65" i="6" s="1"/>
  <c r="I66" i="6" s="1"/>
  <c r="I67" i="6" s="1"/>
  <c r="I68" i="6" s="1"/>
  <c r="I69" i="6"/>
  <c r="I70" i="6" s="1"/>
  <c r="I71" i="6" s="1"/>
  <c r="I72" i="6" s="1"/>
  <c r="I73" i="6" s="1"/>
  <c r="I74" i="6" s="1"/>
  <c r="I75" i="6" s="1"/>
  <c r="I76" i="6" s="1"/>
  <c r="I77" i="6" s="1"/>
  <c r="I78" i="6" s="1"/>
  <c r="I79" i="6" s="1"/>
  <c r="I80" i="6" s="1"/>
  <c r="I81" i="6" s="1"/>
  <c r="I82" i="6" s="1"/>
  <c r="I83" i="6" s="1"/>
  <c r="I84" i="6" s="1"/>
  <c r="I85" i="6" s="1"/>
  <c r="I86" i="6" s="1"/>
  <c r="I87" i="6" s="1"/>
  <c r="I88" i="6" s="1"/>
  <c r="I89" i="6" s="1"/>
  <c r="I90" i="6" s="1"/>
  <c r="I91" i="6" s="1"/>
  <c r="I92" i="6" s="1"/>
  <c r="I93" i="6" s="1"/>
  <c r="I94" i="6" s="1"/>
  <c r="I95" i="6" s="1"/>
  <c r="I96" i="6" s="1"/>
  <c r="I97" i="6" s="1"/>
  <c r="I98" i="6" s="1"/>
  <c r="I99" i="6" s="1"/>
  <c r="I100" i="6" s="1"/>
  <c r="I101" i="6" s="1"/>
  <c r="I102" i="6" s="1"/>
  <c r="I103" i="6" s="1"/>
  <c r="I104" i="6" s="1"/>
  <c r="I105" i="6" s="1"/>
  <c r="I106" i="6" s="1"/>
  <c r="I107" i="6" s="1"/>
  <c r="I108" i="6" s="1"/>
  <c r="I109" i="6" s="1"/>
  <c r="I110" i="6" s="1"/>
  <c r="I111" i="6" s="1"/>
  <c r="I112" i="6" s="1"/>
  <c r="I113" i="6" s="1"/>
  <c r="I114" i="6" s="1"/>
  <c r="I115" i="6" s="1"/>
  <c r="I116" i="6" s="1"/>
  <c r="I117" i="6" s="1"/>
  <c r="I118" i="6" s="1"/>
  <c r="I119" i="6" s="1"/>
  <c r="I120" i="6" s="1"/>
  <c r="I121" i="6" s="1"/>
  <c r="I122" i="6" s="1"/>
  <c r="I123" i="6" s="1"/>
  <c r="I124" i="6" s="1"/>
  <c r="I125" i="6" s="1"/>
  <c r="I126" i="6" s="1"/>
  <c r="I127" i="6" s="1"/>
  <c r="I128" i="6" s="1"/>
  <c r="I129" i="6" s="1"/>
  <c r="I130" i="6" s="1"/>
  <c r="I131" i="6" s="1"/>
  <c r="I132" i="6" s="1"/>
  <c r="I133" i="6" s="1"/>
  <c r="I134" i="6" s="1"/>
  <c r="I135" i="6" s="1"/>
  <c r="I136" i="6" s="1"/>
  <c r="I137" i="6" s="1"/>
  <c r="I138" i="6" s="1"/>
  <c r="I139" i="6" s="1"/>
  <c r="I140" i="6" s="1"/>
  <c r="I141" i="6" s="1"/>
  <c r="I142" i="6" s="1"/>
  <c r="I143" i="6" s="1"/>
  <c r="I144" i="6" s="1"/>
  <c r="I145" i="6" s="1"/>
  <c r="I146" i="6" s="1"/>
  <c r="I147" i="6" s="1"/>
  <c r="I148" i="6" s="1"/>
  <c r="I149" i="6" s="1"/>
  <c r="I150" i="6" s="1"/>
  <c r="I151" i="6" s="1"/>
  <c r="I152" i="6" s="1"/>
  <c r="I153" i="6" s="1"/>
  <c r="I154" i="6" s="1"/>
  <c r="I155" i="6" s="1"/>
  <c r="I156" i="6" s="1"/>
  <c r="I157" i="6" s="1"/>
  <c r="I158" i="6" s="1"/>
  <c r="I159" i="6" s="1"/>
  <c r="I160" i="6" s="1"/>
  <c r="I161" i="6" s="1"/>
  <c r="I162" i="6" s="1"/>
  <c r="I163" i="6" s="1"/>
  <c r="I164" i="6" s="1"/>
  <c r="I165" i="6" s="1"/>
  <c r="I166" i="6" s="1"/>
  <c r="I167" i="6" s="1"/>
  <c r="I168" i="6" s="1"/>
  <c r="I169" i="6" s="1"/>
  <c r="I170" i="6" s="1"/>
  <c r="I171" i="6" s="1"/>
  <c r="I172" i="6" s="1"/>
  <c r="I173" i="6" s="1"/>
  <c r="I174" i="6" s="1"/>
  <c r="I175" i="6" s="1"/>
  <c r="I176" i="6" s="1"/>
  <c r="I177" i="6" s="1"/>
  <c r="I178" i="6" s="1"/>
  <c r="I179" i="6" s="1"/>
  <c r="I180" i="6" s="1"/>
  <c r="I181" i="6" s="1"/>
  <c r="I182" i="6" s="1"/>
  <c r="I183" i="6" s="1"/>
  <c r="I184" i="6" s="1"/>
  <c r="I185" i="6" s="1"/>
  <c r="I186" i="6" s="1"/>
  <c r="I187" i="6" s="1"/>
  <c r="I188" i="6" s="1"/>
  <c r="I189" i="6" s="1"/>
  <c r="I190" i="6" s="1"/>
  <c r="I191" i="6" s="1"/>
  <c r="I192" i="6" s="1"/>
  <c r="I193" i="6" s="1"/>
  <c r="I194" i="6" s="1"/>
  <c r="I195" i="6" s="1"/>
  <c r="I196" i="6" s="1"/>
  <c r="I197" i="6" s="1"/>
  <c r="I198" i="6" s="1"/>
  <c r="I199" i="6" s="1"/>
  <c r="I200" i="6" s="1"/>
  <c r="I201" i="6" s="1"/>
  <c r="I202" i="6" s="1"/>
  <c r="I203" i="6" s="1"/>
  <c r="I204" i="6" s="1"/>
  <c r="I205" i="6" s="1"/>
  <c r="I206" i="6" s="1"/>
  <c r="I207" i="6" s="1"/>
  <c r="I208" i="6" s="1"/>
  <c r="I209" i="6" s="1"/>
  <c r="I210" i="6" s="1"/>
  <c r="I211" i="6" s="1"/>
  <c r="I212" i="6" s="1"/>
  <c r="I213" i="6" s="1"/>
  <c r="I214" i="6" s="1"/>
  <c r="I215" i="6" s="1"/>
  <c r="I216" i="6" s="1"/>
  <c r="I217" i="6" s="1"/>
  <c r="I218" i="6" s="1"/>
  <c r="I219" i="6" s="1"/>
  <c r="I220" i="6" s="1"/>
  <c r="I221" i="6" s="1"/>
  <c r="I222" i="6" s="1"/>
  <c r="I223" i="6" s="1"/>
  <c r="I224" i="6" s="1"/>
  <c r="I225" i="6" s="1"/>
  <c r="I226" i="6" s="1"/>
  <c r="I227" i="6" s="1"/>
  <c r="I228" i="6" s="1"/>
  <c r="I229" i="6" s="1"/>
  <c r="I230" i="6" s="1"/>
  <c r="I231" i="6" s="1"/>
  <c r="I232" i="6" s="1"/>
  <c r="I233" i="6" s="1"/>
  <c r="I234" i="6" s="1"/>
  <c r="I235" i="6" s="1"/>
  <c r="I236" i="6" s="1"/>
  <c r="I237" i="6" s="1"/>
  <c r="I238" i="6" s="1"/>
  <c r="I239" i="6" s="1"/>
  <c r="I240" i="6" s="1"/>
  <c r="I241" i="6" s="1"/>
  <c r="I242" i="6" s="1"/>
  <c r="I243" i="6" s="1"/>
  <c r="I244" i="6" s="1"/>
  <c r="I245" i="6" s="1"/>
  <c r="I246" i="6" s="1"/>
  <c r="I247" i="6" s="1"/>
  <c r="I248" i="6" s="1"/>
  <c r="I249" i="6" s="1"/>
  <c r="I250" i="6" s="1"/>
  <c r="I251" i="6" s="1"/>
  <c r="I252" i="6" s="1"/>
  <c r="I253" i="6" s="1"/>
  <c r="I254" i="6" s="1"/>
  <c r="I255" i="6" s="1"/>
  <c r="I256" i="6" s="1"/>
  <c r="I257" i="6" s="1"/>
  <c r="I258" i="6" s="1"/>
  <c r="I259" i="6" s="1"/>
  <c r="I260" i="6" s="1"/>
  <c r="I261" i="6" s="1"/>
  <c r="I262" i="6" s="1"/>
  <c r="I263" i="6" s="1"/>
  <c r="I264" i="6" s="1"/>
  <c r="I265" i="6" s="1"/>
  <c r="I266" i="6" s="1"/>
  <c r="I267" i="6" s="1"/>
  <c r="I268" i="6" s="1"/>
  <c r="I269" i="6" s="1"/>
  <c r="I270" i="6" s="1"/>
  <c r="I271" i="6" s="1"/>
  <c r="I272" i="6" s="1"/>
  <c r="I273" i="6" s="1"/>
  <c r="I274" i="6" s="1"/>
  <c r="I275" i="6" s="1"/>
  <c r="I276" i="6" s="1"/>
  <c r="I277" i="6" s="1"/>
  <c r="I278" i="6" s="1"/>
  <c r="I279" i="6" s="1"/>
  <c r="I280" i="6" s="1"/>
  <c r="I281" i="6" s="1"/>
  <c r="I282" i="6" s="1"/>
  <c r="I283" i="6" s="1"/>
  <c r="I284" i="6" s="1"/>
  <c r="I285" i="6" s="1"/>
  <c r="I286" i="6" s="1"/>
  <c r="I287" i="6" s="1"/>
  <c r="I288" i="6" s="1"/>
  <c r="I289" i="6" s="1"/>
  <c r="I290" i="6" s="1"/>
  <c r="I291" i="6" s="1"/>
  <c r="I292" i="6" s="1"/>
  <c r="I293" i="6" s="1"/>
  <c r="I294" i="6" s="1"/>
  <c r="I295" i="6" s="1"/>
  <c r="I296" i="6" s="1"/>
  <c r="I297" i="6" s="1"/>
  <c r="I298" i="6" s="1"/>
  <c r="I299" i="6" s="1"/>
  <c r="I300" i="6" s="1"/>
  <c r="I301" i="6" s="1"/>
  <c r="I302" i="6" s="1"/>
  <c r="I303" i="6" s="1"/>
  <c r="I304" i="6" s="1"/>
  <c r="I305" i="6" s="1"/>
  <c r="I306" i="6" s="1"/>
  <c r="I307" i="6" s="1"/>
  <c r="I308" i="6" s="1"/>
  <c r="I309" i="6" s="1"/>
  <c r="I310" i="6" s="1"/>
  <c r="I311" i="6" s="1"/>
  <c r="I312" i="6" s="1"/>
  <c r="I313" i="6" s="1"/>
  <c r="I314" i="6" s="1"/>
  <c r="I315" i="6" s="1"/>
  <c r="I316" i="6" s="1"/>
  <c r="I317" i="6" s="1"/>
  <c r="I318" i="6" s="1"/>
  <c r="I319" i="6" s="1"/>
  <c r="I320" i="6" s="1"/>
  <c r="I321" i="6" s="1"/>
  <c r="I322" i="6" s="1"/>
  <c r="I323" i="6" s="1"/>
  <c r="I324" i="6" s="1"/>
  <c r="I325" i="6" s="1"/>
  <c r="I326" i="6" s="1"/>
  <c r="I327" i="6" s="1"/>
  <c r="I328" i="6" s="1"/>
  <c r="I329" i="6" s="1"/>
  <c r="I330" i="6" s="1"/>
  <c r="I331" i="6" s="1"/>
  <c r="I332" i="6" s="1"/>
  <c r="I333" i="6" s="1"/>
  <c r="I334" i="6" s="1"/>
  <c r="I335" i="6" s="1"/>
  <c r="I336" i="6" s="1"/>
  <c r="I337" i="6" s="1"/>
  <c r="I338" i="6" s="1"/>
  <c r="I339" i="6" s="1"/>
  <c r="I340" i="6" s="1"/>
  <c r="I341" i="6" s="1"/>
  <c r="I342" i="6" s="1"/>
  <c r="I343" i="6" s="1"/>
  <c r="I344" i="6" s="1"/>
  <c r="I345" i="6" s="1"/>
  <c r="I346" i="6" s="1"/>
  <c r="I347" i="6" s="1"/>
  <c r="I348" i="6" s="1"/>
  <c r="I349" i="6" s="1"/>
  <c r="I350" i="6" s="1"/>
  <c r="I351" i="6" s="1"/>
  <c r="I352" i="6" s="1"/>
  <c r="I353" i="6" s="1"/>
  <c r="I354" i="6" s="1"/>
  <c r="I355" i="6" s="1"/>
  <c r="I356" i="6" s="1"/>
  <c r="I357" i="6" s="1"/>
  <c r="I358" i="6" s="1"/>
  <c r="I359" i="6" s="1"/>
  <c r="I360" i="6" s="1"/>
  <c r="I361" i="6" s="1"/>
  <c r="I362" i="6" s="1"/>
  <c r="I363" i="6" s="1"/>
  <c r="I364" i="6" s="1"/>
  <c r="I365" i="6" s="1"/>
  <c r="I366" i="6" s="1"/>
  <c r="I367" i="6" s="1"/>
  <c r="I368" i="6" s="1"/>
  <c r="I369" i="6" s="1"/>
  <c r="I370" i="6" s="1"/>
  <c r="I371" i="6" s="1"/>
  <c r="I372" i="6" s="1"/>
  <c r="I373" i="6" s="1"/>
  <c r="I374" i="6" s="1"/>
  <c r="I375" i="6" s="1"/>
  <c r="I376" i="6" s="1"/>
  <c r="I377" i="6" s="1"/>
  <c r="I378" i="6" s="1"/>
  <c r="I379" i="6" s="1"/>
  <c r="I380" i="6" s="1"/>
  <c r="I381" i="6" s="1"/>
  <c r="I382" i="6" s="1"/>
  <c r="I383" i="6" s="1"/>
  <c r="I384" i="6" s="1"/>
  <c r="I385" i="6" s="1"/>
  <c r="I386" i="6" s="1"/>
  <c r="I387" i="6" s="1"/>
  <c r="I388" i="6" s="1"/>
  <c r="I389" i="6" s="1"/>
  <c r="I390" i="6" s="1"/>
  <c r="I391" i="6" s="1"/>
  <c r="I392" i="6" s="1"/>
  <c r="I393" i="6" s="1"/>
  <c r="I394" i="6" s="1"/>
  <c r="I395" i="6" s="1"/>
  <c r="I396" i="6" s="1"/>
  <c r="I397" i="6" s="1"/>
  <c r="I398" i="6" s="1"/>
  <c r="I399" i="6" s="1"/>
  <c r="I400" i="6" s="1"/>
  <c r="I401" i="6" s="1"/>
  <c r="I402" i="6" s="1"/>
  <c r="I403" i="6" s="1"/>
  <c r="I404" i="6" s="1"/>
  <c r="I405" i="6" s="1"/>
  <c r="I406" i="6" s="1"/>
  <c r="I407" i="6" s="1"/>
  <c r="I408" i="6" s="1"/>
  <c r="I409" i="6" s="1"/>
  <c r="I410" i="6" s="1"/>
  <c r="I411" i="6" s="1"/>
  <c r="I412" i="6" s="1"/>
  <c r="I413" i="6" s="1"/>
  <c r="I414" i="6" s="1"/>
  <c r="I415" i="6" s="1"/>
  <c r="I416" i="6" s="1"/>
  <c r="I417" i="6" s="1"/>
  <c r="I418" i="6" s="1"/>
  <c r="I419" i="6" s="1"/>
  <c r="I420" i="6" s="1"/>
  <c r="I421" i="6" s="1"/>
  <c r="I422" i="6" s="1"/>
  <c r="I423" i="6" s="1"/>
  <c r="I424" i="6" s="1"/>
  <c r="I425" i="6" s="1"/>
  <c r="I426" i="6" s="1"/>
  <c r="I427" i="6" s="1"/>
  <c r="I428" i="6" s="1"/>
  <c r="I429" i="6" s="1"/>
  <c r="I430" i="6" s="1"/>
  <c r="I431" i="6" s="1"/>
  <c r="I432" i="6" s="1"/>
  <c r="I433" i="6" s="1"/>
  <c r="I434" i="6" s="1"/>
  <c r="I435" i="6" s="1"/>
  <c r="I436" i="6" s="1"/>
  <c r="I437" i="6" s="1"/>
  <c r="I438" i="6" s="1"/>
  <c r="I439" i="6" s="1"/>
  <c r="I440" i="6" s="1"/>
  <c r="I441" i="6" s="1"/>
  <c r="I442" i="6" s="1"/>
  <c r="I443" i="6" s="1"/>
  <c r="I444" i="6" s="1"/>
  <c r="I445" i="6" s="1"/>
  <c r="I446" i="6" s="1"/>
  <c r="I447" i="6" s="1"/>
  <c r="I448" i="6" s="1"/>
  <c r="I449" i="6" s="1"/>
  <c r="I450" i="6" s="1"/>
  <c r="I451" i="6" s="1"/>
  <c r="I452" i="6" s="1"/>
  <c r="I453" i="6" s="1"/>
  <c r="I454" i="6" s="1"/>
  <c r="I455" i="6" s="1"/>
  <c r="I456" i="6" s="1"/>
  <c r="I457" i="6" s="1"/>
  <c r="I458" i="6" s="1"/>
  <c r="I459" i="6" s="1"/>
  <c r="I460" i="6" s="1"/>
  <c r="I461" i="6" s="1"/>
  <c r="I462" i="6" s="1"/>
  <c r="I463" i="6" s="1"/>
  <c r="I464" i="6" s="1"/>
  <c r="I465" i="6" s="1"/>
  <c r="I466" i="6" s="1"/>
  <c r="I467" i="6" s="1"/>
  <c r="I468" i="6" s="1"/>
  <c r="I469" i="6" s="1"/>
  <c r="I470" i="6" s="1"/>
  <c r="I471" i="6" s="1"/>
  <c r="I472" i="6" s="1"/>
  <c r="I473" i="6" s="1"/>
  <c r="I474" i="6" s="1"/>
  <c r="I475" i="6" s="1"/>
  <c r="I476" i="6" s="1"/>
  <c r="I477" i="6" s="1"/>
  <c r="I478" i="6" s="1"/>
  <c r="I479" i="6" s="1"/>
  <c r="I480" i="6" s="1"/>
  <c r="I481" i="6" s="1"/>
  <c r="I482" i="6" s="1"/>
  <c r="I483" i="6" s="1"/>
  <c r="I484" i="6" s="1"/>
  <c r="I485" i="6" s="1"/>
  <c r="I486" i="6" s="1"/>
  <c r="I487" i="6" s="1"/>
  <c r="I488" i="6" s="1"/>
  <c r="I489" i="6" s="1"/>
  <c r="I490" i="6" s="1"/>
  <c r="I491" i="6" s="1"/>
  <c r="I492" i="6" s="1"/>
  <c r="I493" i="6" s="1"/>
  <c r="I494" i="6" s="1"/>
  <c r="I495" i="6" s="1"/>
  <c r="I496" i="6" s="1"/>
  <c r="I497" i="6" s="1"/>
  <c r="I498" i="6" s="1"/>
  <c r="I499" i="6" s="1"/>
  <c r="I500" i="6" s="1"/>
  <c r="I501" i="6" s="1"/>
  <c r="I502" i="6" s="1"/>
  <c r="I503" i="6" s="1"/>
  <c r="I504" i="6" s="1"/>
  <c r="I505" i="6" s="1"/>
  <c r="I506" i="6" s="1"/>
  <c r="I507" i="6" s="1"/>
  <c r="I508" i="6" s="1"/>
  <c r="I509" i="6" s="1"/>
  <c r="I510" i="6" s="1"/>
  <c r="I511" i="6" s="1"/>
  <c r="I512" i="6" s="1"/>
  <c r="I513" i="6" s="1"/>
  <c r="I514" i="6" s="1"/>
  <c r="I515" i="6" s="1"/>
  <c r="I516" i="6" s="1"/>
  <c r="I517" i="6" s="1"/>
  <c r="I518" i="6" s="1"/>
  <c r="I519" i="6" s="1"/>
  <c r="I520" i="6" s="1"/>
  <c r="I521" i="6" s="1"/>
  <c r="I522" i="6" s="1"/>
  <c r="I523" i="6" s="1"/>
  <c r="I524" i="6" s="1"/>
  <c r="I525" i="6" s="1"/>
  <c r="I526" i="6" s="1"/>
  <c r="I527" i="6" s="1"/>
  <c r="I528" i="6" s="1"/>
  <c r="I529" i="6" s="1"/>
  <c r="I530" i="6" s="1"/>
  <c r="I531" i="6" s="1"/>
  <c r="I532" i="6" s="1"/>
  <c r="I533" i="6" s="1"/>
  <c r="I534" i="6" s="1"/>
  <c r="I535" i="6" s="1"/>
  <c r="I536" i="6" s="1"/>
  <c r="I537" i="6" s="1"/>
  <c r="I538" i="6" s="1"/>
  <c r="I539" i="6" s="1"/>
  <c r="I540" i="6" s="1"/>
  <c r="I541" i="6" s="1"/>
  <c r="I542" i="6" s="1"/>
  <c r="I543" i="6" s="1"/>
  <c r="I544" i="6" s="1"/>
  <c r="I545" i="6" s="1"/>
  <c r="I546" i="6" s="1"/>
  <c r="I547" i="6" s="1"/>
  <c r="I548" i="6" s="1"/>
  <c r="I549" i="6" s="1"/>
  <c r="I550" i="6" s="1"/>
  <c r="I551" i="6" s="1"/>
  <c r="I552" i="6" s="1"/>
  <c r="I553" i="6" s="1"/>
  <c r="I554" i="6" s="1"/>
  <c r="I555" i="6" s="1"/>
  <c r="I556" i="6" s="1"/>
  <c r="I557" i="6" s="1"/>
  <c r="I558" i="6" s="1"/>
  <c r="I559" i="6" s="1"/>
  <c r="I560" i="6" s="1"/>
  <c r="I561" i="6" s="1"/>
  <c r="I562" i="6" s="1"/>
  <c r="I563" i="6" s="1"/>
  <c r="I564" i="6" s="1"/>
  <c r="I565" i="6" s="1"/>
  <c r="I566" i="6" s="1"/>
  <c r="I567" i="6" s="1"/>
  <c r="I568" i="6" s="1"/>
  <c r="I569" i="6" s="1"/>
  <c r="I570" i="6" s="1"/>
  <c r="I571" i="6" s="1"/>
  <c r="I572" i="6" s="1"/>
  <c r="I573" i="6" s="1"/>
  <c r="I574" i="6" s="1"/>
  <c r="I575" i="6" s="1"/>
  <c r="I576" i="6" s="1"/>
  <c r="I577" i="6" s="1"/>
  <c r="I578" i="6" s="1"/>
  <c r="I579" i="6" s="1"/>
  <c r="I580" i="6" s="1"/>
  <c r="I581" i="6" s="1"/>
  <c r="I582" i="6" s="1"/>
  <c r="I583" i="6" s="1"/>
  <c r="I584" i="6" s="1"/>
  <c r="I585" i="6" s="1"/>
  <c r="I586" i="6" s="1"/>
  <c r="I587" i="6" s="1"/>
  <c r="I588" i="6" s="1"/>
  <c r="I589" i="6" s="1"/>
  <c r="I590" i="6" s="1"/>
  <c r="I591" i="6" s="1"/>
  <c r="I592" i="6" s="1"/>
  <c r="I593" i="6" s="1"/>
  <c r="I594" i="6" s="1"/>
  <c r="I595" i="6" s="1"/>
  <c r="I596" i="6" s="1"/>
  <c r="I597" i="6" s="1"/>
  <c r="I598" i="6" s="1"/>
  <c r="I599" i="6" s="1"/>
  <c r="I600" i="6" s="1"/>
  <c r="I601" i="6" s="1"/>
  <c r="I602" i="6" s="1"/>
  <c r="I603" i="6" s="1"/>
  <c r="I604" i="6" s="1"/>
  <c r="I605" i="6" s="1"/>
  <c r="I606" i="6" s="1"/>
  <c r="I607" i="6" s="1"/>
  <c r="I608" i="6" s="1"/>
  <c r="I609" i="6" s="1"/>
  <c r="I610" i="6" s="1"/>
  <c r="I611" i="6" s="1"/>
  <c r="I612" i="6" s="1"/>
  <c r="I613" i="6" s="1"/>
  <c r="I614" i="6" s="1"/>
  <c r="I615" i="6" s="1"/>
  <c r="I616" i="6" s="1"/>
  <c r="I617" i="6" s="1"/>
  <c r="I618" i="6" s="1"/>
  <c r="I619" i="6" s="1"/>
  <c r="I620" i="6" s="1"/>
  <c r="I621" i="6" s="1"/>
  <c r="I622" i="6" s="1"/>
  <c r="I623" i="6" s="1"/>
  <c r="I624" i="6" s="1"/>
  <c r="I625" i="6" s="1"/>
  <c r="I626" i="6" s="1"/>
  <c r="I627" i="6" s="1"/>
  <c r="I628" i="6" s="1"/>
  <c r="I629" i="6" s="1"/>
  <c r="I630" i="6" s="1"/>
  <c r="I631" i="6" s="1"/>
  <c r="I632" i="6" s="1"/>
  <c r="I633" i="6" s="1"/>
  <c r="I634" i="6" s="1"/>
  <c r="I635" i="6" s="1"/>
  <c r="I636" i="6" s="1"/>
  <c r="I637" i="6" s="1"/>
  <c r="I638" i="6" s="1"/>
  <c r="I639" i="6" s="1"/>
  <c r="I640" i="6" s="1"/>
  <c r="I641" i="6" s="1"/>
  <c r="I642" i="6" s="1"/>
  <c r="I643" i="6" s="1"/>
  <c r="I644" i="6" s="1"/>
  <c r="I645" i="6" s="1"/>
  <c r="I646" i="6" s="1"/>
  <c r="I647" i="6" s="1"/>
  <c r="I648" i="6" s="1"/>
  <c r="I649" i="6" s="1"/>
  <c r="I650" i="6" s="1"/>
  <c r="I651" i="6" s="1"/>
  <c r="I652" i="6" s="1"/>
  <c r="I653" i="6" s="1"/>
  <c r="I654" i="6" s="1"/>
  <c r="I655" i="6" s="1"/>
  <c r="I656" i="6" s="1"/>
  <c r="I657" i="6" s="1"/>
  <c r="I658" i="6" s="1"/>
  <c r="I659" i="6" s="1"/>
  <c r="I660" i="6" s="1"/>
  <c r="I661" i="6" s="1"/>
  <c r="I662" i="6" s="1"/>
  <c r="I663" i="6" s="1"/>
  <c r="I664" i="6" s="1"/>
  <c r="I665" i="6" s="1"/>
  <c r="I666" i="6" s="1"/>
  <c r="I667" i="6" s="1"/>
  <c r="I668" i="6" s="1"/>
  <c r="I669" i="6" s="1"/>
  <c r="I670" i="6" s="1"/>
  <c r="I671" i="6" s="1"/>
  <c r="I672" i="6" s="1"/>
  <c r="I673" i="6" s="1"/>
  <c r="I674" i="6" s="1"/>
  <c r="I675" i="6" s="1"/>
  <c r="I676" i="6" s="1"/>
  <c r="I677" i="6" s="1"/>
  <c r="I678" i="6" s="1"/>
  <c r="I679" i="6" s="1"/>
  <c r="I680" i="6" s="1"/>
  <c r="I681" i="6" s="1"/>
  <c r="I682" i="6" s="1"/>
  <c r="I683" i="6" s="1"/>
  <c r="I684" i="6" s="1"/>
  <c r="I685" i="6" s="1"/>
  <c r="I686" i="6" s="1"/>
  <c r="I687" i="6" s="1"/>
  <c r="I688" i="6" s="1"/>
  <c r="I689" i="6" s="1"/>
  <c r="I690" i="6" s="1"/>
  <c r="I691" i="6" s="1"/>
  <c r="I692" i="6" s="1"/>
  <c r="I693" i="6" s="1"/>
  <c r="I694" i="6" s="1"/>
  <c r="I695" i="6" s="1"/>
  <c r="I696" i="6" s="1"/>
  <c r="I697" i="6" s="1"/>
  <c r="I698" i="6" s="1"/>
  <c r="I699" i="6" s="1"/>
  <c r="I700" i="6" s="1"/>
  <c r="I701" i="6" s="1"/>
  <c r="I702" i="6" s="1"/>
  <c r="I703" i="6" s="1"/>
  <c r="I704" i="6" s="1"/>
  <c r="I705" i="6" s="1"/>
  <c r="I706" i="6" s="1"/>
  <c r="I707" i="6" s="1"/>
  <c r="I708" i="6" s="1"/>
  <c r="I709" i="6" s="1"/>
  <c r="I710" i="6" s="1"/>
  <c r="I711" i="6" s="1"/>
  <c r="I712" i="6" s="1"/>
  <c r="I713" i="6" s="1"/>
  <c r="I714" i="6" s="1"/>
  <c r="I715" i="6" s="1"/>
  <c r="I716" i="6" s="1"/>
  <c r="I717" i="6" s="1"/>
  <c r="I718" i="6" s="1"/>
  <c r="I719" i="6" s="1"/>
  <c r="I720" i="6" s="1"/>
  <c r="I721" i="6" s="1"/>
  <c r="I722" i="6" s="1"/>
  <c r="I723" i="6" s="1"/>
  <c r="I724" i="6" s="1"/>
  <c r="I725" i="6" s="1"/>
  <c r="I726" i="6" s="1"/>
  <c r="I727" i="6" s="1"/>
  <c r="I728" i="6" s="1"/>
  <c r="I729" i="6" s="1"/>
  <c r="I730" i="6" s="1"/>
  <c r="I731" i="6" s="1"/>
  <c r="I732" i="6" s="1"/>
  <c r="I733" i="6" s="1"/>
  <c r="I734" i="6" s="1"/>
  <c r="I735" i="6" s="1"/>
  <c r="I736" i="6" s="1"/>
  <c r="I737" i="6" s="1"/>
  <c r="I738" i="6" s="1"/>
  <c r="I739" i="6" s="1"/>
  <c r="I740" i="6" s="1"/>
  <c r="I741" i="6" s="1"/>
  <c r="I742" i="6" s="1"/>
  <c r="I743" i="6" s="1"/>
  <c r="I744" i="6" s="1"/>
  <c r="I745" i="6" s="1"/>
  <c r="I746" i="6" s="1"/>
  <c r="I747" i="6" s="1"/>
  <c r="I748" i="6" s="1"/>
  <c r="I749" i="6" s="1"/>
  <c r="I750" i="6" s="1"/>
  <c r="I751" i="6" s="1"/>
  <c r="I752" i="6" s="1"/>
  <c r="I753" i="6" s="1"/>
  <c r="I754" i="6" s="1"/>
  <c r="I755" i="6" s="1"/>
  <c r="I756" i="6" s="1"/>
  <c r="I757" i="6" s="1"/>
  <c r="I758" i="6" s="1"/>
  <c r="I759" i="6" s="1"/>
  <c r="I760" i="6" s="1"/>
  <c r="I761" i="6" s="1"/>
  <c r="I762" i="6" s="1"/>
  <c r="I763" i="6" s="1"/>
  <c r="I764" i="6" s="1"/>
  <c r="I765" i="6" s="1"/>
  <c r="I766" i="6" s="1"/>
  <c r="I767" i="6" s="1"/>
  <c r="I768" i="6" s="1"/>
  <c r="I769" i="6" s="1"/>
  <c r="I770" i="6" s="1"/>
  <c r="I771" i="6" s="1"/>
  <c r="I772" i="6" s="1"/>
  <c r="I773" i="6" s="1"/>
  <c r="I774" i="6" s="1"/>
  <c r="I775" i="6" s="1"/>
  <c r="I776" i="6" s="1"/>
  <c r="I777" i="6" s="1"/>
  <c r="I778" i="6" s="1"/>
  <c r="I779" i="6" s="1"/>
  <c r="I780" i="6" s="1"/>
  <c r="I781" i="6" s="1"/>
  <c r="I782" i="6" s="1"/>
  <c r="I783" i="6" s="1"/>
  <c r="I784" i="6" s="1"/>
  <c r="I785" i="6" s="1"/>
  <c r="I786" i="6" s="1"/>
  <c r="I787" i="6" s="1"/>
  <c r="I788" i="6" s="1"/>
  <c r="I789" i="6" s="1"/>
  <c r="I790" i="6" s="1"/>
  <c r="I791" i="6" s="1"/>
  <c r="I792" i="6" s="1"/>
  <c r="I793" i="6" s="1"/>
  <c r="I794" i="6" s="1"/>
  <c r="I795" i="6" s="1"/>
  <c r="I796" i="6" s="1"/>
  <c r="I797" i="6" s="1"/>
  <c r="I798" i="6" s="1"/>
  <c r="I799" i="6" s="1"/>
  <c r="I800" i="6" s="1"/>
  <c r="I801" i="6" s="1"/>
  <c r="I802" i="6" s="1"/>
  <c r="I803" i="6" s="1"/>
  <c r="I804" i="6" s="1"/>
  <c r="I805" i="6" s="1"/>
  <c r="I806" i="6" s="1"/>
  <c r="I807" i="6" s="1"/>
  <c r="I808" i="6" s="1"/>
  <c r="I809" i="6" s="1"/>
  <c r="I810" i="6" s="1"/>
  <c r="I811" i="6" s="1"/>
  <c r="I812" i="6" s="1"/>
  <c r="I813" i="6" s="1"/>
  <c r="I814" i="6" s="1"/>
  <c r="I815" i="6" s="1"/>
  <c r="I816" i="6" s="1"/>
  <c r="I817" i="6" s="1"/>
  <c r="I818" i="6" s="1"/>
  <c r="I819" i="6" s="1"/>
  <c r="I820" i="6" s="1"/>
  <c r="I821" i="6" s="1"/>
  <c r="I822" i="6" s="1"/>
  <c r="I823" i="6" s="1"/>
  <c r="I824" i="6" s="1"/>
  <c r="I825" i="6" s="1"/>
  <c r="I826" i="6" s="1"/>
  <c r="I827" i="6" s="1"/>
  <c r="I828" i="6" s="1"/>
  <c r="I829" i="6" s="1"/>
  <c r="I830" i="6" s="1"/>
  <c r="I831" i="6" s="1"/>
  <c r="I832" i="6" s="1"/>
  <c r="I833" i="6" s="1"/>
  <c r="I834" i="6" s="1"/>
  <c r="I835" i="6" s="1"/>
  <c r="I836" i="6" s="1"/>
  <c r="I837" i="6" s="1"/>
  <c r="I838" i="6" s="1"/>
  <c r="I839" i="6" s="1"/>
  <c r="I840" i="6" s="1"/>
  <c r="I841" i="6" s="1"/>
  <c r="I842" i="6" s="1"/>
  <c r="I843" i="6" s="1"/>
  <c r="I844" i="6" s="1"/>
  <c r="I845" i="6" s="1"/>
  <c r="I846" i="6" s="1"/>
  <c r="I847" i="6" s="1"/>
  <c r="I848" i="6" s="1"/>
  <c r="I849" i="6" s="1"/>
  <c r="I850" i="6" s="1"/>
  <c r="I851" i="6" s="1"/>
  <c r="I852" i="6" s="1"/>
  <c r="I853" i="6" s="1"/>
  <c r="I854" i="6" s="1"/>
  <c r="I855" i="6" s="1"/>
  <c r="I856" i="6" s="1"/>
  <c r="I857" i="6" s="1"/>
  <c r="I858" i="6" s="1"/>
  <c r="I859" i="6" s="1"/>
  <c r="I860" i="6" s="1"/>
  <c r="I861" i="6" s="1"/>
  <c r="I862" i="6" s="1"/>
  <c r="I863" i="6" s="1"/>
  <c r="I864" i="6" s="1"/>
  <c r="I865" i="6" s="1"/>
  <c r="I866" i="6" s="1"/>
  <c r="I867" i="6" s="1"/>
  <c r="I868" i="6" s="1"/>
  <c r="I869" i="6" s="1"/>
  <c r="I870" i="6" s="1"/>
  <c r="I871" i="6" s="1"/>
  <c r="I872" i="6" s="1"/>
  <c r="I873" i="6" s="1"/>
  <c r="I874" i="6" s="1"/>
  <c r="I875" i="6" s="1"/>
  <c r="I876" i="6" s="1"/>
  <c r="I877" i="6" s="1"/>
  <c r="I878" i="6" s="1"/>
  <c r="I879" i="6" s="1"/>
  <c r="I880" i="6" s="1"/>
  <c r="I881" i="6" s="1"/>
  <c r="I882" i="6" s="1"/>
  <c r="I883" i="6" s="1"/>
  <c r="I884" i="6" s="1"/>
  <c r="I885" i="6" s="1"/>
  <c r="I886" i="6" s="1"/>
  <c r="I887" i="6" s="1"/>
  <c r="I888" i="6" s="1"/>
  <c r="I889" i="6" s="1"/>
  <c r="I890" i="6" s="1"/>
  <c r="I891" i="6" s="1"/>
  <c r="I892" i="6" s="1"/>
  <c r="I893" i="6" s="1"/>
  <c r="I894" i="6" s="1"/>
  <c r="I895" i="6" s="1"/>
  <c r="I896" i="6" s="1"/>
  <c r="I897" i="6" s="1"/>
  <c r="I898" i="6" s="1"/>
  <c r="I899" i="6" s="1"/>
  <c r="I900" i="6" s="1"/>
  <c r="I901" i="6" s="1"/>
  <c r="I902" i="6" s="1"/>
  <c r="I903" i="6" s="1"/>
  <c r="I904" i="6" s="1"/>
  <c r="I905" i="6" s="1"/>
  <c r="I906" i="6" s="1"/>
  <c r="I907" i="6" s="1"/>
  <c r="I908" i="6" s="1"/>
  <c r="I909" i="6" s="1"/>
  <c r="I910" i="6" s="1"/>
  <c r="I911" i="6" s="1"/>
  <c r="I912" i="6" s="1"/>
  <c r="I913" i="6" s="1"/>
  <c r="I914" i="6" s="1"/>
  <c r="I915" i="6" s="1"/>
  <c r="I916" i="6" s="1"/>
  <c r="I917" i="6" s="1"/>
  <c r="I918" i="6" s="1"/>
  <c r="I919" i="6" s="1"/>
  <c r="I920" i="6" s="1"/>
  <c r="I921" i="6" s="1"/>
  <c r="I922" i="6" s="1"/>
  <c r="I923" i="6" s="1"/>
  <c r="I924" i="6" s="1"/>
  <c r="I925" i="6" s="1"/>
  <c r="I926" i="6" s="1"/>
  <c r="I927" i="6" s="1"/>
  <c r="I928" i="6" s="1"/>
  <c r="I929" i="6" s="1"/>
  <c r="I930" i="6" s="1"/>
  <c r="I931" i="6" s="1"/>
  <c r="I932" i="6" s="1"/>
  <c r="I933" i="6" s="1"/>
  <c r="I934" i="6" s="1"/>
  <c r="I935" i="6" s="1"/>
  <c r="I936" i="6" s="1"/>
  <c r="I937" i="6" s="1"/>
  <c r="I938" i="6" s="1"/>
  <c r="I939" i="6" s="1"/>
  <c r="I940" i="6" s="1"/>
  <c r="I941" i="6" s="1"/>
  <c r="I942" i="6" s="1"/>
  <c r="I943" i="6" s="1"/>
  <c r="I944" i="6" s="1"/>
  <c r="I945" i="6" s="1"/>
  <c r="I946" i="6" s="1"/>
  <c r="I947" i="6" s="1"/>
  <c r="I948" i="6" s="1"/>
  <c r="I949" i="6" s="1"/>
  <c r="I950" i="6" s="1"/>
  <c r="I951" i="6" s="1"/>
  <c r="I952" i="6" s="1"/>
  <c r="I953" i="6" s="1"/>
  <c r="I954" i="6" s="1"/>
  <c r="I955" i="6" s="1"/>
  <c r="I956" i="6" s="1"/>
  <c r="I957" i="6" s="1"/>
  <c r="I958" i="6" s="1"/>
  <c r="I959" i="6" s="1"/>
  <c r="I960" i="6" s="1"/>
  <c r="I961" i="6" s="1"/>
  <c r="I962" i="6" s="1"/>
  <c r="I963" i="6" s="1"/>
  <c r="I964" i="6" s="1"/>
  <c r="I965" i="6" s="1"/>
  <c r="I966" i="6" s="1"/>
  <c r="I967" i="6" s="1"/>
  <c r="I968" i="6" s="1"/>
  <c r="I969" i="6" s="1"/>
  <c r="I970" i="6" s="1"/>
  <c r="I971" i="6" s="1"/>
  <c r="I972" i="6" s="1"/>
  <c r="I973" i="6" s="1"/>
  <c r="I974" i="6" s="1"/>
  <c r="I975" i="6" s="1"/>
  <c r="I976" i="6" s="1"/>
  <c r="I977" i="6" s="1"/>
  <c r="I978" i="6" s="1"/>
  <c r="I979" i="6" s="1"/>
  <c r="I980" i="6" s="1"/>
  <c r="I981" i="6" s="1"/>
  <c r="I982" i="6" s="1"/>
  <c r="I983" i="6" s="1"/>
  <c r="I984" i="6" s="1"/>
  <c r="I985" i="6" s="1"/>
  <c r="I986" i="6" s="1"/>
  <c r="I987" i="6" s="1"/>
  <c r="I988" i="6" s="1"/>
  <c r="I989" i="6" s="1"/>
  <c r="I990" i="6" s="1"/>
  <c r="I991" i="6" s="1"/>
  <c r="I992" i="6" s="1"/>
  <c r="I993" i="6" s="1"/>
  <c r="I994" i="6" s="1"/>
  <c r="I995" i="6" s="1"/>
  <c r="I996" i="6" s="1"/>
  <c r="I997" i="6" s="1"/>
  <c r="I998" i="6" s="1"/>
  <c r="I999" i="6" s="1"/>
  <c r="I1000" i="6" s="1"/>
  <c r="I1001" i="6" s="1"/>
  <c r="I1002" i="6" s="1"/>
  <c r="I1003" i="6" s="1"/>
  <c r="I1004" i="6" s="1"/>
  <c r="I1005" i="6" s="1"/>
  <c r="I1006" i="6" s="1"/>
  <c r="I1007" i="6" s="1"/>
  <c r="I1008" i="6" s="1"/>
  <c r="I1009" i="6" s="1"/>
  <c r="I1010" i="6" s="1"/>
  <c r="I1011" i="6" s="1"/>
  <c r="I1012" i="6" s="1"/>
  <c r="I1013" i="6" s="1"/>
  <c r="I1014" i="6" s="1"/>
  <c r="I1015" i="6" s="1"/>
  <c r="I1016" i="6" s="1"/>
  <c r="I1017" i="6" s="1"/>
  <c r="I1018" i="6" s="1"/>
  <c r="I1019" i="6" s="1"/>
  <c r="I1020" i="6" s="1"/>
  <c r="I1021" i="6" s="1"/>
  <c r="I1022" i="6" s="1"/>
  <c r="I1023" i="6" s="1"/>
  <c r="I1024" i="6" s="1"/>
  <c r="I1025" i="6" s="1"/>
  <c r="I1026" i="6" s="1"/>
  <c r="I1027" i="6" s="1"/>
  <c r="I1028" i="6" s="1"/>
  <c r="I1029" i="6" s="1"/>
  <c r="I1030" i="6" s="1"/>
  <c r="I1031" i="6" s="1"/>
  <c r="I1032" i="6" s="1"/>
  <c r="I1033" i="6" s="1"/>
  <c r="I1034" i="6" s="1"/>
  <c r="I1035" i="6" s="1"/>
  <c r="I1036" i="6" s="1"/>
  <c r="I1037" i="6" s="1"/>
  <c r="I1038" i="6" s="1"/>
  <c r="I1039" i="6" s="1"/>
  <c r="I1040" i="6" s="1"/>
  <c r="I1041" i="6" s="1"/>
  <c r="I1042" i="6" s="1"/>
  <c r="I1043" i="6" s="1"/>
  <c r="I1044" i="6" s="1"/>
  <c r="I1045" i="6" s="1"/>
  <c r="I1046" i="6" s="1"/>
  <c r="I1047" i="6" s="1"/>
  <c r="I1048" i="6" s="1"/>
  <c r="I1049" i="6" s="1"/>
  <c r="I1050" i="6" s="1"/>
  <c r="I1051" i="6" s="1"/>
  <c r="I1052" i="6" s="1"/>
  <c r="I1053" i="6" s="1"/>
  <c r="I1054" i="6" s="1"/>
  <c r="I1055" i="6" s="1"/>
  <c r="I1056" i="6" s="1"/>
  <c r="I1057" i="6" s="1"/>
  <c r="I1058" i="6" s="1"/>
  <c r="I1059" i="6" s="1"/>
  <c r="I1060" i="6" s="1"/>
  <c r="I1061" i="6" s="1"/>
  <c r="I1062" i="6" s="1"/>
  <c r="I1063" i="6" s="1"/>
  <c r="I1064" i="6" s="1"/>
  <c r="I1065" i="6" s="1"/>
  <c r="I1066" i="6" s="1"/>
  <c r="I1067" i="6" s="1"/>
  <c r="I1068" i="6" s="1"/>
  <c r="I1069" i="6" s="1"/>
  <c r="I1070" i="6" s="1"/>
  <c r="I1071" i="6" s="1"/>
  <c r="I1072" i="6" s="1"/>
  <c r="I1073" i="6" s="1"/>
  <c r="I1074" i="6" s="1"/>
  <c r="I1075" i="6" s="1"/>
  <c r="I1076" i="6" s="1"/>
  <c r="I1077" i="6" s="1"/>
  <c r="I1078" i="6" s="1"/>
  <c r="I1079" i="6" s="1"/>
  <c r="I1080" i="6" s="1"/>
  <c r="I1081" i="6" s="1"/>
  <c r="I1082" i="6" s="1"/>
  <c r="I1083" i="6" s="1"/>
  <c r="I1084" i="6" s="1"/>
  <c r="I1085" i="6" s="1"/>
  <c r="I1086" i="6" s="1"/>
  <c r="I1087" i="6" s="1"/>
  <c r="I1088" i="6" s="1"/>
  <c r="I1089" i="6" s="1"/>
  <c r="I1090" i="6" s="1"/>
  <c r="I1091" i="6" s="1"/>
  <c r="I1092" i="6" s="1"/>
  <c r="I1093" i="6" s="1"/>
  <c r="I1094" i="6" s="1"/>
  <c r="I1095" i="6" s="1"/>
  <c r="I1096" i="6" s="1"/>
  <c r="I1097" i="6" s="1"/>
  <c r="I1098" i="6" s="1"/>
  <c r="I1099" i="6" s="1"/>
  <c r="I1100" i="6" s="1"/>
  <c r="I1101" i="6" s="1"/>
  <c r="I1102" i="6" s="1"/>
  <c r="I1103" i="6" s="1"/>
  <c r="I1104" i="6" s="1"/>
  <c r="I1105" i="6" s="1"/>
  <c r="I1106" i="6" s="1"/>
  <c r="I1107" i="6" s="1"/>
  <c r="I1108" i="6" s="1"/>
  <c r="I1109" i="6" s="1"/>
  <c r="I1110" i="6" s="1"/>
  <c r="I1111" i="6" s="1"/>
  <c r="I1112" i="6" s="1"/>
  <c r="I1113" i="6" s="1"/>
  <c r="I1114" i="6" s="1"/>
  <c r="I1115" i="6" s="1"/>
  <c r="I1116" i="6" s="1"/>
  <c r="I1117" i="6" s="1"/>
  <c r="I1118" i="6" s="1"/>
  <c r="I1119" i="6" s="1"/>
  <c r="I1120" i="6" s="1"/>
  <c r="I1121" i="6" s="1"/>
  <c r="I1122" i="6" s="1"/>
  <c r="I1123" i="6" s="1"/>
  <c r="I1124" i="6" s="1"/>
  <c r="I1125" i="6" s="1"/>
  <c r="I1126" i="6" s="1"/>
  <c r="I1127" i="6" s="1"/>
  <c r="I1128" i="6" s="1"/>
  <c r="I1129" i="6" s="1"/>
  <c r="I1130" i="6" s="1"/>
  <c r="I1131" i="6" s="1"/>
  <c r="I1132" i="6" s="1"/>
  <c r="I1133" i="6" s="1"/>
  <c r="I1134" i="6" s="1"/>
  <c r="I1135" i="6" s="1"/>
  <c r="I1136" i="6" s="1"/>
  <c r="I1137" i="6" s="1"/>
  <c r="I1138" i="6" s="1"/>
  <c r="I1139" i="6" s="1"/>
  <c r="I1140" i="6" s="1"/>
  <c r="I1141" i="6" s="1"/>
  <c r="I1142" i="6" s="1"/>
  <c r="I1143" i="6" s="1"/>
  <c r="I1144" i="6" s="1"/>
  <c r="I1145" i="6" s="1"/>
  <c r="I1146" i="6" s="1"/>
  <c r="I1147" i="6" s="1"/>
  <c r="I1148" i="6" s="1"/>
  <c r="I1149" i="6" s="1"/>
  <c r="I1150" i="6" s="1"/>
  <c r="I1151" i="6" s="1"/>
  <c r="I1152" i="6" s="1"/>
  <c r="I1153" i="6" s="1"/>
  <c r="I1154" i="6" s="1"/>
  <c r="I1155" i="6" s="1"/>
  <c r="I1156" i="6" s="1"/>
  <c r="I1157" i="6" s="1"/>
  <c r="I1158" i="6" s="1"/>
  <c r="I1159" i="6" s="1"/>
  <c r="I1160" i="6" s="1"/>
  <c r="I1161" i="6" s="1"/>
  <c r="I1162" i="6" s="1"/>
  <c r="I1163" i="6" s="1"/>
  <c r="I1164" i="6" s="1"/>
  <c r="I1165" i="6" s="1"/>
  <c r="I1166" i="6" s="1"/>
  <c r="I1167" i="6" s="1"/>
  <c r="I1168" i="6" s="1"/>
  <c r="I1169" i="6" s="1"/>
  <c r="I1170" i="6" s="1"/>
  <c r="I1171" i="6" s="1"/>
  <c r="I1172" i="6" s="1"/>
  <c r="I1173" i="6" s="1"/>
  <c r="I1174" i="6" s="1"/>
  <c r="I1175" i="6" s="1"/>
  <c r="I1176" i="6" s="1"/>
  <c r="I1177" i="6" s="1"/>
  <c r="I1178" i="6" s="1"/>
  <c r="I1179" i="6" s="1"/>
  <c r="I1180" i="6" s="1"/>
  <c r="I1181" i="6" s="1"/>
  <c r="I1182" i="6" s="1"/>
  <c r="I1183" i="6" s="1"/>
  <c r="I1184" i="6" s="1"/>
  <c r="I1185" i="6" s="1"/>
  <c r="I1186" i="6" s="1"/>
  <c r="I1187" i="6" s="1"/>
  <c r="I1188" i="6" s="1"/>
  <c r="I1189" i="6" s="1"/>
  <c r="I1190" i="6" s="1"/>
  <c r="I1191" i="6" s="1"/>
  <c r="I1192" i="6" s="1"/>
  <c r="I1193" i="6" s="1"/>
  <c r="I1194" i="6" s="1"/>
  <c r="I1195" i="6" s="1"/>
  <c r="I1196" i="6" s="1"/>
  <c r="I1197" i="6" s="1"/>
  <c r="I1198" i="6" s="1"/>
  <c r="I1199" i="6" s="1"/>
  <c r="I1200" i="6" s="1"/>
  <c r="I1201" i="6" s="1"/>
  <c r="I1202" i="6" s="1"/>
  <c r="I1203" i="6" s="1"/>
  <c r="I1204" i="6" s="1"/>
  <c r="I1205" i="6" s="1"/>
  <c r="I1206" i="6" s="1"/>
  <c r="I1207" i="6" s="1"/>
  <c r="I1208" i="6" s="1"/>
  <c r="I1209" i="6" s="1"/>
  <c r="I1210" i="6" s="1"/>
  <c r="I1211" i="6" s="1"/>
  <c r="I1212" i="6" s="1"/>
  <c r="I1213" i="6" s="1"/>
  <c r="I1214" i="6" s="1"/>
  <c r="I1215" i="6" s="1"/>
  <c r="I1216" i="6" s="1"/>
  <c r="I1217" i="6" s="1"/>
  <c r="I1218" i="6" s="1"/>
  <c r="I1219" i="6" s="1"/>
  <c r="I1220" i="6" s="1"/>
  <c r="I1221" i="6" s="1"/>
  <c r="I1222" i="6" s="1"/>
  <c r="I1223" i="6" s="1"/>
  <c r="I1224" i="6" s="1"/>
  <c r="I1225" i="6" s="1"/>
  <c r="I1226" i="6" s="1"/>
  <c r="I1227" i="6" s="1"/>
  <c r="I1228" i="6" s="1"/>
  <c r="I1229" i="6" s="1"/>
  <c r="I1230" i="6" s="1"/>
  <c r="I1231" i="6" s="1"/>
  <c r="I1232" i="6" s="1"/>
  <c r="I1233" i="6" s="1"/>
  <c r="I1234" i="6" s="1"/>
  <c r="I1235" i="6" s="1"/>
  <c r="I1236" i="6" s="1"/>
  <c r="I1237" i="6" s="1"/>
  <c r="I1238" i="6" s="1"/>
  <c r="I1239" i="6" s="1"/>
  <c r="I1240" i="6" s="1"/>
  <c r="I1241" i="6" s="1"/>
  <c r="I1242" i="6" s="1"/>
  <c r="I1243" i="6" s="1"/>
  <c r="I1244" i="6" s="1"/>
  <c r="I1245" i="6" s="1"/>
  <c r="I1246" i="6" s="1"/>
  <c r="I1247" i="6" s="1"/>
  <c r="I1248" i="6" s="1"/>
  <c r="I1249" i="6" s="1"/>
  <c r="I1250" i="6" s="1"/>
  <c r="I1251" i="6" s="1"/>
  <c r="I1252" i="6" s="1"/>
  <c r="I1253" i="6" s="1"/>
  <c r="I1254" i="6" s="1"/>
  <c r="I1255" i="6" s="1"/>
  <c r="I1256" i="6" s="1"/>
  <c r="I1257" i="6" s="1"/>
  <c r="I1258" i="6" s="1"/>
  <c r="I1259" i="6" s="1"/>
  <c r="I1260" i="6" s="1"/>
  <c r="I1261" i="6" s="1"/>
  <c r="I1262" i="6" s="1"/>
  <c r="I1263" i="6" s="1"/>
  <c r="I1264" i="6" s="1"/>
  <c r="I1265" i="6" s="1"/>
  <c r="I1266" i="6" s="1"/>
  <c r="I1267" i="6" s="1"/>
  <c r="I1268" i="6" s="1"/>
  <c r="I1269" i="6" s="1"/>
  <c r="I1270" i="6" s="1"/>
  <c r="I1271" i="6" s="1"/>
  <c r="I1272" i="6" s="1"/>
  <c r="I1273" i="6" s="1"/>
  <c r="I1274" i="6" s="1"/>
  <c r="I1275" i="6" s="1"/>
  <c r="I1276" i="6" s="1"/>
  <c r="I1277" i="6" s="1"/>
  <c r="I1278" i="6" s="1"/>
  <c r="I1279" i="6" s="1"/>
  <c r="I1280" i="6" s="1"/>
  <c r="I1281" i="6" s="1"/>
  <c r="I1282" i="6" s="1"/>
  <c r="I1283" i="6" s="1"/>
  <c r="I1284" i="6" s="1"/>
  <c r="I1285" i="6" s="1"/>
  <c r="I1286" i="6" s="1"/>
  <c r="I1287" i="6" s="1"/>
  <c r="I1288" i="6" s="1"/>
  <c r="I1289" i="6" s="1"/>
  <c r="I1290" i="6" s="1"/>
  <c r="I1291" i="6" s="1"/>
  <c r="I1292" i="6" s="1"/>
  <c r="I1293" i="6" s="1"/>
  <c r="I1294" i="6" s="1"/>
  <c r="I1295" i="6" s="1"/>
  <c r="I1296" i="6" s="1"/>
  <c r="I1297" i="6" s="1"/>
  <c r="I1298" i="6" s="1"/>
  <c r="I1299" i="6" s="1"/>
  <c r="I1300" i="6" s="1"/>
  <c r="I1301" i="6" s="1"/>
  <c r="I1302" i="6" s="1"/>
  <c r="I1303" i="6" s="1"/>
  <c r="I1304" i="6" s="1"/>
  <c r="I1305" i="6" s="1"/>
  <c r="I1306" i="6" s="1"/>
  <c r="I1307" i="6" s="1"/>
  <c r="I1308" i="6" s="1"/>
  <c r="I1309" i="6" s="1"/>
  <c r="I1310" i="6" s="1"/>
  <c r="I1311" i="6" s="1"/>
  <c r="I1312" i="6" s="1"/>
  <c r="I1313" i="6" s="1"/>
  <c r="I1314" i="6" s="1"/>
  <c r="I1315" i="6" s="1"/>
  <c r="I1316" i="6" s="1"/>
  <c r="I1317" i="6" s="1"/>
  <c r="I1318" i="6" s="1"/>
  <c r="I1319" i="6" s="1"/>
  <c r="I1320" i="6" s="1"/>
  <c r="I1321" i="6" s="1"/>
  <c r="I1322" i="6" s="1"/>
  <c r="I1323" i="6" s="1"/>
  <c r="I1324" i="6" s="1"/>
  <c r="I1325" i="6" s="1"/>
  <c r="I1326" i="6" s="1"/>
  <c r="I1327" i="6" s="1"/>
  <c r="I1328" i="6" s="1"/>
  <c r="I1329" i="6" s="1"/>
  <c r="I1330" i="6" s="1"/>
  <c r="I1331" i="6" s="1"/>
  <c r="I1332" i="6" s="1"/>
  <c r="I1333" i="6" s="1"/>
  <c r="I1334" i="6" s="1"/>
  <c r="I1335" i="6" s="1"/>
  <c r="I1336" i="6" s="1"/>
  <c r="I1337" i="6" s="1"/>
  <c r="I1338" i="6" s="1"/>
  <c r="I1339" i="6" s="1"/>
  <c r="I1340" i="6" s="1"/>
  <c r="I1341" i="6" s="1"/>
  <c r="I1342" i="6" s="1"/>
  <c r="I1343" i="6" s="1"/>
  <c r="I1344" i="6" s="1"/>
  <c r="I1345" i="6" s="1"/>
  <c r="I1346" i="6" s="1"/>
  <c r="I1347" i="6" s="1"/>
  <c r="I1348" i="6" s="1"/>
  <c r="I1349" i="6" s="1"/>
  <c r="I1350" i="6" s="1"/>
  <c r="I1351" i="6" s="1"/>
  <c r="I1352" i="6" s="1"/>
  <c r="I1353" i="6" s="1"/>
  <c r="I1354" i="6" s="1"/>
  <c r="I1355" i="6" s="1"/>
  <c r="I1356" i="6" s="1"/>
  <c r="I1357" i="6" s="1"/>
  <c r="I1358" i="6" s="1"/>
  <c r="I1359" i="6" s="1"/>
  <c r="I29" i="6"/>
  <c r="H26" i="6"/>
  <c r="H27" i="6" s="1"/>
  <c r="H28" i="6"/>
  <c r="H29" i="6"/>
  <c r="H30" i="6"/>
  <c r="H31" i="6" s="1"/>
  <c r="H32" i="6" s="1"/>
  <c r="H33" i="6" s="1"/>
  <c r="H34" i="6" s="1"/>
  <c r="H35" i="6" s="1"/>
  <c r="H36" i="6" s="1"/>
  <c r="H37" i="6" s="1"/>
  <c r="H38" i="6" s="1"/>
  <c r="H39" i="6" s="1"/>
  <c r="H40" i="6" s="1"/>
  <c r="H41" i="6" s="1"/>
  <c r="H42" i="6" s="1"/>
  <c r="H43" i="6" s="1"/>
  <c r="H44" i="6" s="1"/>
  <c r="H45" i="6" s="1"/>
  <c r="H46" i="6" s="1"/>
  <c r="H47" i="6" s="1"/>
  <c r="H48" i="6" s="1"/>
  <c r="H49" i="6" s="1"/>
  <c r="H50" i="6" s="1"/>
  <c r="H51" i="6" s="1"/>
  <c r="H52" i="6" s="1"/>
  <c r="H53" i="6" s="1"/>
  <c r="H54" i="6" s="1"/>
  <c r="H55" i="6" s="1"/>
  <c r="H56" i="6" s="1"/>
  <c r="H57" i="6" s="1"/>
  <c r="H58" i="6" s="1"/>
  <c r="H59" i="6" s="1"/>
  <c r="H60" i="6" s="1"/>
  <c r="H61" i="6" s="1"/>
  <c r="H62" i="6" s="1"/>
  <c r="H63" i="6" s="1"/>
  <c r="H64" i="6" s="1"/>
  <c r="H65" i="6" s="1"/>
  <c r="H66" i="6" s="1"/>
  <c r="H67" i="6" s="1"/>
  <c r="H68" i="6" s="1"/>
  <c r="H69" i="6" s="1"/>
  <c r="H70" i="6" s="1"/>
  <c r="H71" i="6" s="1"/>
  <c r="H72" i="6" s="1"/>
  <c r="H73" i="6" s="1"/>
  <c r="H74" i="6" s="1"/>
  <c r="H75" i="6" s="1"/>
  <c r="H76" i="6" s="1"/>
  <c r="H77" i="6" s="1"/>
  <c r="H78" i="6" s="1"/>
  <c r="H79" i="6" s="1"/>
  <c r="H80" i="6" s="1"/>
  <c r="H81" i="6" s="1"/>
  <c r="H82" i="6" s="1"/>
  <c r="H83" i="6" s="1"/>
  <c r="H84" i="6" s="1"/>
  <c r="H85" i="6" s="1"/>
  <c r="H86" i="6" s="1"/>
  <c r="H87" i="6" s="1"/>
  <c r="H88" i="6" s="1"/>
  <c r="H89" i="6" s="1"/>
  <c r="H90" i="6" s="1"/>
  <c r="H91" i="6" s="1"/>
  <c r="H92" i="6" s="1"/>
  <c r="H93" i="6" s="1"/>
  <c r="H94" i="6" s="1"/>
  <c r="H95" i="6" s="1"/>
  <c r="H96" i="6" s="1"/>
  <c r="H97" i="6" s="1"/>
  <c r="H98" i="6" s="1"/>
  <c r="H99" i="6" s="1"/>
  <c r="H100" i="6" s="1"/>
  <c r="H101" i="6" s="1"/>
  <c r="H102" i="6" s="1"/>
  <c r="H103" i="6" s="1"/>
  <c r="H104" i="6" s="1"/>
  <c r="H105" i="6" s="1"/>
  <c r="H106" i="6" s="1"/>
  <c r="H107" i="6" s="1"/>
  <c r="H108" i="6" s="1"/>
  <c r="H109" i="6" s="1"/>
  <c r="H110" i="6" s="1"/>
  <c r="H111" i="6" s="1"/>
  <c r="H112" i="6" s="1"/>
  <c r="H113" i="6" s="1"/>
  <c r="H114" i="6" s="1"/>
  <c r="H115" i="6" s="1"/>
  <c r="H116" i="6" s="1"/>
  <c r="H117" i="6" s="1"/>
  <c r="H118" i="6" s="1"/>
  <c r="H119" i="6" s="1"/>
  <c r="H120" i="6" s="1"/>
  <c r="H121" i="6" s="1"/>
  <c r="H122" i="6" s="1"/>
  <c r="H123" i="6" s="1"/>
  <c r="H124" i="6" s="1"/>
  <c r="H125" i="6" s="1"/>
  <c r="H126" i="6" s="1"/>
  <c r="H127" i="6" s="1"/>
  <c r="H128" i="6" s="1"/>
  <c r="H129" i="6" s="1"/>
  <c r="H130" i="6" s="1"/>
  <c r="H131" i="6" s="1"/>
  <c r="H132" i="6" s="1"/>
  <c r="H133" i="6" s="1"/>
  <c r="H134" i="6" s="1"/>
  <c r="H135" i="6" s="1"/>
  <c r="H136" i="6" s="1"/>
  <c r="H137" i="6" s="1"/>
  <c r="H138" i="6" s="1"/>
  <c r="H139" i="6" s="1"/>
  <c r="H140" i="6" s="1"/>
  <c r="H141" i="6" s="1"/>
  <c r="H142" i="6" s="1"/>
  <c r="H143" i="6" s="1"/>
  <c r="H144" i="6" s="1"/>
  <c r="H145" i="6" s="1"/>
  <c r="H146" i="6" s="1"/>
  <c r="H147" i="6" s="1"/>
  <c r="H148" i="6" s="1"/>
  <c r="H149" i="6" s="1"/>
  <c r="H150" i="6" s="1"/>
  <c r="H151" i="6" s="1"/>
  <c r="H152" i="6" s="1"/>
  <c r="H153" i="6" s="1"/>
  <c r="H154" i="6" s="1"/>
  <c r="H155" i="6" s="1"/>
  <c r="H156" i="6" s="1"/>
  <c r="H157" i="6" s="1"/>
  <c r="H158" i="6" s="1"/>
  <c r="H159" i="6" s="1"/>
  <c r="H160" i="6" s="1"/>
  <c r="H161" i="6" s="1"/>
  <c r="H162" i="6" s="1"/>
  <c r="H163" i="6" s="1"/>
  <c r="H164" i="6" s="1"/>
  <c r="H165" i="6" s="1"/>
  <c r="H166" i="6" s="1"/>
  <c r="H167" i="6" s="1"/>
  <c r="H168" i="6" s="1"/>
  <c r="H169" i="6" s="1"/>
  <c r="H170" i="6" s="1"/>
  <c r="H171" i="6" s="1"/>
  <c r="H172" i="6" s="1"/>
  <c r="H173" i="6" s="1"/>
  <c r="H174" i="6" s="1"/>
  <c r="H175" i="6" s="1"/>
  <c r="H176" i="6" s="1"/>
  <c r="H177" i="6" s="1"/>
  <c r="H178" i="6" s="1"/>
  <c r="H179" i="6" s="1"/>
  <c r="H180" i="6" s="1"/>
  <c r="H181" i="6" s="1"/>
  <c r="H182" i="6" s="1"/>
  <c r="H183" i="6" s="1"/>
  <c r="H184" i="6" s="1"/>
  <c r="H185" i="6" s="1"/>
  <c r="H186" i="6" s="1"/>
  <c r="H187" i="6" s="1"/>
  <c r="H188" i="6" s="1"/>
  <c r="H189" i="6" s="1"/>
  <c r="H190" i="6" s="1"/>
  <c r="H191" i="6" s="1"/>
  <c r="H192" i="6" s="1"/>
  <c r="H193" i="6" s="1"/>
  <c r="H194" i="6" s="1"/>
  <c r="H195" i="6" s="1"/>
  <c r="H196" i="6" s="1"/>
  <c r="H197" i="6" s="1"/>
  <c r="H198" i="6" s="1"/>
  <c r="H199" i="6" s="1"/>
  <c r="H200" i="6" s="1"/>
  <c r="H201" i="6" s="1"/>
  <c r="H202" i="6" s="1"/>
  <c r="H203" i="6" s="1"/>
  <c r="H204" i="6" s="1"/>
  <c r="H205" i="6" s="1"/>
  <c r="H206" i="6" s="1"/>
  <c r="H207" i="6" s="1"/>
  <c r="H208" i="6" s="1"/>
  <c r="H209" i="6" s="1"/>
  <c r="H210" i="6" s="1"/>
  <c r="H211" i="6" s="1"/>
  <c r="H212" i="6" s="1"/>
  <c r="H213" i="6" s="1"/>
  <c r="H214" i="6" s="1"/>
  <c r="H215" i="6" s="1"/>
  <c r="H216" i="6" s="1"/>
  <c r="H217" i="6" s="1"/>
  <c r="H218" i="6" s="1"/>
  <c r="H219" i="6" s="1"/>
  <c r="H220" i="6" s="1"/>
  <c r="H221" i="6" s="1"/>
  <c r="H222" i="6" s="1"/>
  <c r="H223" i="6" s="1"/>
  <c r="H224" i="6" s="1"/>
  <c r="H225" i="6" s="1"/>
  <c r="H226" i="6" s="1"/>
  <c r="H227" i="6" s="1"/>
  <c r="H228" i="6" s="1"/>
  <c r="H229" i="6" s="1"/>
  <c r="H230" i="6" s="1"/>
  <c r="H231" i="6" s="1"/>
  <c r="H232" i="6" s="1"/>
  <c r="H233" i="6" s="1"/>
  <c r="H234" i="6" s="1"/>
  <c r="H235" i="6" s="1"/>
  <c r="H236" i="6" s="1"/>
  <c r="H237" i="6" s="1"/>
  <c r="H238" i="6" s="1"/>
  <c r="H239" i="6" s="1"/>
  <c r="H240" i="6" s="1"/>
  <c r="H241" i="6" s="1"/>
  <c r="H242" i="6" s="1"/>
  <c r="H243" i="6" s="1"/>
  <c r="H244" i="6" s="1"/>
  <c r="H245" i="6" s="1"/>
  <c r="H246" i="6" s="1"/>
  <c r="H247" i="6" s="1"/>
  <c r="H248" i="6" s="1"/>
  <c r="H249" i="6" s="1"/>
  <c r="H250" i="6" s="1"/>
  <c r="H251" i="6" s="1"/>
  <c r="H252" i="6" s="1"/>
  <c r="H253" i="6" s="1"/>
  <c r="H254" i="6" s="1"/>
  <c r="H255" i="6" s="1"/>
  <c r="H256" i="6" s="1"/>
  <c r="H257" i="6" s="1"/>
  <c r="H258" i="6" s="1"/>
  <c r="H259" i="6" s="1"/>
  <c r="H260" i="6" s="1"/>
  <c r="H261" i="6" s="1"/>
  <c r="H262" i="6" s="1"/>
  <c r="H263" i="6" s="1"/>
  <c r="H264" i="6" s="1"/>
  <c r="H265" i="6" s="1"/>
  <c r="H266" i="6" s="1"/>
  <c r="H267" i="6" s="1"/>
  <c r="H268" i="6" s="1"/>
  <c r="H269" i="6" s="1"/>
  <c r="H270" i="6" s="1"/>
  <c r="H271" i="6" s="1"/>
  <c r="H272" i="6" s="1"/>
  <c r="H273" i="6" s="1"/>
  <c r="H274" i="6" s="1"/>
  <c r="H275" i="6" s="1"/>
  <c r="H276" i="6" s="1"/>
  <c r="H277" i="6" s="1"/>
  <c r="H278" i="6" s="1"/>
  <c r="H279" i="6" s="1"/>
  <c r="H280" i="6" s="1"/>
  <c r="H281" i="6" s="1"/>
  <c r="H282" i="6" s="1"/>
  <c r="H283" i="6" s="1"/>
  <c r="H284" i="6" s="1"/>
  <c r="H285" i="6" s="1"/>
  <c r="H286" i="6" s="1"/>
  <c r="H287" i="6" s="1"/>
  <c r="H288" i="6" s="1"/>
  <c r="H289" i="6" s="1"/>
  <c r="H290" i="6" s="1"/>
  <c r="H291" i="6" s="1"/>
  <c r="H292" i="6" s="1"/>
  <c r="H293" i="6" s="1"/>
  <c r="H294" i="6" s="1"/>
  <c r="H295" i="6" s="1"/>
  <c r="H296" i="6" s="1"/>
  <c r="H297" i="6" s="1"/>
  <c r="H298" i="6" s="1"/>
  <c r="H299" i="6" s="1"/>
  <c r="H300" i="6" s="1"/>
  <c r="H301" i="6" s="1"/>
  <c r="H302" i="6" s="1"/>
  <c r="H303" i="6" s="1"/>
  <c r="H304" i="6" s="1"/>
  <c r="H305" i="6" s="1"/>
  <c r="H306" i="6" s="1"/>
  <c r="H307" i="6" s="1"/>
  <c r="H308" i="6" s="1"/>
  <c r="H309" i="6" s="1"/>
  <c r="H310" i="6" s="1"/>
  <c r="H311" i="6" s="1"/>
  <c r="H312" i="6" s="1"/>
  <c r="H313" i="6" s="1"/>
  <c r="H314" i="6" s="1"/>
  <c r="H315" i="6" s="1"/>
  <c r="H316" i="6" s="1"/>
  <c r="H317" i="6" s="1"/>
  <c r="H318" i="6" s="1"/>
  <c r="H319" i="6" s="1"/>
  <c r="H320" i="6" s="1"/>
  <c r="H321" i="6" s="1"/>
  <c r="H322" i="6" s="1"/>
  <c r="H323" i="6" s="1"/>
  <c r="H324" i="6" s="1"/>
  <c r="H325" i="6" s="1"/>
  <c r="H326" i="6" s="1"/>
  <c r="H327" i="6" s="1"/>
  <c r="H328" i="6" s="1"/>
  <c r="H329" i="6" s="1"/>
  <c r="H330" i="6" s="1"/>
  <c r="H331" i="6" s="1"/>
  <c r="H332" i="6" s="1"/>
  <c r="H333" i="6" s="1"/>
  <c r="H334" i="6" s="1"/>
  <c r="H335" i="6" s="1"/>
  <c r="H336" i="6" s="1"/>
  <c r="H337" i="6" s="1"/>
  <c r="H338" i="6" s="1"/>
  <c r="H339" i="6" s="1"/>
  <c r="H340" i="6" s="1"/>
  <c r="H341" i="6" s="1"/>
  <c r="H342" i="6" s="1"/>
  <c r="H343" i="6" s="1"/>
  <c r="H344" i="6" s="1"/>
  <c r="H345" i="6" s="1"/>
  <c r="H346" i="6" s="1"/>
  <c r="H347" i="6" s="1"/>
  <c r="H348" i="6" s="1"/>
  <c r="H349" i="6" s="1"/>
  <c r="H350" i="6" s="1"/>
  <c r="H351" i="6" s="1"/>
  <c r="H352" i="6" s="1"/>
  <c r="H353" i="6" s="1"/>
  <c r="H354" i="6" s="1"/>
  <c r="H355" i="6" s="1"/>
  <c r="H356" i="6" s="1"/>
  <c r="H357" i="6" s="1"/>
  <c r="H358" i="6" s="1"/>
  <c r="H359" i="6" s="1"/>
  <c r="H360" i="6" s="1"/>
  <c r="H361" i="6" s="1"/>
  <c r="H362" i="6" s="1"/>
  <c r="H363" i="6" s="1"/>
  <c r="H364" i="6" s="1"/>
  <c r="H365" i="6" s="1"/>
  <c r="H366" i="6" s="1"/>
  <c r="H367" i="6" s="1"/>
  <c r="H368" i="6" s="1"/>
  <c r="H369" i="6" s="1"/>
  <c r="H370" i="6" s="1"/>
  <c r="H371" i="6" s="1"/>
  <c r="H372" i="6" s="1"/>
  <c r="H373" i="6" s="1"/>
  <c r="H374" i="6" s="1"/>
  <c r="H375" i="6" s="1"/>
  <c r="H376" i="6" s="1"/>
  <c r="H377" i="6" s="1"/>
  <c r="H378" i="6" s="1"/>
  <c r="H379" i="6" s="1"/>
  <c r="H380" i="6" s="1"/>
  <c r="H381" i="6" s="1"/>
  <c r="H382" i="6" s="1"/>
  <c r="H383" i="6" s="1"/>
  <c r="H384" i="6" s="1"/>
  <c r="H385" i="6" s="1"/>
  <c r="H386" i="6" s="1"/>
  <c r="H387" i="6" s="1"/>
  <c r="H388" i="6" s="1"/>
  <c r="H389" i="6" s="1"/>
  <c r="H390" i="6" s="1"/>
  <c r="H391" i="6" s="1"/>
  <c r="H392" i="6" s="1"/>
  <c r="H393" i="6" s="1"/>
  <c r="H394" i="6" s="1"/>
  <c r="H395" i="6" s="1"/>
  <c r="H396" i="6" s="1"/>
  <c r="H397" i="6" s="1"/>
  <c r="H398" i="6" s="1"/>
  <c r="H399" i="6" s="1"/>
  <c r="H400" i="6" s="1"/>
  <c r="H401" i="6" s="1"/>
  <c r="H402" i="6" s="1"/>
  <c r="H403" i="6" s="1"/>
  <c r="H404" i="6" s="1"/>
  <c r="H405" i="6" s="1"/>
  <c r="H406" i="6" s="1"/>
  <c r="H407" i="6" s="1"/>
  <c r="H408" i="6" s="1"/>
  <c r="H409" i="6" s="1"/>
  <c r="H410" i="6" s="1"/>
  <c r="H411" i="6" s="1"/>
  <c r="H412" i="6" s="1"/>
  <c r="H413" i="6" s="1"/>
  <c r="H414" i="6" s="1"/>
  <c r="H415" i="6" s="1"/>
  <c r="H416" i="6" s="1"/>
  <c r="H417" i="6" s="1"/>
  <c r="H418" i="6" s="1"/>
  <c r="H419" i="6" s="1"/>
  <c r="H420" i="6" s="1"/>
  <c r="H421" i="6" s="1"/>
  <c r="H422" i="6" s="1"/>
  <c r="H423" i="6" s="1"/>
  <c r="H424" i="6" s="1"/>
  <c r="H425" i="6" s="1"/>
  <c r="H426" i="6" s="1"/>
  <c r="H427" i="6" s="1"/>
  <c r="H428" i="6" s="1"/>
  <c r="H429" i="6" s="1"/>
  <c r="H430" i="6" s="1"/>
  <c r="H431" i="6" s="1"/>
  <c r="H432" i="6" s="1"/>
  <c r="H433" i="6" s="1"/>
  <c r="H434" i="6" s="1"/>
  <c r="H435" i="6" s="1"/>
  <c r="H436" i="6" s="1"/>
  <c r="H437" i="6" s="1"/>
  <c r="H438" i="6" s="1"/>
  <c r="H439" i="6" s="1"/>
  <c r="H440" i="6" s="1"/>
  <c r="H441" i="6" s="1"/>
  <c r="H442" i="6" s="1"/>
  <c r="H443" i="6" s="1"/>
  <c r="H444" i="6" s="1"/>
  <c r="H445" i="6" s="1"/>
  <c r="H446" i="6" s="1"/>
  <c r="H447" i="6" s="1"/>
  <c r="H448" i="6" s="1"/>
  <c r="H449" i="6" s="1"/>
  <c r="H450" i="6" s="1"/>
  <c r="H451" i="6" s="1"/>
  <c r="H452" i="6" s="1"/>
  <c r="H453" i="6" s="1"/>
  <c r="H454" i="6" s="1"/>
  <c r="H455" i="6" s="1"/>
  <c r="H456" i="6" s="1"/>
  <c r="H457" i="6" s="1"/>
  <c r="H458" i="6" s="1"/>
  <c r="H459" i="6" s="1"/>
  <c r="H460" i="6" s="1"/>
  <c r="H461" i="6" s="1"/>
  <c r="H462" i="6" s="1"/>
  <c r="H463" i="6" s="1"/>
  <c r="H464" i="6" s="1"/>
  <c r="H465" i="6" s="1"/>
  <c r="H466" i="6" s="1"/>
  <c r="H467" i="6" s="1"/>
  <c r="H468" i="6" s="1"/>
  <c r="H469" i="6" s="1"/>
  <c r="H470" i="6" s="1"/>
  <c r="H471" i="6" s="1"/>
  <c r="H472" i="6" s="1"/>
  <c r="H473" i="6" s="1"/>
  <c r="H474" i="6" s="1"/>
  <c r="H475" i="6" s="1"/>
  <c r="H476" i="6" s="1"/>
  <c r="H477" i="6" s="1"/>
  <c r="H478" i="6" s="1"/>
  <c r="H479" i="6" s="1"/>
  <c r="H480" i="6" s="1"/>
  <c r="H481" i="6" s="1"/>
  <c r="H482" i="6" s="1"/>
  <c r="H483" i="6" s="1"/>
  <c r="H484" i="6" s="1"/>
  <c r="H485" i="6" s="1"/>
  <c r="H486" i="6" s="1"/>
  <c r="H487" i="6" s="1"/>
  <c r="H488" i="6" s="1"/>
  <c r="H489" i="6" s="1"/>
  <c r="H490" i="6" s="1"/>
  <c r="H491" i="6" s="1"/>
  <c r="H492" i="6" s="1"/>
  <c r="H493" i="6" s="1"/>
  <c r="H494" i="6" s="1"/>
  <c r="H495" i="6" s="1"/>
  <c r="H496" i="6" s="1"/>
  <c r="H497" i="6" s="1"/>
  <c r="H498" i="6" s="1"/>
  <c r="H499" i="6" s="1"/>
  <c r="H500" i="6" s="1"/>
  <c r="H501" i="6" s="1"/>
  <c r="H502" i="6" s="1"/>
  <c r="H503" i="6" s="1"/>
  <c r="H504" i="6" s="1"/>
  <c r="H505" i="6" s="1"/>
  <c r="H506" i="6" s="1"/>
  <c r="H507" i="6" s="1"/>
  <c r="H508" i="6" s="1"/>
  <c r="H509" i="6" s="1"/>
  <c r="H510" i="6" s="1"/>
  <c r="H511" i="6" s="1"/>
  <c r="H512" i="6" s="1"/>
  <c r="H513" i="6" s="1"/>
  <c r="H514" i="6" s="1"/>
  <c r="H515" i="6" s="1"/>
  <c r="H516" i="6" s="1"/>
  <c r="H517" i="6" s="1"/>
  <c r="H518" i="6" s="1"/>
  <c r="H519" i="6" s="1"/>
  <c r="H520" i="6" s="1"/>
  <c r="H521" i="6" s="1"/>
  <c r="H522" i="6" s="1"/>
  <c r="H523" i="6" s="1"/>
  <c r="H524" i="6" s="1"/>
  <c r="H525" i="6" s="1"/>
  <c r="H526" i="6" s="1"/>
  <c r="H527" i="6" s="1"/>
  <c r="H528" i="6" s="1"/>
  <c r="H529" i="6" s="1"/>
  <c r="H530" i="6" s="1"/>
  <c r="H531" i="6" s="1"/>
  <c r="H532" i="6" s="1"/>
  <c r="H533" i="6" s="1"/>
  <c r="H534" i="6" s="1"/>
  <c r="H535" i="6" s="1"/>
  <c r="H536" i="6" s="1"/>
  <c r="H537" i="6" s="1"/>
  <c r="H538" i="6" s="1"/>
  <c r="H539" i="6" s="1"/>
  <c r="H540" i="6" s="1"/>
  <c r="H541" i="6" s="1"/>
  <c r="H542" i="6" s="1"/>
  <c r="H543" i="6" s="1"/>
  <c r="H544" i="6" s="1"/>
  <c r="H545" i="6" s="1"/>
  <c r="H546" i="6" s="1"/>
  <c r="H547" i="6" s="1"/>
  <c r="H548" i="6" s="1"/>
  <c r="H549" i="6" s="1"/>
  <c r="H550" i="6" s="1"/>
  <c r="H551" i="6" s="1"/>
  <c r="H552" i="6" s="1"/>
  <c r="H553" i="6" s="1"/>
  <c r="H554" i="6" s="1"/>
  <c r="H555" i="6" s="1"/>
  <c r="H556" i="6" s="1"/>
  <c r="H557" i="6" s="1"/>
  <c r="H558" i="6" s="1"/>
  <c r="H559" i="6" s="1"/>
  <c r="H560" i="6" s="1"/>
  <c r="H561" i="6" s="1"/>
  <c r="H562" i="6" s="1"/>
  <c r="H563" i="6" s="1"/>
  <c r="H564" i="6" s="1"/>
  <c r="H565" i="6" s="1"/>
  <c r="H566" i="6" s="1"/>
  <c r="H567" i="6" s="1"/>
  <c r="H568" i="6" s="1"/>
  <c r="H569" i="6" s="1"/>
  <c r="H570" i="6" s="1"/>
  <c r="H571" i="6" s="1"/>
  <c r="H572" i="6" s="1"/>
  <c r="H573" i="6" s="1"/>
  <c r="H574" i="6" s="1"/>
  <c r="H575" i="6" s="1"/>
  <c r="H576" i="6" s="1"/>
  <c r="H577" i="6" s="1"/>
  <c r="H578" i="6" s="1"/>
  <c r="H579" i="6" s="1"/>
  <c r="H580" i="6" s="1"/>
  <c r="H581" i="6" s="1"/>
  <c r="H582" i="6" s="1"/>
  <c r="H583" i="6" s="1"/>
  <c r="H584" i="6" s="1"/>
  <c r="H585" i="6" s="1"/>
  <c r="H586" i="6" s="1"/>
  <c r="H587" i="6" s="1"/>
  <c r="H588" i="6" s="1"/>
  <c r="H589" i="6" s="1"/>
  <c r="H590" i="6" s="1"/>
  <c r="H591" i="6" s="1"/>
  <c r="H592" i="6" s="1"/>
  <c r="H593" i="6" s="1"/>
  <c r="H594" i="6" s="1"/>
  <c r="H595" i="6" s="1"/>
  <c r="H596" i="6" s="1"/>
  <c r="H597" i="6" s="1"/>
  <c r="H598" i="6" s="1"/>
  <c r="H599" i="6" s="1"/>
  <c r="H600" i="6" s="1"/>
  <c r="H601" i="6" s="1"/>
  <c r="H602" i="6" s="1"/>
  <c r="H603" i="6" s="1"/>
  <c r="H604" i="6" s="1"/>
  <c r="H605" i="6" s="1"/>
  <c r="H606" i="6" s="1"/>
  <c r="H607" i="6" s="1"/>
  <c r="H608" i="6" s="1"/>
  <c r="H609" i="6" s="1"/>
  <c r="H610" i="6" s="1"/>
  <c r="H611" i="6" s="1"/>
  <c r="H612" i="6" s="1"/>
  <c r="H613" i="6" s="1"/>
  <c r="H614" i="6" s="1"/>
  <c r="H615" i="6" s="1"/>
  <c r="H616" i="6" s="1"/>
  <c r="H617" i="6" s="1"/>
  <c r="H618" i="6" s="1"/>
  <c r="H619" i="6" s="1"/>
  <c r="H620" i="6" s="1"/>
  <c r="H621" i="6" s="1"/>
  <c r="H622" i="6" s="1"/>
  <c r="H623" i="6" s="1"/>
  <c r="H624" i="6" s="1"/>
  <c r="H625" i="6" s="1"/>
  <c r="H626" i="6" s="1"/>
  <c r="H627" i="6" s="1"/>
  <c r="H628" i="6" s="1"/>
  <c r="H629" i="6" s="1"/>
  <c r="H630" i="6" s="1"/>
  <c r="H631" i="6" s="1"/>
  <c r="H632" i="6" s="1"/>
  <c r="H633" i="6" s="1"/>
  <c r="H634" i="6" s="1"/>
  <c r="H635" i="6" s="1"/>
  <c r="H636" i="6" s="1"/>
  <c r="H637" i="6" s="1"/>
  <c r="H638" i="6" s="1"/>
  <c r="H639" i="6" s="1"/>
  <c r="H640" i="6" s="1"/>
  <c r="H641" i="6" s="1"/>
  <c r="H642" i="6" s="1"/>
  <c r="H643" i="6" s="1"/>
  <c r="H644" i="6" s="1"/>
  <c r="H645" i="6" s="1"/>
  <c r="H646" i="6" s="1"/>
  <c r="H647" i="6" s="1"/>
  <c r="H648" i="6" s="1"/>
  <c r="H649" i="6" s="1"/>
  <c r="H650" i="6" s="1"/>
  <c r="H651" i="6" s="1"/>
  <c r="H652" i="6" s="1"/>
  <c r="H653" i="6" s="1"/>
  <c r="H654" i="6" s="1"/>
  <c r="H655" i="6" s="1"/>
  <c r="H656" i="6" s="1"/>
  <c r="H657" i="6" s="1"/>
  <c r="H658" i="6" s="1"/>
  <c r="H659" i="6" s="1"/>
  <c r="H660" i="6" s="1"/>
  <c r="H661" i="6" s="1"/>
  <c r="H662" i="6" s="1"/>
  <c r="H663" i="6" s="1"/>
  <c r="H664" i="6" s="1"/>
  <c r="H665" i="6" s="1"/>
  <c r="H666" i="6" s="1"/>
  <c r="H667" i="6" s="1"/>
  <c r="H668" i="6" s="1"/>
  <c r="H669" i="6" s="1"/>
  <c r="H670" i="6" s="1"/>
  <c r="H671" i="6" s="1"/>
  <c r="H672" i="6" s="1"/>
  <c r="H673" i="6" s="1"/>
  <c r="H674" i="6" s="1"/>
  <c r="H675" i="6" s="1"/>
  <c r="H676" i="6" s="1"/>
  <c r="H677" i="6" s="1"/>
  <c r="H678" i="6" s="1"/>
  <c r="H679" i="6" s="1"/>
  <c r="H680" i="6" s="1"/>
  <c r="H681" i="6" s="1"/>
  <c r="H682" i="6" s="1"/>
  <c r="H683" i="6" s="1"/>
  <c r="H684" i="6" s="1"/>
  <c r="H685" i="6" s="1"/>
  <c r="H686" i="6" s="1"/>
  <c r="H687" i="6" s="1"/>
  <c r="H688" i="6" s="1"/>
  <c r="H689" i="6" s="1"/>
  <c r="H690" i="6" s="1"/>
  <c r="H691" i="6" s="1"/>
  <c r="H692" i="6" s="1"/>
  <c r="H693" i="6" s="1"/>
  <c r="H694" i="6" s="1"/>
  <c r="H695" i="6" s="1"/>
  <c r="H696" i="6" s="1"/>
  <c r="H697" i="6" s="1"/>
  <c r="H698" i="6" s="1"/>
  <c r="H699" i="6" s="1"/>
  <c r="H700" i="6" s="1"/>
  <c r="H701" i="6" s="1"/>
  <c r="H702" i="6" s="1"/>
  <c r="H703" i="6" s="1"/>
  <c r="H704" i="6" s="1"/>
  <c r="H705" i="6" s="1"/>
  <c r="H706" i="6" s="1"/>
  <c r="H707" i="6" s="1"/>
  <c r="H708" i="6" s="1"/>
  <c r="H709" i="6" s="1"/>
  <c r="H710" i="6" s="1"/>
  <c r="H711" i="6" s="1"/>
  <c r="H712" i="6" s="1"/>
  <c r="H713" i="6" s="1"/>
  <c r="H714" i="6" s="1"/>
  <c r="H715" i="6" s="1"/>
  <c r="H716" i="6" s="1"/>
  <c r="H717" i="6" s="1"/>
  <c r="H718" i="6" s="1"/>
  <c r="H719" i="6" s="1"/>
  <c r="H720" i="6" s="1"/>
  <c r="H721" i="6" s="1"/>
  <c r="H722" i="6" s="1"/>
  <c r="H723" i="6" s="1"/>
  <c r="H724" i="6" s="1"/>
  <c r="H725" i="6" s="1"/>
  <c r="H726" i="6" s="1"/>
  <c r="H727" i="6" s="1"/>
  <c r="H728" i="6" s="1"/>
  <c r="H729" i="6" s="1"/>
  <c r="H730" i="6" s="1"/>
  <c r="H731" i="6" s="1"/>
  <c r="H732" i="6" s="1"/>
  <c r="H733" i="6" s="1"/>
  <c r="H734" i="6" s="1"/>
  <c r="H735" i="6" s="1"/>
  <c r="H736" i="6" s="1"/>
  <c r="H737" i="6" s="1"/>
  <c r="H738" i="6" s="1"/>
  <c r="H739" i="6" s="1"/>
  <c r="H740" i="6" s="1"/>
  <c r="H741" i="6" s="1"/>
  <c r="H742" i="6" s="1"/>
  <c r="H743" i="6" s="1"/>
  <c r="H744" i="6" s="1"/>
  <c r="H745" i="6" s="1"/>
  <c r="H746" i="6" s="1"/>
  <c r="H747" i="6" s="1"/>
  <c r="H748" i="6" s="1"/>
  <c r="H749" i="6" s="1"/>
  <c r="H750" i="6" s="1"/>
  <c r="H751" i="6" s="1"/>
  <c r="H752" i="6" s="1"/>
  <c r="H753" i="6" s="1"/>
  <c r="H754" i="6" s="1"/>
  <c r="H755" i="6" s="1"/>
  <c r="H756" i="6" s="1"/>
  <c r="H757" i="6" s="1"/>
  <c r="H758" i="6" s="1"/>
  <c r="H759" i="6" s="1"/>
  <c r="H760" i="6" s="1"/>
  <c r="H761" i="6" s="1"/>
  <c r="H762" i="6" s="1"/>
  <c r="H763" i="6" s="1"/>
  <c r="H764" i="6" s="1"/>
  <c r="H765" i="6" s="1"/>
  <c r="H766" i="6" s="1"/>
  <c r="H767" i="6" s="1"/>
  <c r="H768" i="6" s="1"/>
  <c r="H769" i="6" s="1"/>
  <c r="H770" i="6" s="1"/>
  <c r="H771" i="6" s="1"/>
  <c r="H772" i="6" s="1"/>
  <c r="H773" i="6" s="1"/>
  <c r="H774" i="6" s="1"/>
  <c r="H775" i="6" s="1"/>
  <c r="H776" i="6" s="1"/>
  <c r="H777" i="6" s="1"/>
  <c r="H778" i="6" s="1"/>
  <c r="H779" i="6" s="1"/>
  <c r="H780" i="6" s="1"/>
  <c r="H781" i="6" s="1"/>
  <c r="H782" i="6" s="1"/>
  <c r="H783" i="6" s="1"/>
  <c r="H784" i="6" s="1"/>
  <c r="H785" i="6" s="1"/>
  <c r="H786" i="6" s="1"/>
  <c r="H787" i="6" s="1"/>
  <c r="H788" i="6" s="1"/>
  <c r="H789" i="6" s="1"/>
  <c r="H790" i="6" s="1"/>
  <c r="H791" i="6" s="1"/>
  <c r="H792" i="6" s="1"/>
  <c r="H793" i="6" s="1"/>
  <c r="H794" i="6" s="1"/>
  <c r="H795" i="6" s="1"/>
  <c r="H796" i="6" s="1"/>
  <c r="H797" i="6" s="1"/>
  <c r="H798" i="6" s="1"/>
  <c r="H799" i="6" s="1"/>
  <c r="H800" i="6" s="1"/>
  <c r="H801" i="6" s="1"/>
  <c r="H802" i="6" s="1"/>
  <c r="H803" i="6" s="1"/>
  <c r="H804" i="6" s="1"/>
  <c r="H805" i="6" s="1"/>
  <c r="H806" i="6" s="1"/>
  <c r="H807" i="6" s="1"/>
  <c r="H808" i="6" s="1"/>
  <c r="H809" i="6" s="1"/>
  <c r="H810" i="6" s="1"/>
  <c r="H811" i="6" s="1"/>
  <c r="H812" i="6" s="1"/>
  <c r="H813" i="6" s="1"/>
  <c r="H814" i="6" s="1"/>
  <c r="H815" i="6" s="1"/>
  <c r="H816" i="6" s="1"/>
  <c r="H817" i="6" s="1"/>
  <c r="H818" i="6" s="1"/>
  <c r="H819" i="6" s="1"/>
  <c r="H820" i="6" s="1"/>
  <c r="H821" i="6" s="1"/>
  <c r="H822" i="6" s="1"/>
  <c r="H823" i="6" s="1"/>
  <c r="H824" i="6" s="1"/>
  <c r="H825" i="6" s="1"/>
  <c r="H826" i="6" s="1"/>
  <c r="H827" i="6" s="1"/>
  <c r="H828" i="6" s="1"/>
  <c r="H829" i="6" s="1"/>
  <c r="H830" i="6" s="1"/>
  <c r="H831" i="6" s="1"/>
  <c r="H832" i="6" s="1"/>
  <c r="H833" i="6" s="1"/>
  <c r="H834" i="6" s="1"/>
  <c r="H835" i="6" s="1"/>
  <c r="H836" i="6" s="1"/>
  <c r="H837" i="6" s="1"/>
  <c r="H838" i="6" s="1"/>
  <c r="H839" i="6" s="1"/>
  <c r="H840" i="6" s="1"/>
  <c r="H841" i="6" s="1"/>
  <c r="H842" i="6" s="1"/>
  <c r="H843" i="6" s="1"/>
  <c r="H844" i="6" s="1"/>
  <c r="H845" i="6" s="1"/>
  <c r="H846" i="6" s="1"/>
  <c r="H847" i="6" s="1"/>
  <c r="H848" i="6" s="1"/>
  <c r="H849" i="6" s="1"/>
  <c r="H850" i="6" s="1"/>
  <c r="H851" i="6" s="1"/>
  <c r="H852" i="6" s="1"/>
  <c r="H853" i="6" s="1"/>
  <c r="H854" i="6" s="1"/>
  <c r="H855" i="6" s="1"/>
  <c r="H856" i="6" s="1"/>
  <c r="H857" i="6" s="1"/>
  <c r="H858" i="6" s="1"/>
  <c r="H859" i="6" s="1"/>
  <c r="H860" i="6" s="1"/>
  <c r="H861" i="6" s="1"/>
  <c r="H862" i="6" s="1"/>
  <c r="H863" i="6" s="1"/>
  <c r="H864" i="6" s="1"/>
  <c r="H865" i="6" s="1"/>
  <c r="H866" i="6" s="1"/>
  <c r="H867" i="6" s="1"/>
  <c r="H868" i="6" s="1"/>
  <c r="H869" i="6" s="1"/>
  <c r="H870" i="6" s="1"/>
  <c r="H871" i="6" s="1"/>
  <c r="H872" i="6" s="1"/>
  <c r="H873" i="6" s="1"/>
  <c r="H874" i="6" s="1"/>
  <c r="H875" i="6" s="1"/>
  <c r="H876" i="6" s="1"/>
  <c r="H877" i="6" s="1"/>
  <c r="H878" i="6" s="1"/>
  <c r="H879" i="6" s="1"/>
  <c r="H880" i="6" s="1"/>
  <c r="H881" i="6" s="1"/>
  <c r="H882" i="6" s="1"/>
  <c r="H883" i="6" s="1"/>
  <c r="H884" i="6" s="1"/>
  <c r="H885" i="6" s="1"/>
  <c r="H886" i="6" s="1"/>
  <c r="H887" i="6" s="1"/>
  <c r="H888" i="6" s="1"/>
  <c r="H889" i="6" s="1"/>
  <c r="H890" i="6" s="1"/>
  <c r="H891" i="6" s="1"/>
  <c r="H892" i="6" s="1"/>
  <c r="H893" i="6" s="1"/>
  <c r="H894" i="6" s="1"/>
  <c r="H895" i="6" s="1"/>
  <c r="H896" i="6" s="1"/>
  <c r="H897" i="6" s="1"/>
  <c r="H898" i="6" s="1"/>
  <c r="H899" i="6" s="1"/>
  <c r="H900" i="6" s="1"/>
  <c r="H901" i="6" s="1"/>
  <c r="H902" i="6" s="1"/>
  <c r="H903" i="6" s="1"/>
  <c r="H904" i="6" s="1"/>
  <c r="H905" i="6" s="1"/>
  <c r="H906" i="6" s="1"/>
  <c r="H907" i="6" s="1"/>
  <c r="H908" i="6" s="1"/>
  <c r="H909" i="6" s="1"/>
  <c r="H910" i="6" s="1"/>
  <c r="H911" i="6" s="1"/>
  <c r="H912" i="6" s="1"/>
  <c r="H913" i="6" s="1"/>
  <c r="H914" i="6" s="1"/>
  <c r="H915" i="6" s="1"/>
  <c r="H916" i="6" s="1"/>
  <c r="H917" i="6" s="1"/>
  <c r="H918" i="6" s="1"/>
  <c r="H919" i="6" s="1"/>
  <c r="H920" i="6" s="1"/>
  <c r="H921" i="6" s="1"/>
  <c r="H922" i="6" s="1"/>
  <c r="H923" i="6" s="1"/>
  <c r="H924" i="6" s="1"/>
  <c r="H925" i="6" s="1"/>
  <c r="H926" i="6" s="1"/>
  <c r="H927" i="6" s="1"/>
  <c r="H928" i="6" s="1"/>
  <c r="H929" i="6" s="1"/>
  <c r="H930" i="6" s="1"/>
  <c r="H931" i="6" s="1"/>
  <c r="H932" i="6" s="1"/>
  <c r="H933" i="6" s="1"/>
  <c r="H934" i="6" s="1"/>
  <c r="H935" i="6" s="1"/>
  <c r="H936" i="6" s="1"/>
  <c r="H937" i="6" s="1"/>
  <c r="H938" i="6" s="1"/>
  <c r="H939" i="6" s="1"/>
  <c r="H940" i="6" s="1"/>
  <c r="H941" i="6" s="1"/>
  <c r="H942" i="6" s="1"/>
  <c r="H943" i="6" s="1"/>
  <c r="H944" i="6" s="1"/>
  <c r="H945" i="6" s="1"/>
  <c r="H946" i="6" s="1"/>
  <c r="H947" i="6" s="1"/>
  <c r="H948" i="6" s="1"/>
  <c r="H949" i="6" s="1"/>
  <c r="H950" i="6" s="1"/>
  <c r="H951" i="6" s="1"/>
  <c r="H952" i="6" s="1"/>
  <c r="H953" i="6" s="1"/>
  <c r="H954" i="6" s="1"/>
  <c r="H955" i="6" s="1"/>
  <c r="H956" i="6" s="1"/>
  <c r="H957" i="6" s="1"/>
  <c r="H958" i="6" s="1"/>
  <c r="H959" i="6" s="1"/>
  <c r="H960" i="6" s="1"/>
  <c r="H961" i="6" s="1"/>
  <c r="H962" i="6" s="1"/>
  <c r="H963" i="6" s="1"/>
  <c r="H964" i="6" s="1"/>
  <c r="H965" i="6" s="1"/>
  <c r="H966" i="6" s="1"/>
  <c r="H967" i="6" s="1"/>
  <c r="H968" i="6" s="1"/>
  <c r="H969" i="6" s="1"/>
  <c r="H970" i="6" s="1"/>
  <c r="H971" i="6" s="1"/>
  <c r="H972" i="6" s="1"/>
  <c r="H973" i="6" s="1"/>
  <c r="H974" i="6" s="1"/>
  <c r="H975" i="6" s="1"/>
  <c r="H976" i="6" s="1"/>
  <c r="H977" i="6" s="1"/>
  <c r="H978" i="6" s="1"/>
  <c r="H979" i="6" s="1"/>
  <c r="H980" i="6" s="1"/>
  <c r="H981" i="6" s="1"/>
  <c r="H982" i="6" s="1"/>
  <c r="H983" i="6" s="1"/>
  <c r="H984" i="6" s="1"/>
  <c r="H985" i="6" s="1"/>
  <c r="H986" i="6" s="1"/>
  <c r="H987" i="6" s="1"/>
  <c r="H988" i="6" s="1"/>
  <c r="H989" i="6" s="1"/>
  <c r="H990" i="6" s="1"/>
  <c r="H991" i="6" s="1"/>
  <c r="H992" i="6" s="1"/>
  <c r="H993" i="6" s="1"/>
  <c r="H994" i="6" s="1"/>
  <c r="H995" i="6" s="1"/>
  <c r="H996" i="6" s="1"/>
  <c r="H997" i="6" s="1"/>
  <c r="H998" i="6" s="1"/>
  <c r="H999" i="6" s="1"/>
  <c r="H1000" i="6" s="1"/>
  <c r="H1001" i="6" s="1"/>
  <c r="H1002" i="6" s="1"/>
  <c r="H1003" i="6" s="1"/>
  <c r="H1004" i="6" s="1"/>
  <c r="H1005" i="6" s="1"/>
  <c r="H1006" i="6" s="1"/>
  <c r="H1007" i="6" s="1"/>
  <c r="H1008" i="6" s="1"/>
  <c r="H1009" i="6" s="1"/>
  <c r="H1010" i="6" s="1"/>
  <c r="H1011" i="6" s="1"/>
  <c r="H1012" i="6" s="1"/>
  <c r="H1013" i="6" s="1"/>
  <c r="H1014" i="6" s="1"/>
  <c r="H1015" i="6" s="1"/>
  <c r="H1016" i="6" s="1"/>
  <c r="H1017" i="6" s="1"/>
  <c r="H1018" i="6" s="1"/>
  <c r="H1019" i="6" s="1"/>
  <c r="H1020" i="6" s="1"/>
  <c r="H1021" i="6" s="1"/>
  <c r="H1022" i="6" s="1"/>
  <c r="H1023" i="6" s="1"/>
  <c r="H1024" i="6" s="1"/>
  <c r="H1025" i="6" s="1"/>
  <c r="H1026" i="6" s="1"/>
  <c r="H1027" i="6" s="1"/>
  <c r="H1028" i="6" s="1"/>
  <c r="H1029" i="6" s="1"/>
  <c r="H1030" i="6" s="1"/>
  <c r="H1031" i="6" s="1"/>
  <c r="H1032" i="6" s="1"/>
  <c r="H1033" i="6" s="1"/>
  <c r="H1034" i="6" s="1"/>
  <c r="H1035" i="6" s="1"/>
  <c r="H1036" i="6" s="1"/>
  <c r="H1037" i="6" s="1"/>
  <c r="H1038" i="6" s="1"/>
  <c r="H1039" i="6" s="1"/>
  <c r="H1040" i="6" s="1"/>
  <c r="H1041" i="6" s="1"/>
  <c r="H1042" i="6" s="1"/>
  <c r="H1043" i="6" s="1"/>
  <c r="H1044" i="6" s="1"/>
  <c r="H1045" i="6" s="1"/>
  <c r="H1046" i="6" s="1"/>
  <c r="H1047" i="6" s="1"/>
  <c r="H1048" i="6" s="1"/>
  <c r="H1049" i="6" s="1"/>
  <c r="H1050" i="6" s="1"/>
  <c r="H1051" i="6" s="1"/>
  <c r="H1052" i="6" s="1"/>
  <c r="H1053" i="6" s="1"/>
  <c r="H1054" i="6" s="1"/>
  <c r="H1055" i="6" s="1"/>
  <c r="H1056" i="6" s="1"/>
  <c r="H1057" i="6" s="1"/>
  <c r="H1058" i="6" s="1"/>
  <c r="H1059" i="6" s="1"/>
  <c r="H1060" i="6" s="1"/>
  <c r="H1061" i="6" s="1"/>
  <c r="H1062" i="6" s="1"/>
  <c r="H1063" i="6" s="1"/>
  <c r="H1064" i="6" s="1"/>
  <c r="H1065" i="6" s="1"/>
  <c r="H1066" i="6" s="1"/>
  <c r="H1067" i="6" s="1"/>
  <c r="H1068" i="6" s="1"/>
  <c r="H1069" i="6" s="1"/>
  <c r="H1070" i="6" s="1"/>
  <c r="H1071" i="6" s="1"/>
  <c r="H1072" i="6" s="1"/>
  <c r="H1073" i="6" s="1"/>
  <c r="H1074" i="6" s="1"/>
  <c r="H1075" i="6" s="1"/>
  <c r="H1076" i="6" s="1"/>
  <c r="H1077" i="6" s="1"/>
  <c r="H1078" i="6" s="1"/>
  <c r="H1079" i="6" s="1"/>
  <c r="H1080" i="6" s="1"/>
  <c r="H1081" i="6" s="1"/>
  <c r="H1082" i="6" s="1"/>
  <c r="H1083" i="6" s="1"/>
  <c r="H1084" i="6" s="1"/>
  <c r="H1085" i="6" s="1"/>
  <c r="H1086" i="6" s="1"/>
  <c r="H1087" i="6" s="1"/>
  <c r="H1088" i="6" s="1"/>
  <c r="H1089" i="6" s="1"/>
  <c r="H1090" i="6" s="1"/>
  <c r="H1091" i="6" s="1"/>
  <c r="H1092" i="6" s="1"/>
  <c r="H1093" i="6" s="1"/>
  <c r="H1094" i="6" s="1"/>
  <c r="H1095" i="6" s="1"/>
  <c r="H1096" i="6" s="1"/>
  <c r="H1097" i="6" s="1"/>
  <c r="H1098" i="6" s="1"/>
  <c r="H1099" i="6" s="1"/>
  <c r="H1100" i="6" s="1"/>
  <c r="H1101" i="6" s="1"/>
  <c r="H1102" i="6" s="1"/>
  <c r="H1103" i="6" s="1"/>
  <c r="H1104" i="6" s="1"/>
  <c r="H1105" i="6" s="1"/>
  <c r="H1106" i="6" s="1"/>
  <c r="H1107" i="6" s="1"/>
  <c r="H1108" i="6" s="1"/>
  <c r="H1109" i="6" s="1"/>
  <c r="H1110" i="6" s="1"/>
  <c r="H1111" i="6" s="1"/>
  <c r="H1112" i="6" s="1"/>
  <c r="H1113" i="6" s="1"/>
  <c r="H1114" i="6" s="1"/>
  <c r="H1115" i="6" s="1"/>
  <c r="H1116" i="6" s="1"/>
  <c r="H1117" i="6" s="1"/>
  <c r="H1118" i="6" s="1"/>
  <c r="H1119" i="6" s="1"/>
  <c r="H1120" i="6" s="1"/>
  <c r="H1121" i="6" s="1"/>
  <c r="H1122" i="6" s="1"/>
  <c r="H1123" i="6" s="1"/>
  <c r="H1124" i="6" s="1"/>
  <c r="H1125" i="6" s="1"/>
  <c r="H1126" i="6" s="1"/>
  <c r="H1127" i="6" s="1"/>
  <c r="H1128" i="6" s="1"/>
  <c r="H1129" i="6" s="1"/>
  <c r="H1130" i="6" s="1"/>
  <c r="H1131" i="6" s="1"/>
  <c r="H1132" i="6" s="1"/>
  <c r="H1133" i="6" s="1"/>
  <c r="H1134" i="6" s="1"/>
  <c r="H1135" i="6" s="1"/>
  <c r="H1136" i="6" s="1"/>
  <c r="H1137" i="6" s="1"/>
  <c r="H1138" i="6" s="1"/>
  <c r="H1139" i="6" s="1"/>
  <c r="H1140" i="6" s="1"/>
  <c r="H1141" i="6" s="1"/>
  <c r="H1142" i="6" s="1"/>
  <c r="H1143" i="6" s="1"/>
  <c r="H1144" i="6" s="1"/>
  <c r="H1145" i="6" s="1"/>
  <c r="H1146" i="6" s="1"/>
  <c r="H1147" i="6" s="1"/>
  <c r="H1148" i="6" s="1"/>
  <c r="H1149" i="6" s="1"/>
  <c r="H1150" i="6" s="1"/>
  <c r="H1151" i="6" s="1"/>
  <c r="H1152" i="6" s="1"/>
  <c r="H1153" i="6" s="1"/>
  <c r="H1154" i="6" s="1"/>
  <c r="H1155" i="6" s="1"/>
  <c r="H1156" i="6" s="1"/>
  <c r="H1157" i="6" s="1"/>
  <c r="H1158" i="6" s="1"/>
  <c r="H1159" i="6" s="1"/>
  <c r="H1160" i="6" s="1"/>
  <c r="H1161" i="6" s="1"/>
  <c r="H1162" i="6" s="1"/>
  <c r="H1163" i="6" s="1"/>
  <c r="H1164" i="6" s="1"/>
  <c r="H1165" i="6" s="1"/>
  <c r="H1166" i="6" s="1"/>
  <c r="H1167" i="6" s="1"/>
  <c r="H1168" i="6" s="1"/>
  <c r="H1169" i="6" s="1"/>
  <c r="H1170" i="6" s="1"/>
  <c r="H1171" i="6" s="1"/>
  <c r="H1172" i="6" s="1"/>
  <c r="H1173" i="6" s="1"/>
  <c r="H1174" i="6" s="1"/>
  <c r="H1175" i="6" s="1"/>
  <c r="H1176" i="6" s="1"/>
  <c r="H1177" i="6" s="1"/>
  <c r="H1178" i="6" s="1"/>
  <c r="H1179" i="6" s="1"/>
  <c r="H1180" i="6" s="1"/>
  <c r="H1181" i="6" s="1"/>
  <c r="H1182" i="6" s="1"/>
  <c r="H1183" i="6" s="1"/>
  <c r="H1184" i="6" s="1"/>
  <c r="H1185" i="6" s="1"/>
  <c r="H1186" i="6" s="1"/>
  <c r="H1187" i="6" s="1"/>
  <c r="H1188" i="6" s="1"/>
  <c r="H1189" i="6" s="1"/>
  <c r="H1190" i="6" s="1"/>
  <c r="H1191" i="6" s="1"/>
  <c r="H1192" i="6" s="1"/>
  <c r="H1193" i="6" s="1"/>
  <c r="H1194" i="6" s="1"/>
  <c r="H1195" i="6" s="1"/>
  <c r="H1196" i="6" s="1"/>
  <c r="H1197" i="6" s="1"/>
  <c r="H1198" i="6" s="1"/>
  <c r="H1199" i="6" s="1"/>
  <c r="H1200" i="6" s="1"/>
  <c r="H1201" i="6" s="1"/>
  <c r="H1202" i="6" s="1"/>
  <c r="H1203" i="6" s="1"/>
  <c r="H1204" i="6" s="1"/>
  <c r="H1205" i="6" s="1"/>
  <c r="H1206" i="6" s="1"/>
  <c r="H1207" i="6" s="1"/>
  <c r="H1208" i="6" s="1"/>
  <c r="H1209" i="6" s="1"/>
  <c r="H1210" i="6" s="1"/>
  <c r="H1211" i="6" s="1"/>
  <c r="H1212" i="6" s="1"/>
  <c r="H1213" i="6" s="1"/>
  <c r="H1214" i="6" s="1"/>
  <c r="H1215" i="6" s="1"/>
  <c r="H1216" i="6" s="1"/>
  <c r="H1217" i="6" s="1"/>
  <c r="H1218" i="6" s="1"/>
  <c r="H1219" i="6" s="1"/>
  <c r="H1220" i="6" s="1"/>
  <c r="H1221" i="6" s="1"/>
  <c r="H1222" i="6" s="1"/>
  <c r="H1223" i="6" s="1"/>
  <c r="H1224" i="6" s="1"/>
  <c r="H1225" i="6" s="1"/>
  <c r="H1226" i="6" s="1"/>
  <c r="H1227" i="6" s="1"/>
  <c r="H1228" i="6" s="1"/>
  <c r="H1229" i="6" s="1"/>
  <c r="H1230" i="6" s="1"/>
  <c r="H1231" i="6" s="1"/>
  <c r="H1232" i="6" s="1"/>
  <c r="H1233" i="6" s="1"/>
  <c r="H1234" i="6" s="1"/>
  <c r="H1235" i="6" s="1"/>
  <c r="H1236" i="6" s="1"/>
  <c r="H1237" i="6" s="1"/>
  <c r="H1238" i="6" s="1"/>
  <c r="H1239" i="6" s="1"/>
  <c r="H1240" i="6" s="1"/>
  <c r="H1241" i="6" s="1"/>
  <c r="H1242" i="6" s="1"/>
  <c r="H1243" i="6" s="1"/>
  <c r="H1244" i="6" s="1"/>
  <c r="H1245" i="6" s="1"/>
  <c r="H1246" i="6" s="1"/>
  <c r="H1247" i="6" s="1"/>
  <c r="H1248" i="6" s="1"/>
  <c r="H1249" i="6" s="1"/>
  <c r="H1250" i="6" s="1"/>
  <c r="H1251" i="6" s="1"/>
  <c r="H1252" i="6" s="1"/>
  <c r="H1253" i="6" s="1"/>
  <c r="H1254" i="6" s="1"/>
  <c r="H1255" i="6" s="1"/>
  <c r="H1256" i="6" s="1"/>
  <c r="H1257" i="6" s="1"/>
  <c r="H1258" i="6" s="1"/>
  <c r="H1259" i="6" s="1"/>
  <c r="H1260" i="6" s="1"/>
  <c r="H1261" i="6" s="1"/>
  <c r="H1262" i="6" s="1"/>
  <c r="H1263" i="6" s="1"/>
  <c r="H1264" i="6" s="1"/>
  <c r="H1265" i="6" s="1"/>
  <c r="H1266" i="6" s="1"/>
  <c r="H1267" i="6" s="1"/>
  <c r="H1268" i="6" s="1"/>
  <c r="H1269" i="6" s="1"/>
  <c r="H1270" i="6" s="1"/>
  <c r="H1271" i="6" s="1"/>
  <c r="H1272" i="6" s="1"/>
  <c r="H1273" i="6" s="1"/>
  <c r="H1274" i="6" s="1"/>
  <c r="H1275" i="6" s="1"/>
  <c r="H1276" i="6" s="1"/>
  <c r="H1277" i="6" s="1"/>
  <c r="H1278" i="6" s="1"/>
  <c r="H1279" i="6" s="1"/>
  <c r="H1280" i="6" s="1"/>
  <c r="H1281" i="6" s="1"/>
  <c r="H1282" i="6" s="1"/>
  <c r="H1283" i="6" s="1"/>
  <c r="H1284" i="6" s="1"/>
  <c r="H1285" i="6" s="1"/>
  <c r="H1286" i="6" s="1"/>
  <c r="H1287" i="6" s="1"/>
  <c r="H1288" i="6" s="1"/>
  <c r="H1289" i="6" s="1"/>
  <c r="H1290" i="6" s="1"/>
  <c r="H1291" i="6" s="1"/>
  <c r="H1292" i="6" s="1"/>
  <c r="H1293" i="6" s="1"/>
  <c r="H1294" i="6" s="1"/>
  <c r="H1295" i="6" s="1"/>
  <c r="H1296" i="6" s="1"/>
  <c r="H1297" i="6" s="1"/>
  <c r="H1298" i="6" s="1"/>
  <c r="H1299" i="6" s="1"/>
  <c r="H1300" i="6" s="1"/>
  <c r="H1301" i="6" s="1"/>
  <c r="H1302" i="6" s="1"/>
  <c r="H1303" i="6" s="1"/>
  <c r="H1304" i="6" s="1"/>
  <c r="H1305" i="6" s="1"/>
  <c r="H1306" i="6" s="1"/>
  <c r="H1307" i="6" s="1"/>
  <c r="H1308" i="6" s="1"/>
  <c r="H1309" i="6" s="1"/>
  <c r="H1310" i="6" s="1"/>
  <c r="H1311" i="6" s="1"/>
  <c r="H1312" i="6" s="1"/>
  <c r="H1313" i="6" s="1"/>
  <c r="H1314" i="6" s="1"/>
  <c r="H1315" i="6" s="1"/>
  <c r="H1316" i="6" s="1"/>
  <c r="H1317" i="6" s="1"/>
  <c r="H1318" i="6" s="1"/>
  <c r="H1319" i="6" s="1"/>
  <c r="H1320" i="6" s="1"/>
  <c r="H1321" i="6" s="1"/>
  <c r="H1322" i="6" s="1"/>
  <c r="H1323" i="6" s="1"/>
  <c r="H1324" i="6" s="1"/>
  <c r="H1325" i="6" s="1"/>
  <c r="H1326" i="6" s="1"/>
  <c r="H1327" i="6" s="1"/>
  <c r="H1328" i="6" s="1"/>
  <c r="H1329" i="6" s="1"/>
  <c r="H1330" i="6" s="1"/>
  <c r="H1331" i="6" s="1"/>
  <c r="H1332" i="6" s="1"/>
  <c r="H1333" i="6" s="1"/>
  <c r="H1334" i="6" s="1"/>
  <c r="H1335" i="6" s="1"/>
  <c r="H1336" i="6" s="1"/>
  <c r="H1337" i="6" s="1"/>
  <c r="H1338" i="6" s="1"/>
  <c r="H1339" i="6" s="1"/>
  <c r="H1340" i="6" s="1"/>
  <c r="H1341" i="6" s="1"/>
  <c r="H1342" i="6" s="1"/>
  <c r="H1343" i="6" s="1"/>
  <c r="H1344" i="6" s="1"/>
  <c r="H1345" i="6" s="1"/>
  <c r="H1346" i="6" s="1"/>
  <c r="H1347" i="6" s="1"/>
  <c r="H1348" i="6" s="1"/>
  <c r="H1349" i="6" s="1"/>
  <c r="H1350" i="6" s="1"/>
  <c r="H1351" i="6" s="1"/>
  <c r="H1352" i="6" s="1"/>
  <c r="H1353" i="6" s="1"/>
  <c r="H1354" i="6" s="1"/>
  <c r="H1355" i="6" s="1"/>
  <c r="H1356" i="6" s="1"/>
  <c r="H1357" i="6" s="1"/>
  <c r="H1358" i="6" s="1"/>
  <c r="H1359" i="6" s="1"/>
  <c r="H25" i="6"/>
  <c r="C26" i="6"/>
  <c r="C25" i="6"/>
  <c r="H24" i="6"/>
  <c r="L3" i="10"/>
  <c r="L4" i="10"/>
  <c r="E3" i="10"/>
  <c r="K202" i="10"/>
  <c r="K203" i="10"/>
  <c r="K204" i="10"/>
  <c r="K205" i="10"/>
  <c r="K206" i="10"/>
  <c r="K207" i="10"/>
  <c r="K208" i="10"/>
  <c r="K209" i="10"/>
  <c r="K210" i="10"/>
  <c r="K211" i="10"/>
  <c r="K212" i="10"/>
  <c r="K213" i="10"/>
  <c r="K214" i="10"/>
  <c r="K215" i="10"/>
  <c r="K216" i="10"/>
  <c r="K217" i="10"/>
  <c r="K218" i="10"/>
  <c r="K219" i="10"/>
  <c r="K220" i="10"/>
  <c r="K221" i="10"/>
  <c r="K222" i="10"/>
  <c r="K223" i="10"/>
  <c r="K224" i="10"/>
  <c r="K225" i="10"/>
  <c r="K226" i="10"/>
  <c r="K227" i="10"/>
  <c r="K228" i="10"/>
  <c r="K229" i="10"/>
  <c r="K230" i="10"/>
  <c r="K231" i="10"/>
  <c r="K232" i="10"/>
  <c r="K233" i="10"/>
  <c r="K234" i="10"/>
  <c r="K235" i="10"/>
  <c r="K236" i="10"/>
  <c r="K237" i="10"/>
  <c r="K238" i="10"/>
  <c r="K239" i="10"/>
  <c r="K240" i="10"/>
  <c r="K241" i="10"/>
  <c r="K242" i="10"/>
  <c r="K243" i="10"/>
  <c r="K244" i="10"/>
  <c r="K245" i="10"/>
  <c r="K246" i="10"/>
  <c r="K247" i="10"/>
  <c r="K248" i="10"/>
  <c r="K249" i="10"/>
  <c r="K250" i="10"/>
  <c r="K251" i="10"/>
  <c r="K252" i="10"/>
  <c r="K253" i="10"/>
  <c r="K254" i="10"/>
  <c r="K255" i="10"/>
  <c r="K256" i="10"/>
  <c r="K257" i="10"/>
  <c r="K258" i="10"/>
  <c r="K259" i="10"/>
  <c r="K260" i="10"/>
  <c r="K261" i="10"/>
  <c r="K262" i="10"/>
  <c r="K263" i="10"/>
  <c r="K264" i="10"/>
  <c r="K265" i="10"/>
  <c r="K266" i="10"/>
  <c r="K267" i="10"/>
  <c r="K268" i="10"/>
  <c r="K269" i="10"/>
  <c r="K270" i="10"/>
  <c r="K271" i="10"/>
  <c r="K272" i="10" s="1"/>
  <c r="K273" i="10" s="1"/>
  <c r="K274" i="10" s="1"/>
  <c r="K275" i="10" s="1"/>
  <c r="K276" i="10" s="1"/>
  <c r="K277" i="10" s="1"/>
  <c r="K278" i="10" s="1"/>
  <c r="K279" i="10" s="1"/>
  <c r="K280" i="10" s="1"/>
  <c r="K281" i="10" s="1"/>
  <c r="K282" i="10" s="1"/>
  <c r="K283" i="10" s="1"/>
  <c r="K284" i="10" s="1"/>
  <c r="K285" i="10" s="1"/>
  <c r="K286" i="10" s="1"/>
  <c r="K287" i="10" s="1"/>
  <c r="K288" i="10" s="1"/>
  <c r="K289" i="10" s="1"/>
  <c r="K290" i="10" s="1"/>
  <c r="K291" i="10" s="1"/>
  <c r="K292" i="10" s="1"/>
  <c r="K293" i="10" s="1"/>
  <c r="K294" i="10" s="1"/>
  <c r="K295" i="10" s="1"/>
  <c r="K296" i="10" s="1"/>
  <c r="K297" i="10" s="1"/>
  <c r="K298" i="10" s="1"/>
  <c r="K299" i="10" s="1"/>
  <c r="K300" i="10" s="1"/>
  <c r="K301" i="10" s="1"/>
  <c r="K302" i="10" s="1"/>
  <c r="K303" i="10" s="1"/>
  <c r="K304" i="10" s="1"/>
  <c r="K305" i="10" s="1"/>
  <c r="K306" i="10" s="1"/>
  <c r="K307" i="10" s="1"/>
  <c r="K308" i="10" s="1"/>
  <c r="K309" i="10" s="1"/>
  <c r="K310" i="10" s="1"/>
  <c r="K311" i="10" s="1"/>
  <c r="K312" i="10" s="1"/>
  <c r="K313" i="10" s="1"/>
  <c r="K314" i="10" s="1"/>
  <c r="K315" i="10" s="1"/>
  <c r="K316" i="10" s="1"/>
  <c r="K317" i="10" s="1"/>
  <c r="K318" i="10" s="1"/>
  <c r="K319" i="10" s="1"/>
  <c r="K320" i="10" s="1"/>
  <c r="K321" i="10" s="1"/>
  <c r="K322" i="10" s="1"/>
  <c r="K323" i="10" s="1"/>
  <c r="K324" i="10" s="1"/>
  <c r="K325" i="10" s="1"/>
  <c r="K326" i="10" s="1"/>
  <c r="K327" i="10" s="1"/>
  <c r="K328" i="10" s="1"/>
  <c r="K329" i="10" s="1"/>
  <c r="K330" i="10" s="1"/>
  <c r="K331" i="10" s="1"/>
  <c r="K332" i="10" s="1"/>
  <c r="K333" i="10" s="1"/>
  <c r="K334" i="10" s="1"/>
  <c r="K335" i="10" s="1"/>
  <c r="K336" i="10" s="1"/>
  <c r="K337" i="10" s="1"/>
  <c r="K338" i="10" s="1"/>
  <c r="K339" i="10" s="1"/>
  <c r="K340" i="10" s="1"/>
  <c r="K341" i="10" s="1"/>
  <c r="K342" i="10" s="1"/>
  <c r="K343" i="10" s="1"/>
  <c r="K344" i="10" s="1"/>
  <c r="K345" i="10" s="1"/>
  <c r="K346" i="10" s="1"/>
  <c r="K347" i="10" s="1"/>
  <c r="K348" i="10" s="1"/>
  <c r="K349" i="10" s="1"/>
  <c r="K350" i="10" s="1"/>
  <c r="K351" i="10" s="1"/>
  <c r="K352" i="10" s="1"/>
  <c r="K353" i="10" s="1"/>
  <c r="K354" i="10" s="1"/>
  <c r="K355" i="10" s="1"/>
  <c r="K356" i="10" s="1"/>
  <c r="K357" i="10" s="1"/>
  <c r="K358" i="10" s="1"/>
  <c r="K359" i="10" s="1"/>
  <c r="K360" i="10" s="1"/>
  <c r="K361" i="10" s="1"/>
  <c r="K362" i="10" s="1"/>
  <c r="K363" i="10" s="1"/>
  <c r="K364" i="10" s="1"/>
  <c r="K365" i="10" s="1"/>
  <c r="K366" i="10" s="1"/>
  <c r="K367" i="10" s="1"/>
  <c r="K368" i="10" s="1"/>
  <c r="K369" i="10" s="1"/>
  <c r="K370" i="10" s="1"/>
  <c r="K371" i="10" s="1"/>
  <c r="K372" i="10" s="1"/>
  <c r="K373" i="10" s="1"/>
  <c r="K374" i="10" s="1"/>
  <c r="K375" i="10" s="1"/>
  <c r="K376" i="10" s="1"/>
  <c r="K377" i="10" s="1"/>
  <c r="K378" i="10" s="1"/>
  <c r="K379" i="10" s="1"/>
  <c r="K380" i="10" s="1"/>
  <c r="K381" i="10" s="1"/>
  <c r="K382" i="10" s="1"/>
  <c r="K383" i="10" s="1"/>
  <c r="K384" i="10" s="1"/>
  <c r="K385" i="10" s="1"/>
  <c r="K386" i="10" s="1"/>
  <c r="K387" i="10" s="1"/>
  <c r="K388" i="10" s="1"/>
  <c r="K389" i="10" s="1"/>
  <c r="K390" i="10" s="1"/>
  <c r="K391" i="10" s="1"/>
  <c r="K392" i="10" s="1"/>
  <c r="K393" i="10" s="1"/>
  <c r="K394" i="10" s="1"/>
  <c r="K395" i="10" s="1"/>
  <c r="K396" i="10" s="1"/>
  <c r="K397" i="10" s="1"/>
  <c r="K398" i="10" s="1"/>
  <c r="K399" i="10" s="1"/>
  <c r="K400" i="10" s="1"/>
  <c r="K401" i="10" s="1"/>
  <c r="K402" i="10" s="1"/>
  <c r="K403" i="10" s="1"/>
  <c r="K404" i="10" s="1"/>
  <c r="K405" i="10" s="1"/>
  <c r="K406" i="10" s="1"/>
  <c r="K407" i="10" s="1"/>
  <c r="K408" i="10" s="1"/>
  <c r="K409" i="10" s="1"/>
  <c r="K410" i="10" s="1"/>
  <c r="K411" i="10" s="1"/>
  <c r="K412" i="10" s="1"/>
  <c r="K413" i="10" s="1"/>
  <c r="K414" i="10" s="1"/>
  <c r="K415" i="10" s="1"/>
  <c r="K416" i="10" s="1"/>
  <c r="K417" i="10" s="1"/>
  <c r="K418" i="10" s="1"/>
  <c r="K419" i="10" s="1"/>
  <c r="K420" i="10" s="1"/>
  <c r="K421" i="10" s="1"/>
  <c r="K422" i="10" s="1"/>
  <c r="K423" i="10" s="1"/>
  <c r="K424" i="10" s="1"/>
  <c r="K425" i="10" s="1"/>
  <c r="K426" i="10" s="1"/>
  <c r="K427" i="10" s="1"/>
  <c r="K428" i="10" s="1"/>
  <c r="K429" i="10" s="1"/>
  <c r="K430" i="10" s="1"/>
  <c r="K431" i="10" s="1"/>
  <c r="K432" i="10" s="1"/>
  <c r="K433" i="10" s="1"/>
  <c r="K434" i="10" s="1"/>
  <c r="K435" i="10" s="1"/>
  <c r="K436" i="10" s="1"/>
  <c r="K437" i="10" s="1"/>
  <c r="K438" i="10" s="1"/>
  <c r="K439" i="10" s="1"/>
  <c r="K440" i="10" s="1"/>
  <c r="K441" i="10" s="1"/>
  <c r="K442" i="10" s="1"/>
  <c r="K443" i="10" s="1"/>
  <c r="K444" i="10" s="1"/>
  <c r="K445" i="10" s="1"/>
  <c r="K446" i="10" s="1"/>
  <c r="K447" i="10" s="1"/>
  <c r="K448" i="10" s="1"/>
  <c r="K449" i="10" s="1"/>
  <c r="K450" i="10" s="1"/>
  <c r="K451" i="10" s="1"/>
  <c r="K452" i="10" s="1"/>
  <c r="K453" i="10" s="1"/>
  <c r="K454" i="10" s="1"/>
  <c r="K455" i="10" s="1"/>
  <c r="K456" i="10" s="1"/>
  <c r="K457" i="10" s="1"/>
  <c r="K458" i="10" s="1"/>
  <c r="K459" i="10" s="1"/>
  <c r="K460" i="10" s="1"/>
  <c r="K461" i="10" s="1"/>
  <c r="K462" i="10" s="1"/>
  <c r="K463" i="10" s="1"/>
  <c r="K464" i="10" s="1"/>
  <c r="K465" i="10" s="1"/>
  <c r="K466" i="10" s="1"/>
  <c r="K467" i="10" s="1"/>
  <c r="K468" i="10" s="1"/>
  <c r="K469" i="10" s="1"/>
  <c r="K470" i="10" s="1"/>
  <c r="K471" i="10" s="1"/>
  <c r="K472" i="10" s="1"/>
  <c r="K473" i="10" s="1"/>
  <c r="K474" i="10" s="1"/>
  <c r="K475" i="10" s="1"/>
  <c r="K476" i="10" s="1"/>
  <c r="K477" i="10" s="1"/>
  <c r="K478" i="10" s="1"/>
  <c r="K479" i="10" s="1"/>
  <c r="K480" i="10" s="1"/>
  <c r="K481" i="10" s="1"/>
  <c r="K482" i="10" s="1"/>
  <c r="K483" i="10" s="1"/>
  <c r="K484" i="10" s="1"/>
  <c r="K485" i="10" s="1"/>
  <c r="K486" i="10" s="1"/>
  <c r="K487" i="10" s="1"/>
  <c r="K488" i="10" s="1"/>
  <c r="K489" i="10" s="1"/>
  <c r="K490" i="10" s="1"/>
  <c r="K491" i="10" s="1"/>
  <c r="K492" i="10" s="1"/>
  <c r="K493" i="10" s="1"/>
  <c r="K494" i="10" s="1"/>
  <c r="K495" i="10" s="1"/>
  <c r="K496" i="10" s="1"/>
  <c r="K497" i="10" s="1"/>
  <c r="K498" i="10" s="1"/>
  <c r="K499" i="10" s="1"/>
  <c r="K500" i="10" s="1"/>
  <c r="K501" i="10" s="1"/>
  <c r="K502" i="10" s="1"/>
  <c r="K503" i="10" s="1"/>
  <c r="K504" i="10" s="1"/>
  <c r="K505" i="10" s="1"/>
  <c r="K506" i="10" s="1"/>
  <c r="K507" i="10" s="1"/>
  <c r="K508" i="10" s="1"/>
  <c r="K509" i="10" s="1"/>
  <c r="K510" i="10" s="1"/>
  <c r="K511" i="10" s="1"/>
  <c r="K512" i="10" s="1"/>
  <c r="K513" i="10" s="1"/>
  <c r="K514" i="10" s="1"/>
  <c r="K515" i="10" s="1"/>
  <c r="K516" i="10" s="1"/>
  <c r="K517" i="10" s="1"/>
  <c r="K518" i="10" s="1"/>
  <c r="K519" i="10" s="1"/>
  <c r="K520" i="10" s="1"/>
  <c r="K521" i="10" s="1"/>
  <c r="K522" i="10" s="1"/>
  <c r="K523" i="10" s="1"/>
  <c r="K524" i="10" s="1"/>
  <c r="K525" i="10" s="1"/>
  <c r="K526" i="10" s="1"/>
  <c r="K527" i="10" s="1"/>
  <c r="K528" i="10" s="1"/>
  <c r="K529" i="10" s="1"/>
  <c r="K530" i="10" s="1"/>
  <c r="K531" i="10" s="1"/>
  <c r="K532" i="10" s="1"/>
  <c r="K533" i="10" s="1"/>
  <c r="K534" i="10" s="1"/>
  <c r="K535" i="10" s="1"/>
  <c r="K536" i="10" s="1"/>
  <c r="K537" i="10" s="1"/>
  <c r="K538" i="10" s="1"/>
  <c r="K539" i="10" s="1"/>
  <c r="K540" i="10" s="1"/>
  <c r="K541" i="10" s="1"/>
  <c r="K542" i="10" s="1"/>
  <c r="K543" i="10" s="1"/>
  <c r="K544" i="10" s="1"/>
  <c r="K545" i="10" s="1"/>
  <c r="K546" i="10" s="1"/>
  <c r="K547" i="10" s="1"/>
  <c r="K548" i="10" s="1"/>
  <c r="K549" i="10" s="1"/>
  <c r="K550" i="10" s="1"/>
  <c r="K551" i="10" s="1"/>
  <c r="K552" i="10" s="1"/>
  <c r="K553" i="10" s="1"/>
  <c r="K554" i="10" s="1"/>
  <c r="K555" i="10" s="1"/>
  <c r="K556" i="10" s="1"/>
  <c r="K557" i="10" s="1"/>
  <c r="K558" i="10" s="1"/>
  <c r="K559" i="10" s="1"/>
  <c r="K560" i="10" s="1"/>
  <c r="K561" i="10" s="1"/>
  <c r="K562" i="10" s="1"/>
  <c r="K563" i="10" s="1"/>
  <c r="K564" i="10" s="1"/>
  <c r="K565" i="10" s="1"/>
  <c r="K566" i="10" s="1"/>
  <c r="K567" i="10" s="1"/>
  <c r="K568" i="10" s="1"/>
  <c r="K569" i="10" s="1"/>
  <c r="K570" i="10" s="1"/>
  <c r="K571" i="10" s="1"/>
  <c r="K572" i="10" s="1"/>
  <c r="K573" i="10" s="1"/>
  <c r="K574" i="10" s="1"/>
  <c r="K575" i="10" s="1"/>
  <c r="K576" i="10" s="1"/>
  <c r="K577" i="10" s="1"/>
  <c r="K578" i="10" s="1"/>
  <c r="K579" i="10" s="1"/>
  <c r="K580" i="10" s="1"/>
  <c r="K581" i="10" s="1"/>
  <c r="K582" i="10" s="1"/>
  <c r="K583" i="10" s="1"/>
  <c r="K584" i="10" s="1"/>
  <c r="K585" i="10" s="1"/>
  <c r="K586" i="10" s="1"/>
  <c r="K587" i="10" s="1"/>
  <c r="K588" i="10" s="1"/>
  <c r="K589" i="10"/>
  <c r="K590" i="10"/>
  <c r="K591" i="10"/>
  <c r="K592" i="10"/>
  <c r="K593" i="10"/>
  <c r="K594" i="10"/>
  <c r="K595" i="10"/>
  <c r="K596" i="10"/>
  <c r="K597" i="10"/>
  <c r="K598" i="10"/>
  <c r="K599" i="10"/>
  <c r="K600" i="10"/>
  <c r="K601" i="10"/>
  <c r="K602" i="10"/>
  <c r="K603" i="10"/>
  <c r="K604" i="10"/>
  <c r="K605" i="10"/>
  <c r="K606" i="10"/>
  <c r="K607" i="10"/>
  <c r="K608" i="10"/>
  <c r="K609" i="10"/>
  <c r="K610" i="10"/>
  <c r="K611" i="10"/>
  <c r="K612" i="10"/>
  <c r="K613" i="10"/>
  <c r="K614" i="10"/>
  <c r="K615" i="10"/>
  <c r="K616" i="10"/>
  <c r="K617" i="10"/>
  <c r="K618" i="10"/>
  <c r="K619" i="10"/>
  <c r="K620" i="10"/>
  <c r="K621" i="10"/>
  <c r="K622" i="10"/>
  <c r="K623" i="10"/>
  <c r="K624" i="10"/>
  <c r="K625" i="10"/>
  <c r="K626" i="10"/>
  <c r="K627" i="10"/>
  <c r="K628" i="10"/>
  <c r="K629" i="10"/>
  <c r="K630" i="10"/>
  <c r="K631" i="10"/>
  <c r="K632" i="10"/>
  <c r="K633" i="10"/>
  <c r="K634" i="10"/>
  <c r="K635" i="10"/>
  <c r="K636" i="10"/>
  <c r="K637" i="10"/>
  <c r="K638" i="10"/>
  <c r="K639" i="10"/>
  <c r="K640" i="10"/>
  <c r="K641" i="10"/>
  <c r="K642" i="10"/>
  <c r="K643" i="10"/>
  <c r="K644" i="10"/>
  <c r="K645" i="10"/>
  <c r="K646" i="10"/>
  <c r="K647" i="10"/>
  <c r="K648" i="10"/>
  <c r="K649" i="10"/>
  <c r="K650" i="10"/>
  <c r="K651" i="10" s="1"/>
  <c r="K652" i="10" s="1"/>
  <c r="K653" i="10" s="1"/>
  <c r="K654" i="10" s="1"/>
  <c r="K655" i="10" s="1"/>
  <c r="K656" i="10" s="1"/>
  <c r="K657" i="10" s="1"/>
  <c r="K658" i="10" s="1"/>
  <c r="K659" i="10" s="1"/>
  <c r="K660" i="10" s="1"/>
  <c r="K661" i="10" s="1"/>
  <c r="K662" i="10" s="1"/>
  <c r="K663" i="10" s="1"/>
  <c r="K664" i="10"/>
  <c r="K665" i="10"/>
  <c r="K666" i="10"/>
  <c r="K667" i="10"/>
  <c r="K668" i="10"/>
  <c r="K669" i="10"/>
  <c r="K670" i="10"/>
  <c r="K671" i="10"/>
  <c r="K672" i="10"/>
  <c r="K673" i="10"/>
  <c r="K674" i="10"/>
  <c r="K675" i="10"/>
  <c r="K676" i="10"/>
  <c r="K677" i="10"/>
  <c r="K678" i="10"/>
  <c r="K679" i="10"/>
  <c r="K680" i="10"/>
  <c r="K681" i="10"/>
  <c r="K682" i="10"/>
  <c r="K683" i="10"/>
  <c r="K684" i="10"/>
  <c r="K685" i="10"/>
  <c r="K686" i="10"/>
  <c r="K687" i="10"/>
  <c r="K688" i="10"/>
  <c r="K689" i="10"/>
  <c r="K690" i="10"/>
  <c r="K691" i="10"/>
  <c r="K692" i="10"/>
  <c r="K693" i="10"/>
  <c r="K694" i="10"/>
  <c r="K695" i="10"/>
  <c r="K696" i="10"/>
  <c r="K697" i="10"/>
  <c r="K698" i="10"/>
  <c r="K699" i="10"/>
  <c r="K700" i="10"/>
  <c r="K701" i="10"/>
  <c r="K702" i="10"/>
  <c r="K703" i="10"/>
  <c r="K704" i="10"/>
  <c r="K705" i="10"/>
  <c r="K706" i="10"/>
  <c r="K707" i="10"/>
  <c r="K708" i="10"/>
  <c r="K709" i="10"/>
  <c r="K710" i="10"/>
  <c r="K711" i="10"/>
  <c r="K712" i="10"/>
  <c r="K713" i="10"/>
  <c r="K714" i="10"/>
  <c r="K715" i="10"/>
  <c r="K716" i="10"/>
  <c r="K717" i="10"/>
  <c r="K718" i="10"/>
  <c r="K719" i="10"/>
  <c r="K720" i="10"/>
  <c r="K721" i="10"/>
  <c r="K722" i="10"/>
  <c r="K723" i="10"/>
  <c r="K724" i="10"/>
  <c r="K725" i="10"/>
  <c r="K726" i="10" s="1"/>
  <c r="K727" i="10" s="1"/>
  <c r="K728" i="10" s="1"/>
  <c r="K729" i="10" s="1"/>
  <c r="K730" i="10" s="1"/>
  <c r="K731" i="10" s="1"/>
  <c r="K732" i="10" s="1"/>
  <c r="K733" i="10" s="1"/>
  <c r="K734" i="10" s="1"/>
  <c r="K735" i="10" s="1"/>
  <c r="K736" i="10" s="1"/>
  <c r="K737" i="10" s="1"/>
  <c r="K738" i="10" s="1"/>
  <c r="K739" i="10" s="1"/>
  <c r="K740" i="10" s="1"/>
  <c r="K741" i="10" s="1"/>
  <c r="K742" i="10" s="1"/>
  <c r="K743" i="10" s="1"/>
  <c r="K744" i="10" s="1"/>
  <c r="K745" i="10" s="1"/>
  <c r="K746" i="10" s="1"/>
  <c r="K747" i="10" s="1"/>
  <c r="K748" i="10" s="1"/>
  <c r="K749" i="10" s="1"/>
  <c r="K750" i="10" s="1"/>
  <c r="K751" i="10" s="1"/>
  <c r="K752" i="10" s="1"/>
  <c r="K753" i="10" s="1"/>
  <c r="K754" i="10" s="1"/>
  <c r="K755" i="10" s="1"/>
  <c r="K756" i="10" s="1"/>
  <c r="K757" i="10" s="1"/>
  <c r="K758" i="10" s="1"/>
  <c r="K759" i="10" s="1"/>
  <c r="K760" i="10" s="1"/>
  <c r="K761" i="10" s="1"/>
  <c r="K762" i="10" s="1"/>
  <c r="K763" i="10" s="1"/>
  <c r="K764" i="10" s="1"/>
  <c r="K765" i="10" s="1"/>
  <c r="K766" i="10" s="1"/>
  <c r="K767" i="10" s="1"/>
  <c r="K768" i="10" s="1"/>
  <c r="K769" i="10" s="1"/>
  <c r="K770" i="10" s="1"/>
  <c r="K771" i="10" s="1"/>
  <c r="K772" i="10" s="1"/>
  <c r="K773" i="10" s="1"/>
  <c r="K774" i="10" s="1"/>
  <c r="K775" i="10" s="1"/>
  <c r="K776" i="10" s="1"/>
  <c r="K777" i="10" s="1"/>
  <c r="K778" i="10" s="1"/>
  <c r="K779" i="10" s="1"/>
  <c r="K780" i="10" s="1"/>
  <c r="K781" i="10" s="1"/>
  <c r="K782" i="10" s="1"/>
  <c r="K783" i="10" s="1"/>
  <c r="K784" i="10" s="1"/>
  <c r="K785" i="10" s="1"/>
  <c r="K786" i="10" s="1"/>
  <c r="K787" i="10" s="1"/>
  <c r="K788" i="10" s="1"/>
  <c r="K789" i="10" s="1"/>
  <c r="K790" i="10" s="1"/>
  <c r="K791" i="10" s="1"/>
  <c r="K792" i="10" s="1"/>
  <c r="K793" i="10" s="1"/>
  <c r="K794" i="10" s="1"/>
  <c r="K795" i="10" s="1"/>
  <c r="K796" i="10" s="1"/>
  <c r="K797" i="10" s="1"/>
  <c r="K798" i="10" s="1"/>
  <c r="K799" i="10" s="1"/>
  <c r="K800" i="10" s="1"/>
  <c r="K801" i="10" s="1"/>
  <c r="K802" i="10" s="1"/>
  <c r="K803" i="10" s="1"/>
  <c r="K804" i="10" s="1"/>
  <c r="K805" i="10" s="1"/>
  <c r="K806" i="10" s="1"/>
  <c r="K807" i="10" s="1"/>
  <c r="K808" i="10" s="1"/>
  <c r="K809" i="10" s="1"/>
  <c r="K810" i="10" s="1"/>
  <c r="K811" i="10" s="1"/>
  <c r="K812" i="10" s="1"/>
  <c r="K813" i="10" s="1"/>
  <c r="K814" i="10" s="1"/>
  <c r="K815" i="10" s="1"/>
  <c r="K816" i="10" s="1"/>
  <c r="K817" i="10" s="1"/>
  <c r="K818" i="10" s="1"/>
  <c r="K819" i="10" s="1"/>
  <c r="K820" i="10" s="1"/>
  <c r="K821" i="10" s="1"/>
  <c r="K822" i="10" s="1"/>
  <c r="K823" i="10" s="1"/>
  <c r="K824" i="10" s="1"/>
  <c r="K825" i="10" s="1"/>
  <c r="K826" i="10" s="1"/>
  <c r="K827" i="10" s="1"/>
  <c r="K828" i="10" s="1"/>
  <c r="K829" i="10" s="1"/>
  <c r="K830" i="10" s="1"/>
  <c r="K831" i="10" s="1"/>
  <c r="K832" i="10" s="1"/>
  <c r="K833" i="10" s="1"/>
  <c r="K834" i="10" s="1"/>
  <c r="K835" i="10" s="1"/>
  <c r="K836" i="10" s="1"/>
  <c r="K837" i="10" s="1"/>
  <c r="K838" i="10" s="1"/>
  <c r="K839" i="10" s="1"/>
  <c r="K840" i="10" s="1"/>
  <c r="K841" i="10" s="1"/>
  <c r="K842" i="10" s="1"/>
  <c r="K843" i="10" s="1"/>
  <c r="K844" i="10" s="1"/>
  <c r="K845" i="10" s="1"/>
  <c r="K846" i="10" s="1"/>
  <c r="K847" i="10" s="1"/>
  <c r="K848" i="10" s="1"/>
  <c r="K849" i="10" s="1"/>
  <c r="K850" i="10" s="1"/>
  <c r="K851" i="10" s="1"/>
  <c r="K852" i="10" s="1"/>
  <c r="K853" i="10" s="1"/>
  <c r="K854" i="10" s="1"/>
  <c r="K855" i="10" s="1"/>
  <c r="K856" i="10" s="1"/>
  <c r="K857" i="10" s="1"/>
  <c r="K858" i="10" s="1"/>
  <c r="K859" i="10" s="1"/>
  <c r="K860" i="10" s="1"/>
  <c r="K861" i="10" s="1"/>
  <c r="K862" i="10" s="1"/>
  <c r="K863" i="10" s="1"/>
  <c r="K864" i="10" s="1"/>
  <c r="K865" i="10" s="1"/>
  <c r="K866" i="10" s="1"/>
  <c r="K867" i="10" s="1"/>
  <c r="K868" i="10" s="1"/>
  <c r="K869" i="10" s="1"/>
  <c r="K870" i="10" s="1"/>
  <c r="K871" i="10" s="1"/>
  <c r="K872" i="10" s="1"/>
  <c r="K873" i="10" s="1"/>
  <c r="K874" i="10" s="1"/>
  <c r="K875" i="10" s="1"/>
  <c r="K876" i="10" s="1"/>
  <c r="K877" i="10" s="1"/>
  <c r="K878" i="10" s="1"/>
  <c r="K879" i="10" s="1"/>
  <c r="K880" i="10" s="1"/>
  <c r="K881" i="10" s="1"/>
  <c r="K882" i="10" s="1"/>
  <c r="K883" i="10" s="1"/>
  <c r="K884" i="10" s="1"/>
  <c r="K885" i="10" s="1"/>
  <c r="K886" i="10" s="1"/>
  <c r="K887" i="10" s="1"/>
  <c r="K888" i="10" s="1"/>
  <c r="K889" i="10" s="1"/>
  <c r="K890" i="10" s="1"/>
  <c r="K891" i="10" s="1"/>
  <c r="K892" i="10" s="1"/>
  <c r="K893" i="10" s="1"/>
  <c r="K894" i="10" s="1"/>
  <c r="K895" i="10" s="1"/>
  <c r="K896" i="10" s="1"/>
  <c r="K897" i="10" s="1"/>
  <c r="K898" i="10" s="1"/>
  <c r="K899" i="10" s="1"/>
  <c r="K900" i="10" s="1"/>
  <c r="K901" i="10" s="1"/>
  <c r="K902" i="10" s="1"/>
  <c r="K903" i="10" s="1"/>
  <c r="K904" i="10" s="1"/>
  <c r="K905" i="10" s="1"/>
  <c r="K906" i="10" s="1"/>
  <c r="K907" i="10" s="1"/>
  <c r="K908" i="10" s="1"/>
  <c r="K909" i="10" s="1"/>
  <c r="K910" i="10" s="1"/>
  <c r="K911" i="10" s="1"/>
  <c r="K912" i="10" s="1"/>
  <c r="K913" i="10" s="1"/>
  <c r="K914" i="10" s="1"/>
  <c r="K915" i="10" s="1"/>
  <c r="K916" i="10" s="1"/>
  <c r="K917" i="10" s="1"/>
  <c r="K918" i="10" s="1"/>
  <c r="K919" i="10" s="1"/>
  <c r="K920" i="10" s="1"/>
  <c r="K921" i="10" s="1"/>
  <c r="K922" i="10" s="1"/>
  <c r="K923" i="10" s="1"/>
  <c r="K924" i="10" s="1"/>
  <c r="K925" i="10" s="1"/>
  <c r="K926" i="10" s="1"/>
  <c r="K927" i="10" s="1"/>
  <c r="K928" i="10" s="1"/>
  <c r="K929" i="10" s="1"/>
  <c r="K930" i="10" s="1"/>
  <c r="K931" i="10" s="1"/>
  <c r="K932" i="10" s="1"/>
  <c r="K933" i="10" s="1"/>
  <c r="K934" i="10" s="1"/>
  <c r="K935" i="10" s="1"/>
  <c r="K936" i="10" s="1"/>
  <c r="K937" i="10" s="1"/>
  <c r="K938" i="10" s="1"/>
  <c r="K939" i="10" s="1"/>
  <c r="K940" i="10" s="1"/>
  <c r="K941" i="10" s="1"/>
  <c r="K942" i="10" s="1"/>
  <c r="K943" i="10" s="1"/>
  <c r="K944" i="10" s="1"/>
  <c r="K945" i="10" s="1"/>
  <c r="K946" i="10" s="1"/>
  <c r="K947" i="10" s="1"/>
  <c r="K948" i="10" s="1"/>
  <c r="K949" i="10" s="1"/>
  <c r="K950" i="10" s="1"/>
  <c r="K951" i="10" s="1"/>
  <c r="K952" i="10" s="1"/>
  <c r="K953" i="10" s="1"/>
  <c r="K954" i="10" s="1"/>
  <c r="K955" i="10" s="1"/>
  <c r="K956" i="10" s="1"/>
  <c r="K957" i="10" s="1"/>
  <c r="K958" i="10" s="1"/>
  <c r="K959" i="10" s="1"/>
  <c r="K960" i="10" s="1"/>
  <c r="K961" i="10" s="1"/>
  <c r="K962" i="10" s="1"/>
  <c r="K963" i="10" s="1"/>
  <c r="K964" i="10" s="1"/>
  <c r="K965" i="10" s="1"/>
  <c r="K966" i="10" s="1"/>
  <c r="K967" i="10" s="1"/>
  <c r="K968" i="10" s="1"/>
  <c r="K969" i="10" s="1"/>
  <c r="K970" i="10" s="1"/>
  <c r="K971" i="10" s="1"/>
  <c r="K972" i="10" s="1"/>
  <c r="K973" i="10" s="1"/>
  <c r="K974" i="10" s="1"/>
  <c r="K975" i="10" s="1"/>
  <c r="K976" i="10" s="1"/>
  <c r="K977" i="10" s="1"/>
  <c r="K978" i="10" s="1"/>
  <c r="K979" i="10" s="1"/>
  <c r="K980" i="10" s="1"/>
  <c r="K981" i="10" s="1"/>
  <c r="K982" i="10" s="1"/>
  <c r="K983" i="10" s="1"/>
  <c r="K984" i="10" s="1"/>
  <c r="K985" i="10" s="1"/>
  <c r="K986" i="10" s="1"/>
  <c r="K987" i="10" s="1"/>
  <c r="K988" i="10" s="1"/>
  <c r="K989" i="10" s="1"/>
  <c r="K990" i="10" s="1"/>
  <c r="K991" i="10" s="1"/>
  <c r="K992" i="10" s="1"/>
  <c r="K993" i="10" s="1"/>
  <c r="K994" i="10" s="1"/>
  <c r="K995" i="10" s="1"/>
  <c r="K996" i="10" s="1"/>
  <c r="K997" i="10" s="1"/>
  <c r="K998" i="10" s="1"/>
  <c r="K999" i="10" s="1"/>
  <c r="K1000" i="10" s="1"/>
  <c r="K1001" i="10" s="1"/>
  <c r="K1002" i="10" s="1"/>
  <c r="K1003" i="10" s="1"/>
  <c r="K1004" i="10" s="1"/>
  <c r="K1005" i="10" s="1"/>
  <c r="K1006" i="10" s="1"/>
  <c r="K1007" i="10" s="1"/>
  <c r="K1008" i="10" s="1"/>
  <c r="K1009" i="10" s="1"/>
  <c r="K1010" i="10" s="1"/>
  <c r="K1011" i="10" s="1"/>
  <c r="K1012" i="10" s="1"/>
  <c r="K1013" i="10" s="1"/>
  <c r="K1014" i="10" s="1"/>
  <c r="K1015" i="10" s="1"/>
  <c r="K1016" i="10" s="1"/>
  <c r="K1017" i="10" s="1"/>
  <c r="K1018" i="10" s="1"/>
  <c r="K1019" i="10" s="1"/>
  <c r="K1020" i="10" s="1"/>
  <c r="K1021" i="10" s="1"/>
  <c r="K1022" i="10" s="1"/>
  <c r="K1023" i="10" s="1"/>
  <c r="K1024" i="10" s="1"/>
  <c r="K1025" i="10" s="1"/>
  <c r="K1026" i="10" s="1"/>
  <c r="K1027" i="10" s="1"/>
  <c r="K1028" i="10" s="1"/>
  <c r="K1029" i="10" s="1"/>
  <c r="K1030" i="10" s="1"/>
  <c r="K1031" i="10" s="1"/>
  <c r="K1032" i="10" s="1"/>
  <c r="K1033" i="10" s="1"/>
  <c r="K1034" i="10" s="1"/>
  <c r="K1035" i="10" s="1"/>
  <c r="K1036" i="10" s="1"/>
  <c r="K1037" i="10" s="1"/>
  <c r="K1038" i="10" s="1"/>
  <c r="K1039" i="10" s="1"/>
  <c r="K1040" i="10" s="1"/>
  <c r="K1041" i="10" s="1"/>
  <c r="K1042" i="10" s="1"/>
  <c r="K1043" i="10" s="1"/>
  <c r="K1044" i="10" s="1"/>
  <c r="K1045" i="10" s="1"/>
  <c r="K1046" i="10" s="1"/>
  <c r="K1047" i="10" s="1"/>
  <c r="K1048" i="10" s="1"/>
  <c r="K1049" i="10" s="1"/>
  <c r="K1050" i="10" s="1"/>
  <c r="K1051" i="10" s="1"/>
  <c r="K1052" i="10" s="1"/>
  <c r="K1053" i="10" s="1"/>
  <c r="K1054" i="10" s="1"/>
  <c r="K1055" i="10" s="1"/>
  <c r="K1056" i="10" s="1"/>
  <c r="K1057" i="10" s="1"/>
  <c r="K1058" i="10" s="1"/>
  <c r="K1059" i="10" s="1"/>
  <c r="K1060" i="10" s="1"/>
  <c r="K1061" i="10" s="1"/>
  <c r="K1062" i="10" s="1"/>
  <c r="K1063" i="10" s="1"/>
  <c r="K1064" i="10" s="1"/>
  <c r="K1065" i="10" s="1"/>
  <c r="K1066" i="10" s="1"/>
  <c r="K1067" i="10" s="1"/>
  <c r="K1068" i="10" s="1"/>
  <c r="K1069" i="10" s="1"/>
  <c r="K1070" i="10" s="1"/>
  <c r="K1071" i="10" s="1"/>
  <c r="K1072" i="10" s="1"/>
  <c r="K1073" i="10" s="1"/>
  <c r="K1074" i="10" s="1"/>
  <c r="K1075" i="10" s="1"/>
  <c r="K1076" i="10" s="1"/>
  <c r="K1077" i="10" s="1"/>
  <c r="K1078" i="10" s="1"/>
  <c r="K1079" i="10" s="1"/>
  <c r="K1080" i="10" s="1"/>
  <c r="K1081" i="10" s="1"/>
  <c r="K1082" i="10" s="1"/>
  <c r="K1083" i="10" s="1"/>
  <c r="K1084" i="10" s="1"/>
  <c r="K1085" i="10" s="1"/>
  <c r="K1086" i="10" s="1"/>
  <c r="K1087" i="10" s="1"/>
  <c r="K1088" i="10" s="1"/>
  <c r="K1089" i="10" s="1"/>
  <c r="K1090" i="10" s="1"/>
  <c r="K1091" i="10" s="1"/>
  <c r="K1092" i="10" s="1"/>
  <c r="K1093" i="10" s="1"/>
  <c r="K1094" i="10" s="1"/>
  <c r="K1095" i="10" s="1"/>
  <c r="K1096" i="10" s="1"/>
  <c r="K1097" i="10" s="1"/>
  <c r="K1098" i="10" s="1"/>
  <c r="K1099" i="10" s="1"/>
  <c r="K1100" i="10" s="1"/>
  <c r="K1101" i="10" s="1"/>
  <c r="K1102" i="10" s="1"/>
  <c r="K1103" i="10" s="1"/>
  <c r="K1104" i="10" s="1"/>
  <c r="K1105" i="10" s="1"/>
  <c r="K1106" i="10" s="1"/>
  <c r="K1107" i="10" s="1"/>
  <c r="K1108" i="10" s="1"/>
  <c r="K1109" i="10" s="1"/>
  <c r="K1110" i="10" s="1"/>
  <c r="K1111" i="10" s="1"/>
  <c r="K1112" i="10" s="1"/>
  <c r="K1113" i="10" s="1"/>
  <c r="K1114" i="10" s="1"/>
  <c r="K1115" i="10" s="1"/>
  <c r="K1116" i="10" s="1"/>
  <c r="K1117" i="10" s="1"/>
  <c r="K1118" i="10" s="1"/>
  <c r="K1119" i="10" s="1"/>
  <c r="K1120" i="10" s="1"/>
  <c r="K1121" i="10" s="1"/>
  <c r="K1122" i="10" s="1"/>
  <c r="K1123" i="10" s="1"/>
  <c r="K1124" i="10" s="1"/>
  <c r="K1125" i="10" s="1"/>
  <c r="K1126" i="10" s="1"/>
  <c r="K1127" i="10" s="1"/>
  <c r="K1128" i="10" s="1"/>
  <c r="K1129" i="10" s="1"/>
  <c r="K1130" i="10" s="1"/>
  <c r="K1131" i="10" s="1"/>
  <c r="K1132" i="10" s="1"/>
  <c r="K1133" i="10" s="1"/>
  <c r="K1134" i="10" s="1"/>
  <c r="K1135" i="10" s="1"/>
  <c r="K1136" i="10" s="1"/>
  <c r="K1137" i="10" s="1"/>
  <c r="K1138" i="10" s="1"/>
  <c r="K1139" i="10" s="1"/>
  <c r="K1140" i="10" s="1"/>
  <c r="K1141" i="10" s="1"/>
  <c r="K1142" i="10" s="1"/>
  <c r="K1143" i="10" s="1"/>
  <c r="K1144" i="10" s="1"/>
  <c r="K1145" i="10" s="1"/>
  <c r="K1146" i="10" s="1"/>
  <c r="K1147" i="10" s="1"/>
  <c r="K1148" i="10" s="1"/>
  <c r="K1149" i="10" s="1"/>
  <c r="K1150" i="10" s="1"/>
  <c r="K1151" i="10" s="1"/>
  <c r="K1152" i="10" s="1"/>
  <c r="K1153" i="10" s="1"/>
  <c r="K1154" i="10" s="1"/>
  <c r="K1155" i="10" s="1"/>
  <c r="K1156" i="10" s="1"/>
  <c r="K1157" i="10" s="1"/>
  <c r="K1158" i="10" s="1"/>
  <c r="K1159" i="10" s="1"/>
  <c r="K1160" i="10" s="1"/>
  <c r="K1161" i="10" s="1"/>
  <c r="K1162" i="10" s="1"/>
  <c r="K1163" i="10" s="1"/>
  <c r="K1164" i="10" s="1"/>
  <c r="K1165" i="10" s="1"/>
  <c r="K1166" i="10" s="1"/>
  <c r="K1167" i="10" s="1"/>
  <c r="K1168" i="10" s="1"/>
  <c r="K1169" i="10" s="1"/>
  <c r="K1170" i="10" s="1"/>
  <c r="K1171" i="10" s="1"/>
  <c r="K1172" i="10" s="1"/>
  <c r="K1173" i="10" s="1"/>
  <c r="K1174" i="10" s="1"/>
  <c r="K1175" i="10" s="1"/>
  <c r="K1176" i="10" s="1"/>
  <c r="K1177" i="10" s="1"/>
  <c r="K1178" i="10" s="1"/>
  <c r="K1179" i="10" s="1"/>
  <c r="K1180" i="10" s="1"/>
  <c r="K1181" i="10" s="1"/>
  <c r="K1182" i="10" s="1"/>
  <c r="K1183" i="10" s="1"/>
  <c r="K1184" i="10" s="1"/>
  <c r="K1185" i="10" s="1"/>
  <c r="K1186" i="10" s="1"/>
  <c r="K1187" i="10" s="1"/>
  <c r="K1188" i="10" s="1"/>
  <c r="K1189" i="10" s="1"/>
  <c r="K1190" i="10" s="1"/>
  <c r="K1191" i="10" s="1"/>
  <c r="K1192" i="10" s="1"/>
  <c r="K1193" i="10" s="1"/>
  <c r="K1194" i="10" s="1"/>
  <c r="K1195" i="10" s="1"/>
  <c r="K1196" i="10" s="1"/>
  <c r="K1197" i="10" s="1"/>
  <c r="K1198" i="10" s="1"/>
  <c r="K1199" i="10" s="1"/>
  <c r="K1200" i="10" s="1"/>
  <c r="K1201" i="10" s="1"/>
  <c r="K1202" i="10" s="1"/>
  <c r="K1203" i="10" s="1"/>
  <c r="K1204" i="10" s="1"/>
  <c r="K1205" i="10" s="1"/>
  <c r="K1206" i="10" s="1"/>
  <c r="K1207" i="10" s="1"/>
  <c r="K1208" i="10" s="1"/>
  <c r="K1209" i="10" s="1"/>
  <c r="K1210" i="10" s="1"/>
  <c r="K1211" i="10" s="1"/>
  <c r="K1212" i="10" s="1"/>
  <c r="K1213" i="10" s="1"/>
  <c r="K1214" i="10" s="1"/>
  <c r="K1215" i="10" s="1"/>
  <c r="K1216" i="10" s="1"/>
  <c r="K1217" i="10" s="1"/>
  <c r="K1218" i="10" s="1"/>
  <c r="K1219" i="10" s="1"/>
  <c r="K1220" i="10" s="1"/>
  <c r="K1221" i="10" s="1"/>
  <c r="K1222" i="10" s="1"/>
  <c r="K1223" i="10" s="1"/>
  <c r="K1224" i="10" s="1"/>
  <c r="K1225" i="10" s="1"/>
  <c r="K1226" i="10" s="1"/>
  <c r="K1227" i="10" s="1"/>
  <c r="K1228" i="10" s="1"/>
  <c r="K1229" i="10" s="1"/>
  <c r="K1230" i="10" s="1"/>
  <c r="K1231" i="10" s="1"/>
  <c r="K1232" i="10" s="1"/>
  <c r="K1233" i="10" s="1"/>
  <c r="K1234" i="10" s="1"/>
  <c r="K1235" i="10" s="1"/>
  <c r="K1236" i="10" s="1"/>
  <c r="K1237" i="10" s="1"/>
  <c r="K1238" i="10" s="1"/>
  <c r="K1239" i="10" s="1"/>
  <c r="K1240" i="10" s="1"/>
  <c r="K1241" i="10" s="1"/>
  <c r="K1242" i="10" s="1"/>
  <c r="K1243" i="10" s="1"/>
  <c r="K1244" i="10" s="1"/>
  <c r="K1245" i="10" s="1"/>
  <c r="K1246" i="10" s="1"/>
  <c r="K1247" i="10" s="1"/>
  <c r="K1248" i="10" s="1"/>
  <c r="K1249" i="10" s="1"/>
  <c r="K1250" i="10" s="1"/>
  <c r="K1251" i="10" s="1"/>
  <c r="K1252" i="10" s="1"/>
  <c r="K1253" i="10" s="1"/>
  <c r="K1254" i="10" s="1"/>
  <c r="K1255" i="10" s="1"/>
  <c r="K1256" i="10" s="1"/>
  <c r="K1257" i="10" s="1"/>
  <c r="K1258" i="10" s="1"/>
  <c r="K1259" i="10" s="1"/>
  <c r="K1260" i="10" s="1"/>
  <c r="K1261" i="10" s="1"/>
  <c r="K1262" i="10" s="1"/>
  <c r="K1263" i="10" s="1"/>
  <c r="K1264" i="10" s="1"/>
  <c r="K1265" i="10" s="1"/>
  <c r="K1266" i="10" s="1"/>
  <c r="K1267" i="10" s="1"/>
  <c r="K1268" i="10" s="1"/>
  <c r="K1269" i="10" s="1"/>
  <c r="K1270" i="10" s="1"/>
  <c r="K1271" i="10" s="1"/>
  <c r="K1272" i="10" s="1"/>
  <c r="K1273" i="10" s="1"/>
  <c r="K1274" i="10" s="1"/>
  <c r="K1275" i="10" s="1"/>
  <c r="K1276" i="10" s="1"/>
  <c r="K1277" i="10" s="1"/>
  <c r="K1278" i="10" s="1"/>
  <c r="K1279" i="10" s="1"/>
  <c r="K1280" i="10" s="1"/>
  <c r="K1281" i="10" s="1"/>
  <c r="K1282" i="10" s="1"/>
  <c r="K1283" i="10" s="1"/>
  <c r="K1284" i="10" s="1"/>
  <c r="K1285" i="10" s="1"/>
  <c r="K1286" i="10" s="1"/>
  <c r="K1287" i="10" s="1"/>
  <c r="K1288" i="10" s="1"/>
  <c r="K1289" i="10" s="1"/>
  <c r="K1290" i="10" s="1"/>
  <c r="K1291" i="10" s="1"/>
  <c r="K1292" i="10" s="1"/>
  <c r="K1293" i="10" s="1"/>
  <c r="K1294" i="10" s="1"/>
  <c r="K1295" i="10" s="1"/>
  <c r="K1296" i="10" s="1"/>
  <c r="K1297" i="10" s="1"/>
  <c r="K1298" i="10" s="1"/>
  <c r="K1299" i="10" s="1"/>
  <c r="K1300" i="10" s="1"/>
  <c r="K1301" i="10" s="1"/>
  <c r="K1302" i="10" s="1"/>
  <c r="K1303" i="10" s="1"/>
  <c r="K1304" i="10" s="1"/>
  <c r="K1305" i="10" s="1"/>
  <c r="K1306" i="10" s="1"/>
  <c r="K1307" i="10" s="1"/>
  <c r="K1308" i="10" s="1"/>
  <c r="K1309" i="10" s="1"/>
  <c r="K1310" i="10" s="1"/>
  <c r="K1311" i="10" s="1"/>
  <c r="K1312" i="10" s="1"/>
  <c r="K1313" i="10" s="1"/>
  <c r="K1314" i="10" s="1"/>
  <c r="K1315" i="10" s="1"/>
  <c r="K1316" i="10" s="1"/>
  <c r="K1317" i="10" s="1"/>
  <c r="K1318" i="10" s="1"/>
  <c r="K1319" i="10" s="1"/>
  <c r="K1320" i="10" s="1"/>
  <c r="K1321" i="10" s="1"/>
  <c r="K1322" i="10" s="1"/>
  <c r="K1323" i="10" s="1"/>
  <c r="K1324" i="10" s="1"/>
  <c r="K1325" i="10" s="1"/>
  <c r="K1326" i="10" s="1"/>
  <c r="K1327" i="10" s="1"/>
  <c r="K1328" i="10" s="1"/>
  <c r="K1329" i="10" s="1"/>
  <c r="K1330" i="10" s="1"/>
  <c r="K1331" i="10" s="1"/>
  <c r="K1332" i="10" s="1"/>
  <c r="K1333" i="10" s="1"/>
  <c r="K1334" i="10" s="1"/>
  <c r="K1335" i="10" s="1"/>
  <c r="K1336" i="10" s="1"/>
  <c r="K1337" i="10" s="1"/>
  <c r="K1338" i="10" s="1"/>
  <c r="K1339" i="10" s="1"/>
  <c r="K1340" i="10" s="1"/>
  <c r="K1341" i="10" s="1"/>
  <c r="K1342" i="10" s="1"/>
  <c r="K1343" i="10" s="1"/>
  <c r="K1344" i="10" s="1"/>
  <c r="K1345" i="10" s="1"/>
  <c r="K1346" i="10" s="1"/>
  <c r="K1347" i="10" s="1"/>
  <c r="K1348" i="10" s="1"/>
  <c r="K1349" i="10" s="1"/>
  <c r="K1350" i="10" s="1"/>
  <c r="K1351" i="10" s="1"/>
  <c r="K1352" i="10" s="1"/>
  <c r="K1353" i="10" s="1"/>
  <c r="K1354" i="10" s="1"/>
  <c r="K1355" i="10" s="1"/>
  <c r="K1356" i="10" s="1"/>
  <c r="K201" i="10"/>
  <c r="E202" i="10"/>
  <c r="E203" i="10"/>
  <c r="E204" i="10"/>
  <c r="E205" i="10"/>
  <c r="E206" i="10" s="1"/>
  <c r="E207" i="10" s="1"/>
  <c r="E208" i="10" s="1"/>
  <c r="E209" i="10"/>
  <c r="E210" i="10"/>
  <c r="E211" i="10"/>
  <c r="E212" i="10"/>
  <c r="E213" i="10"/>
  <c r="E214" i="10"/>
  <c r="E215" i="10"/>
  <c r="E216" i="10"/>
  <c r="E217" i="10"/>
  <c r="E218" i="10"/>
  <c r="E219" i="10"/>
  <c r="E220" i="10"/>
  <c r="E221" i="10"/>
  <c r="E222" i="10"/>
  <c r="E223" i="10"/>
  <c r="E224" i="10"/>
  <c r="E225" i="10"/>
  <c r="E226" i="10"/>
  <c r="E227" i="10"/>
  <c r="E228" i="10"/>
  <c r="E229" i="10"/>
  <c r="E230" i="10"/>
  <c r="E231" i="10"/>
  <c r="E232" i="10"/>
  <c r="E233" i="10"/>
  <c r="E234" i="10"/>
  <c r="E235" i="10"/>
  <c r="E236" i="10"/>
  <c r="E237" i="10"/>
  <c r="E238" i="10"/>
  <c r="E239" i="10"/>
  <c r="E240" i="10"/>
  <c r="E241" i="10"/>
  <c r="E242" i="10"/>
  <c r="E243" i="10"/>
  <c r="E244" i="10"/>
  <c r="E245" i="10"/>
  <c r="E246" i="10"/>
  <c r="E247" i="10"/>
  <c r="E248" i="10"/>
  <c r="E249" i="10"/>
  <c r="E250" i="10"/>
  <c r="E251" i="10"/>
  <c r="E252" i="10"/>
  <c r="E253" i="10"/>
  <c r="E254" i="10"/>
  <c r="E255" i="10"/>
  <c r="E256" i="10"/>
  <c r="E257" i="10"/>
  <c r="E258" i="10"/>
  <c r="E259" i="10"/>
  <c r="E260" i="10"/>
  <c r="E261" i="10"/>
  <c r="E262" i="10"/>
  <c r="E263" i="10"/>
  <c r="E264" i="10"/>
  <c r="E265" i="10"/>
  <c r="E266" i="10"/>
  <c r="E267" i="10"/>
  <c r="E268" i="10"/>
  <c r="E269" i="10"/>
  <c r="E270" i="10"/>
  <c r="E271" i="10"/>
  <c r="E272" i="10"/>
  <c r="E273" i="10"/>
  <c r="E274" i="10"/>
  <c r="E275" i="10"/>
  <c r="E276" i="10"/>
  <c r="E277" i="10"/>
  <c r="E278" i="10"/>
  <c r="E279" i="10"/>
  <c r="E280" i="10"/>
  <c r="E281" i="10"/>
  <c r="E282" i="10"/>
  <c r="E283" i="10"/>
  <c r="E284" i="10"/>
  <c r="E285" i="10"/>
  <c r="E286" i="10"/>
  <c r="E287" i="10"/>
  <c r="E288" i="10"/>
  <c r="E289" i="10"/>
  <c r="E290" i="10"/>
  <c r="E291" i="10"/>
  <c r="E292" i="10"/>
  <c r="E293" i="10"/>
  <c r="E294" i="10"/>
  <c r="E295" i="10"/>
  <c r="E296" i="10"/>
  <c r="E297" i="10"/>
  <c r="E298" i="10"/>
  <c r="E299" i="10"/>
  <c r="E300" i="10"/>
  <c r="E301" i="10"/>
  <c r="E302" i="10"/>
  <c r="E303" i="10"/>
  <c r="E304" i="10"/>
  <c r="E305" i="10"/>
  <c r="E306" i="10"/>
  <c r="E307" i="10"/>
  <c r="E308" i="10"/>
  <c r="E309" i="10"/>
  <c r="E310" i="10"/>
  <c r="E311" i="10"/>
  <c r="E312" i="10"/>
  <c r="E313" i="10"/>
  <c r="E314" i="10"/>
  <c r="E315" i="10"/>
  <c r="E316" i="10"/>
  <c r="E317" i="10"/>
  <c r="E318" i="10"/>
  <c r="E319" i="10"/>
  <c r="E320" i="10"/>
  <c r="E321" i="10"/>
  <c r="E322" i="10"/>
  <c r="E323" i="10"/>
  <c r="E324" i="10"/>
  <c r="E325" i="10"/>
  <c r="E326" i="10"/>
  <c r="E327" i="10"/>
  <c r="E328" i="10"/>
  <c r="E329" i="10"/>
  <c r="E330" i="10"/>
  <c r="E331" i="10"/>
  <c r="E332" i="10"/>
  <c r="E333" i="10"/>
  <c r="E334" i="10"/>
  <c r="E335" i="10"/>
  <c r="E336" i="10"/>
  <c r="E337" i="10"/>
  <c r="E338" i="10"/>
  <c r="E339" i="10"/>
  <c r="E340" i="10"/>
  <c r="E341" i="10"/>
  <c r="E342" i="10"/>
  <c r="E343" i="10"/>
  <c r="E344" i="10"/>
  <c r="E345" i="10"/>
  <c r="E346" i="10"/>
  <c r="E347" i="10"/>
  <c r="E348" i="10"/>
  <c r="E349" i="10"/>
  <c r="E350" i="10"/>
  <c r="E351" i="10"/>
  <c r="E352" i="10" s="1"/>
  <c r="E353" i="10" s="1"/>
  <c r="E354" i="10" s="1"/>
  <c r="E355" i="10" s="1"/>
  <c r="E356" i="10" s="1"/>
  <c r="E357" i="10" s="1"/>
  <c r="E358" i="10" s="1"/>
  <c r="E359" i="10" s="1"/>
  <c r="E360" i="10" s="1"/>
  <c r="E361" i="10" s="1"/>
  <c r="E362" i="10" s="1"/>
  <c r="E363" i="10" s="1"/>
  <c r="E364" i="10" s="1"/>
  <c r="E365" i="10" s="1"/>
  <c r="E366" i="10" s="1"/>
  <c r="E367" i="10" s="1"/>
  <c r="E368" i="10" s="1"/>
  <c r="E369" i="10" s="1"/>
  <c r="E370" i="10" s="1"/>
  <c r="E371" i="10" s="1"/>
  <c r="E372" i="10" s="1"/>
  <c r="E373" i="10" s="1"/>
  <c r="E374" i="10" s="1"/>
  <c r="E375" i="10" s="1"/>
  <c r="E376" i="10" s="1"/>
  <c r="E377" i="10" s="1"/>
  <c r="E378" i="10" s="1"/>
  <c r="E379" i="10" s="1"/>
  <c r="E380" i="10" s="1"/>
  <c r="E381" i="10" s="1"/>
  <c r="E382" i="10" s="1"/>
  <c r="E383" i="10" s="1"/>
  <c r="E384" i="10" s="1"/>
  <c r="E385" i="10" s="1"/>
  <c r="E386" i="10" s="1"/>
  <c r="E387" i="10" s="1"/>
  <c r="E388" i="10" s="1"/>
  <c r="E389" i="10" s="1"/>
  <c r="E390" i="10" s="1"/>
  <c r="E391" i="10" s="1"/>
  <c r="E392" i="10" s="1"/>
  <c r="E393" i="10" s="1"/>
  <c r="E394" i="10" s="1"/>
  <c r="E395" i="10" s="1"/>
  <c r="E396" i="10" s="1"/>
  <c r="E397" i="10" s="1"/>
  <c r="E398" i="10" s="1"/>
  <c r="E399" i="10" s="1"/>
  <c r="E400" i="10" s="1"/>
  <c r="E401" i="10" s="1"/>
  <c r="E402" i="10" s="1"/>
  <c r="E403" i="10" s="1"/>
  <c r="E404" i="10" s="1"/>
  <c r="E405" i="10" s="1"/>
  <c r="E406" i="10" s="1"/>
  <c r="E407" i="10" s="1"/>
  <c r="E408" i="10" s="1"/>
  <c r="E409" i="10" s="1"/>
  <c r="E410" i="10" s="1"/>
  <c r="E411" i="10" s="1"/>
  <c r="E412" i="10" s="1"/>
  <c r="E413" i="10" s="1"/>
  <c r="E414" i="10" s="1"/>
  <c r="E415" i="10" s="1"/>
  <c r="E416" i="10" s="1"/>
  <c r="E417" i="10" s="1"/>
  <c r="E418" i="10" s="1"/>
  <c r="E419" i="10" s="1"/>
  <c r="E420" i="10" s="1"/>
  <c r="E421" i="10" s="1"/>
  <c r="E422" i="10" s="1"/>
  <c r="E423" i="10" s="1"/>
  <c r="E424" i="10" s="1"/>
  <c r="E425" i="10" s="1"/>
  <c r="E426" i="10" s="1"/>
  <c r="E427" i="10" s="1"/>
  <c r="E428" i="10" s="1"/>
  <c r="E429" i="10" s="1"/>
  <c r="E430" i="10" s="1"/>
  <c r="E431" i="10" s="1"/>
  <c r="E432" i="10" s="1"/>
  <c r="E433" i="10" s="1"/>
  <c r="E434" i="10" s="1"/>
  <c r="E435" i="10" s="1"/>
  <c r="E436" i="10" s="1"/>
  <c r="E437" i="10" s="1"/>
  <c r="E438" i="10" s="1"/>
  <c r="E439" i="10" s="1"/>
  <c r="E440" i="10" s="1"/>
  <c r="E441" i="10" s="1"/>
  <c r="E442" i="10" s="1"/>
  <c r="E443" i="10" s="1"/>
  <c r="E444" i="10" s="1"/>
  <c r="E445" i="10" s="1"/>
  <c r="E446" i="10" s="1"/>
  <c r="E447" i="10" s="1"/>
  <c r="E448" i="10" s="1"/>
  <c r="E449" i="10" s="1"/>
  <c r="E450" i="10" s="1"/>
  <c r="E451" i="10" s="1"/>
  <c r="E452" i="10" s="1"/>
  <c r="E453" i="10" s="1"/>
  <c r="E454" i="10" s="1"/>
  <c r="E455" i="10" s="1"/>
  <c r="E456" i="10" s="1"/>
  <c r="E457" i="10" s="1"/>
  <c r="E458" i="10" s="1"/>
  <c r="E459" i="10" s="1"/>
  <c r="E460" i="10" s="1"/>
  <c r="E461" i="10" s="1"/>
  <c r="E462" i="10" s="1"/>
  <c r="E463" i="10" s="1"/>
  <c r="E464" i="10" s="1"/>
  <c r="E465" i="10" s="1"/>
  <c r="E466" i="10" s="1"/>
  <c r="E467" i="10" s="1"/>
  <c r="E468" i="10" s="1"/>
  <c r="E469" i="10" s="1"/>
  <c r="E470" i="10" s="1"/>
  <c r="E471" i="10" s="1"/>
  <c r="E472" i="10" s="1"/>
  <c r="E473" i="10" s="1"/>
  <c r="E474" i="10" s="1"/>
  <c r="E475" i="10" s="1"/>
  <c r="E476" i="10" s="1"/>
  <c r="E477" i="10" s="1"/>
  <c r="E478" i="10" s="1"/>
  <c r="E479" i="10" s="1"/>
  <c r="E480" i="10" s="1"/>
  <c r="E481" i="10" s="1"/>
  <c r="E482" i="10" s="1"/>
  <c r="E483" i="10" s="1"/>
  <c r="E484" i="10" s="1"/>
  <c r="E485" i="10" s="1"/>
  <c r="E486" i="10" s="1"/>
  <c r="E487" i="10" s="1"/>
  <c r="E488" i="10" s="1"/>
  <c r="E489" i="10" s="1"/>
  <c r="E490" i="10" s="1"/>
  <c r="E491" i="10" s="1"/>
  <c r="E492" i="10" s="1"/>
  <c r="E493" i="10" s="1"/>
  <c r="E494" i="10" s="1"/>
  <c r="E495" i="10" s="1"/>
  <c r="E496" i="10" s="1"/>
  <c r="E497" i="10" s="1"/>
  <c r="E498" i="10" s="1"/>
  <c r="E499" i="10" s="1"/>
  <c r="E500" i="10" s="1"/>
  <c r="E501" i="10" s="1"/>
  <c r="E502" i="10" s="1"/>
  <c r="E503" i="10" s="1"/>
  <c r="E504" i="10" s="1"/>
  <c r="E505" i="10" s="1"/>
  <c r="E506" i="10" s="1"/>
  <c r="E507" i="10" s="1"/>
  <c r="E508" i="10" s="1"/>
  <c r="E509" i="10" s="1"/>
  <c r="E510" i="10" s="1"/>
  <c r="E511" i="10" s="1"/>
  <c r="E512" i="10" s="1"/>
  <c r="E513" i="10" s="1"/>
  <c r="E514" i="10" s="1"/>
  <c r="E515" i="10"/>
  <c r="E516" i="10"/>
  <c r="E517" i="10"/>
  <c r="E518" i="10"/>
  <c r="E519" i="10"/>
  <c r="E520" i="10"/>
  <c r="E521" i="10"/>
  <c r="E522" i="10"/>
  <c r="E523" i="10"/>
  <c r="E524" i="10"/>
  <c r="E525" i="10"/>
  <c r="E526" i="10"/>
  <c r="E527" i="10"/>
  <c r="E528" i="10"/>
  <c r="E529" i="10"/>
  <c r="E530" i="10"/>
  <c r="E531" i="10"/>
  <c r="E532" i="10"/>
  <c r="E533" i="10"/>
  <c r="E534" i="10"/>
  <c r="E535" i="10"/>
  <c r="E536" i="10"/>
  <c r="E537" i="10"/>
  <c r="E538" i="10"/>
  <c r="E539" i="10"/>
  <c r="E540" i="10"/>
  <c r="E541" i="10"/>
  <c r="E542" i="10"/>
  <c r="E543" i="10"/>
  <c r="E544" i="10"/>
  <c r="E545" i="10"/>
  <c r="E546" i="10"/>
  <c r="E547" i="10"/>
  <c r="E548" i="10"/>
  <c r="E549" i="10"/>
  <c r="E550" i="10"/>
  <c r="E551" i="10"/>
  <c r="E552" i="10"/>
  <c r="E553" i="10"/>
  <c r="E554" i="10"/>
  <c r="E555" i="10"/>
  <c r="E556" i="10"/>
  <c r="E557" i="10"/>
  <c r="E558" i="10"/>
  <c r="E559" i="10"/>
  <c r="E560" i="10"/>
  <c r="E561" i="10"/>
  <c r="E562" i="10"/>
  <c r="E563" i="10"/>
  <c r="E564" i="10"/>
  <c r="E565" i="10"/>
  <c r="E566" i="10"/>
  <c r="E567" i="10"/>
  <c r="E568" i="10"/>
  <c r="E569" i="10"/>
  <c r="E570" i="10"/>
  <c r="E571" i="10"/>
  <c r="E572" i="10"/>
  <c r="E573" i="10"/>
  <c r="E574" i="10"/>
  <c r="E575" i="10"/>
  <c r="E576" i="10"/>
  <c r="E577" i="10"/>
  <c r="E578" i="10"/>
  <c r="E579" i="10"/>
  <c r="E580" i="10"/>
  <c r="E581" i="10"/>
  <c r="E582" i="10"/>
  <c r="E583" i="10"/>
  <c r="E584" i="10"/>
  <c r="E585" i="10"/>
  <c r="E586" i="10"/>
  <c r="E587" i="10"/>
  <c r="E588" i="10"/>
  <c r="E589" i="10"/>
  <c r="E590" i="10"/>
  <c r="E591" i="10"/>
  <c r="E592" i="10"/>
  <c r="E593" i="10"/>
  <c r="E594" i="10"/>
  <c r="E595" i="10"/>
  <c r="E596" i="10"/>
  <c r="E597" i="10"/>
  <c r="E598" i="10"/>
  <c r="E599" i="10"/>
  <c r="E600" i="10"/>
  <c r="E601" i="10"/>
  <c r="E602" i="10"/>
  <c r="E603" i="10"/>
  <c r="E604" i="10"/>
  <c r="E605" i="10"/>
  <c r="E606" i="10"/>
  <c r="E607" i="10"/>
  <c r="E608" i="10"/>
  <c r="E609" i="10"/>
  <c r="E610" i="10"/>
  <c r="E611" i="10"/>
  <c r="E612" i="10"/>
  <c r="E613" i="10"/>
  <c r="E614" i="10"/>
  <c r="E615" i="10"/>
  <c r="E616" i="10"/>
  <c r="E617" i="10"/>
  <c r="E618" i="10"/>
  <c r="E619" i="10"/>
  <c r="E620" i="10"/>
  <c r="E621" i="10"/>
  <c r="E622" i="10"/>
  <c r="E623" i="10"/>
  <c r="E624" i="10"/>
  <c r="E625" i="10"/>
  <c r="E626" i="10"/>
  <c r="E627" i="10"/>
  <c r="E628" i="10"/>
  <c r="E629" i="10"/>
  <c r="E630" i="10"/>
  <c r="E631" i="10"/>
  <c r="E632" i="10"/>
  <c r="E633" i="10"/>
  <c r="E634" i="10"/>
  <c r="E635" i="10"/>
  <c r="E636" i="10"/>
  <c r="E637" i="10"/>
  <c r="E638" i="10"/>
  <c r="E639" i="10"/>
  <c r="E640" i="10"/>
  <c r="E641" i="10"/>
  <c r="E642" i="10"/>
  <c r="E643" i="10"/>
  <c r="E644" i="10"/>
  <c r="E645" i="10"/>
  <c r="E646" i="10"/>
  <c r="E647" i="10"/>
  <c r="E648" i="10"/>
  <c r="E649" i="10"/>
  <c r="E650" i="10"/>
  <c r="E651" i="10"/>
  <c r="E652" i="10"/>
  <c r="E653" i="10" s="1"/>
  <c r="E654" i="10" s="1"/>
  <c r="E655" i="10" s="1"/>
  <c r="E656" i="10" s="1"/>
  <c r="E657" i="10" s="1"/>
  <c r="E658" i="10" s="1"/>
  <c r="E659" i="10" s="1"/>
  <c r="E660" i="10" s="1"/>
  <c r="E661" i="10" s="1"/>
  <c r="E662" i="10" s="1"/>
  <c r="E663" i="10" s="1"/>
  <c r="E664" i="10" s="1"/>
  <c r="E665" i="10" s="1"/>
  <c r="E666" i="10" s="1"/>
  <c r="E667" i="10" s="1"/>
  <c r="E668" i="10" s="1"/>
  <c r="E669" i="10" s="1"/>
  <c r="E670" i="10" s="1"/>
  <c r="E671" i="10" s="1"/>
  <c r="E672" i="10" s="1"/>
  <c r="E673" i="10" s="1"/>
  <c r="E674" i="10" s="1"/>
  <c r="E675" i="10" s="1"/>
  <c r="E676" i="10" s="1"/>
  <c r="E677" i="10" s="1"/>
  <c r="E678" i="10" s="1"/>
  <c r="E679" i="10" s="1"/>
  <c r="E680" i="10" s="1"/>
  <c r="E681" i="10" s="1"/>
  <c r="E682" i="10" s="1"/>
  <c r="E683" i="10" s="1"/>
  <c r="E684" i="10" s="1"/>
  <c r="E685" i="10" s="1"/>
  <c r="E686" i="10" s="1"/>
  <c r="E687" i="10" s="1"/>
  <c r="E688" i="10" s="1"/>
  <c r="E689" i="10" s="1"/>
  <c r="E690" i="10" s="1"/>
  <c r="E691" i="10" s="1"/>
  <c r="E692" i="10" s="1"/>
  <c r="E693" i="10" s="1"/>
  <c r="E694" i="10" s="1"/>
  <c r="E695" i="10" s="1"/>
  <c r="E696" i="10" s="1"/>
  <c r="E697" i="10" s="1"/>
  <c r="E698" i="10" s="1"/>
  <c r="E699" i="10" s="1"/>
  <c r="E700" i="10" s="1"/>
  <c r="E701" i="10" s="1"/>
  <c r="E702" i="10" s="1"/>
  <c r="E703" i="10" s="1"/>
  <c r="E704" i="10" s="1"/>
  <c r="E705" i="10" s="1"/>
  <c r="E706" i="10" s="1"/>
  <c r="E707" i="10" s="1"/>
  <c r="E708" i="10" s="1"/>
  <c r="E709" i="10" s="1"/>
  <c r="E710" i="10" s="1"/>
  <c r="E711" i="10" s="1"/>
  <c r="E712" i="10" s="1"/>
  <c r="E713" i="10" s="1"/>
  <c r="E714" i="10" s="1"/>
  <c r="E715" i="10" s="1"/>
  <c r="E716" i="10" s="1"/>
  <c r="E717" i="10" s="1"/>
  <c r="E718" i="10"/>
  <c r="E719" i="10"/>
  <c r="E720" i="10"/>
  <c r="E721" i="10"/>
  <c r="E722" i="10"/>
  <c r="E723" i="10"/>
  <c r="E724" i="10"/>
  <c r="E725" i="10"/>
  <c r="E726" i="10"/>
  <c r="E727" i="10"/>
  <c r="E728" i="10"/>
  <c r="E729" i="10"/>
  <c r="E730" i="10"/>
  <c r="E731" i="10"/>
  <c r="E732" i="10"/>
  <c r="E733" i="10"/>
  <c r="E734" i="10"/>
  <c r="E735" i="10"/>
  <c r="E736" i="10"/>
  <c r="E737" i="10"/>
  <c r="E738" i="10"/>
  <c r="E739" i="10"/>
  <c r="E740" i="10"/>
  <c r="E741" i="10"/>
  <c r="E742" i="10"/>
  <c r="E743" i="10"/>
  <c r="E744" i="10"/>
  <c r="E745" i="10"/>
  <c r="E746" i="10"/>
  <c r="E747" i="10"/>
  <c r="E748" i="10"/>
  <c r="E749" i="10"/>
  <c r="E750" i="10"/>
  <c r="E751" i="10"/>
  <c r="E752" i="10"/>
  <c r="E753" i="10"/>
  <c r="E754" i="10"/>
  <c r="E755" i="10"/>
  <c r="E756" i="10"/>
  <c r="E757" i="10"/>
  <c r="E758" i="10"/>
  <c r="E759" i="10"/>
  <c r="E760" i="10"/>
  <c r="E761" i="10"/>
  <c r="E762" i="10"/>
  <c r="E763" i="10"/>
  <c r="E764" i="10"/>
  <c r="E765" i="10"/>
  <c r="E766" i="10"/>
  <c r="E767" i="10"/>
  <c r="E768" i="10"/>
  <c r="E769" i="10"/>
  <c r="E770" i="10"/>
  <c r="E771" i="10"/>
  <c r="E772" i="10"/>
  <c r="E773" i="10"/>
  <c r="E774" i="10"/>
  <c r="E775" i="10"/>
  <c r="E776" i="10"/>
  <c r="E777" i="10"/>
  <c r="E778" i="10"/>
  <c r="E779" i="10"/>
  <c r="E780" i="10"/>
  <c r="E781" i="10" s="1"/>
  <c r="E782" i="10" s="1"/>
  <c r="E783" i="10" s="1"/>
  <c r="E784" i="10" s="1"/>
  <c r="E785" i="10" s="1"/>
  <c r="E786" i="10" s="1"/>
  <c r="E787" i="10" s="1"/>
  <c r="E788" i="10" s="1"/>
  <c r="E789" i="10" s="1"/>
  <c r="E790" i="10" s="1"/>
  <c r="E791" i="10" s="1"/>
  <c r="E792" i="10" s="1"/>
  <c r="E793" i="10" s="1"/>
  <c r="E794" i="10" s="1"/>
  <c r="E795" i="10" s="1"/>
  <c r="E796" i="10" s="1"/>
  <c r="E797" i="10" s="1"/>
  <c r="E798" i="10" s="1"/>
  <c r="E799" i="10" s="1"/>
  <c r="E800" i="10" s="1"/>
  <c r="E801" i="10" s="1"/>
  <c r="E802" i="10" s="1"/>
  <c r="E803" i="10" s="1"/>
  <c r="E804" i="10" s="1"/>
  <c r="E805" i="10" s="1"/>
  <c r="E806" i="10" s="1"/>
  <c r="E807" i="10" s="1"/>
  <c r="E808" i="10" s="1"/>
  <c r="E809" i="10" s="1"/>
  <c r="E810" i="10" s="1"/>
  <c r="E811" i="10" s="1"/>
  <c r="E812" i="10" s="1"/>
  <c r="E813" i="10" s="1"/>
  <c r="E814" i="10" s="1"/>
  <c r="E815" i="10" s="1"/>
  <c r="E816" i="10" s="1"/>
  <c r="E817" i="10" s="1"/>
  <c r="E818" i="10" s="1"/>
  <c r="E819" i="10" s="1"/>
  <c r="E820" i="10" s="1"/>
  <c r="E821" i="10" s="1"/>
  <c r="E822" i="10" s="1"/>
  <c r="E823" i="10" s="1"/>
  <c r="E824" i="10" s="1"/>
  <c r="E825" i="10" s="1"/>
  <c r="E826" i="10" s="1"/>
  <c r="E827" i="10" s="1"/>
  <c r="E828" i="10" s="1"/>
  <c r="E829" i="10" s="1"/>
  <c r="E830" i="10" s="1"/>
  <c r="E831" i="10" s="1"/>
  <c r="E832" i="10" s="1"/>
  <c r="E833" i="10" s="1"/>
  <c r="E834" i="10" s="1"/>
  <c r="E835" i="10" s="1"/>
  <c r="E836" i="10" s="1"/>
  <c r="E837" i="10" s="1"/>
  <c r="E838" i="10" s="1"/>
  <c r="E839" i="10" s="1"/>
  <c r="E840" i="10" s="1"/>
  <c r="E841" i="10" s="1"/>
  <c r="E842" i="10" s="1"/>
  <c r="E843" i="10" s="1"/>
  <c r="E844" i="10" s="1"/>
  <c r="E845" i="10" s="1"/>
  <c r="E846" i="10" s="1"/>
  <c r="E847" i="10" s="1"/>
  <c r="E848" i="10" s="1"/>
  <c r="E849" i="10" s="1"/>
  <c r="E850" i="10" s="1"/>
  <c r="E851" i="10" s="1"/>
  <c r="E852" i="10" s="1"/>
  <c r="E853" i="10" s="1"/>
  <c r="E854" i="10" s="1"/>
  <c r="E855" i="10" s="1"/>
  <c r="E856" i="10" s="1"/>
  <c r="E857" i="10" s="1"/>
  <c r="E858" i="10" s="1"/>
  <c r="E859" i="10" s="1"/>
  <c r="E860" i="10" s="1"/>
  <c r="E861" i="10" s="1"/>
  <c r="E862" i="10" s="1"/>
  <c r="E863" i="10" s="1"/>
  <c r="E864" i="10" s="1"/>
  <c r="E865" i="10" s="1"/>
  <c r="E866" i="10" s="1"/>
  <c r="E867" i="10" s="1"/>
  <c r="E868" i="10" s="1"/>
  <c r="E869" i="10" s="1"/>
  <c r="E870" i="10" s="1"/>
  <c r="E871" i="10" s="1"/>
  <c r="E872" i="10" s="1"/>
  <c r="E873" i="10" s="1"/>
  <c r="E874" i="10" s="1"/>
  <c r="E875" i="10" s="1"/>
  <c r="E876" i="10" s="1"/>
  <c r="E877" i="10" s="1"/>
  <c r="E878" i="10" s="1"/>
  <c r="E879" i="10" s="1"/>
  <c r="E880" i="10" s="1"/>
  <c r="E881" i="10" s="1"/>
  <c r="E882" i="10" s="1"/>
  <c r="E883" i="10" s="1"/>
  <c r="E884" i="10" s="1"/>
  <c r="E885" i="10" s="1"/>
  <c r="E886" i="10" s="1"/>
  <c r="E887" i="10" s="1"/>
  <c r="E888" i="10" s="1"/>
  <c r="E889" i="10" s="1"/>
  <c r="E890" i="10" s="1"/>
  <c r="E891" i="10" s="1"/>
  <c r="E892" i="10" s="1"/>
  <c r="E893" i="10" s="1"/>
  <c r="E894" i="10" s="1"/>
  <c r="E895" i="10" s="1"/>
  <c r="E896" i="10" s="1"/>
  <c r="E897" i="10" s="1"/>
  <c r="E898" i="10" s="1"/>
  <c r="E899" i="10" s="1"/>
  <c r="E900" i="10" s="1"/>
  <c r="E901" i="10" s="1"/>
  <c r="E902" i="10" s="1"/>
  <c r="E903" i="10" s="1"/>
  <c r="E904" i="10" s="1"/>
  <c r="E905" i="10" s="1"/>
  <c r="E906" i="10" s="1"/>
  <c r="E907" i="10" s="1"/>
  <c r="E908" i="10" s="1"/>
  <c r="E909" i="10" s="1"/>
  <c r="E910" i="10" s="1"/>
  <c r="E911" i="10" s="1"/>
  <c r="E912" i="10" s="1"/>
  <c r="E913" i="10" s="1"/>
  <c r="E914" i="10" s="1"/>
  <c r="E915" i="10" s="1"/>
  <c r="E916" i="10" s="1"/>
  <c r="E917" i="10" s="1"/>
  <c r="E918" i="10" s="1"/>
  <c r="E919" i="10" s="1"/>
  <c r="E920" i="10" s="1"/>
  <c r="E921" i="10" s="1"/>
  <c r="E922" i="10" s="1"/>
  <c r="E923" i="10" s="1"/>
  <c r="E924" i="10" s="1"/>
  <c r="E925" i="10" s="1"/>
  <c r="E926" i="10" s="1"/>
  <c r="E927" i="10" s="1"/>
  <c r="E928" i="10" s="1"/>
  <c r="E929" i="10" s="1"/>
  <c r="E930" i="10" s="1"/>
  <c r="E931" i="10" s="1"/>
  <c r="E932" i="10" s="1"/>
  <c r="E933" i="10" s="1"/>
  <c r="E934" i="10" s="1"/>
  <c r="E935" i="10" s="1"/>
  <c r="E936" i="10" s="1"/>
  <c r="E937" i="10" s="1"/>
  <c r="E938" i="10" s="1"/>
  <c r="E939" i="10" s="1"/>
  <c r="E940" i="10" s="1"/>
  <c r="E941" i="10" s="1"/>
  <c r="E942" i="10" s="1"/>
  <c r="E943" i="10" s="1"/>
  <c r="E944" i="10" s="1"/>
  <c r="E945" i="10" s="1"/>
  <c r="E946" i="10" s="1"/>
  <c r="E947" i="10" s="1"/>
  <c r="E948" i="10" s="1"/>
  <c r="E949" i="10" s="1"/>
  <c r="E950" i="10" s="1"/>
  <c r="E951" i="10" s="1"/>
  <c r="E952" i="10" s="1"/>
  <c r="E953" i="10" s="1"/>
  <c r="E954" i="10" s="1"/>
  <c r="E955" i="10" s="1"/>
  <c r="E956" i="10" s="1"/>
  <c r="E957" i="10" s="1"/>
  <c r="E958" i="10" s="1"/>
  <c r="E959" i="10" s="1"/>
  <c r="E960" i="10" s="1"/>
  <c r="E961" i="10" s="1"/>
  <c r="E962" i="10" s="1"/>
  <c r="E963" i="10" s="1"/>
  <c r="E964" i="10" s="1"/>
  <c r="E965" i="10" s="1"/>
  <c r="E966" i="10" s="1"/>
  <c r="E967" i="10" s="1"/>
  <c r="E968" i="10" s="1"/>
  <c r="E969" i="10" s="1"/>
  <c r="E970" i="10" s="1"/>
  <c r="E971" i="10" s="1"/>
  <c r="E972" i="10" s="1"/>
  <c r="E973" i="10" s="1"/>
  <c r="E974" i="10" s="1"/>
  <c r="E975" i="10" s="1"/>
  <c r="E976" i="10" s="1"/>
  <c r="E977" i="10" s="1"/>
  <c r="E978" i="10" s="1"/>
  <c r="E979" i="10" s="1"/>
  <c r="E980" i="10" s="1"/>
  <c r="E981" i="10" s="1"/>
  <c r="E982" i="10" s="1"/>
  <c r="E983" i="10" s="1"/>
  <c r="E984" i="10" s="1"/>
  <c r="E985" i="10" s="1"/>
  <c r="E986" i="10" s="1"/>
  <c r="E987" i="10" s="1"/>
  <c r="E988" i="10" s="1"/>
  <c r="E989" i="10" s="1"/>
  <c r="E990" i="10" s="1"/>
  <c r="E991" i="10" s="1"/>
  <c r="E992" i="10" s="1"/>
  <c r="E993" i="10" s="1"/>
  <c r="E994" i="10" s="1"/>
  <c r="E995" i="10" s="1"/>
  <c r="E996" i="10" s="1"/>
  <c r="E997" i="10" s="1"/>
  <c r="E998" i="10" s="1"/>
  <c r="E999" i="10" s="1"/>
  <c r="E1000" i="10" s="1"/>
  <c r="E1001" i="10" s="1"/>
  <c r="E1002" i="10" s="1"/>
  <c r="E1003" i="10" s="1"/>
  <c r="E1004" i="10" s="1"/>
  <c r="E1005" i="10" s="1"/>
  <c r="E1006" i="10" s="1"/>
  <c r="E1007" i="10" s="1"/>
  <c r="E1008" i="10" s="1"/>
  <c r="E1009" i="10" s="1"/>
  <c r="E1010" i="10" s="1"/>
  <c r="E1011" i="10" s="1"/>
  <c r="E1012" i="10" s="1"/>
  <c r="E1013" i="10" s="1"/>
  <c r="E1014" i="10" s="1"/>
  <c r="E1015" i="10" s="1"/>
  <c r="E1016" i="10" s="1"/>
  <c r="E1017" i="10" s="1"/>
  <c r="E1018" i="10" s="1"/>
  <c r="E1019" i="10" s="1"/>
  <c r="E1020" i="10" s="1"/>
  <c r="E1021" i="10" s="1"/>
  <c r="E1022" i="10" s="1"/>
  <c r="E1023" i="10" s="1"/>
  <c r="E1024" i="10" s="1"/>
  <c r="E1025" i="10" s="1"/>
  <c r="E1026" i="10" s="1"/>
  <c r="E1027" i="10" s="1"/>
  <c r="E1028" i="10" s="1"/>
  <c r="E1029" i="10" s="1"/>
  <c r="E1030" i="10" s="1"/>
  <c r="E1031" i="10" s="1"/>
  <c r="E1032" i="10" s="1"/>
  <c r="E1033" i="10" s="1"/>
  <c r="E1034" i="10" s="1"/>
  <c r="E1035" i="10" s="1"/>
  <c r="E1036" i="10" s="1"/>
  <c r="E1037" i="10" s="1"/>
  <c r="E1038" i="10" s="1"/>
  <c r="E1039" i="10" s="1"/>
  <c r="E1040" i="10" s="1"/>
  <c r="E1041" i="10" s="1"/>
  <c r="E1042" i="10" s="1"/>
  <c r="E1043" i="10" s="1"/>
  <c r="E1044" i="10" s="1"/>
  <c r="E1045" i="10" s="1"/>
  <c r="E1046" i="10" s="1"/>
  <c r="E1047" i="10" s="1"/>
  <c r="E1048" i="10" s="1"/>
  <c r="E1049" i="10" s="1"/>
  <c r="E1050" i="10" s="1"/>
  <c r="E1051" i="10" s="1"/>
  <c r="E1052" i="10" s="1"/>
  <c r="E1053" i="10" s="1"/>
  <c r="E1054" i="10" s="1"/>
  <c r="E1055" i="10" s="1"/>
  <c r="E1056" i="10" s="1"/>
  <c r="E1057" i="10" s="1"/>
  <c r="E1058" i="10" s="1"/>
  <c r="E1059" i="10" s="1"/>
  <c r="E1060" i="10" s="1"/>
  <c r="E1061" i="10" s="1"/>
  <c r="E1062" i="10" s="1"/>
  <c r="E1063" i="10" s="1"/>
  <c r="E1064" i="10" s="1"/>
  <c r="E1065" i="10" s="1"/>
  <c r="E1066" i="10" s="1"/>
  <c r="E1067" i="10" s="1"/>
  <c r="E1068" i="10" s="1"/>
  <c r="E1069" i="10" s="1"/>
  <c r="E1070" i="10" s="1"/>
  <c r="E1071" i="10" s="1"/>
  <c r="E1072" i="10" s="1"/>
  <c r="E1073" i="10" s="1"/>
  <c r="E1074" i="10" s="1"/>
  <c r="E1075" i="10" s="1"/>
  <c r="E1076" i="10" s="1"/>
  <c r="E1077" i="10" s="1"/>
  <c r="E1078" i="10" s="1"/>
  <c r="E1079" i="10" s="1"/>
  <c r="E1080" i="10" s="1"/>
  <c r="E1081" i="10" s="1"/>
  <c r="E1082" i="10" s="1"/>
  <c r="E1083" i="10" s="1"/>
  <c r="E1084" i="10" s="1"/>
  <c r="E1085" i="10" s="1"/>
  <c r="E1086" i="10" s="1"/>
  <c r="E1087" i="10" s="1"/>
  <c r="E1088" i="10" s="1"/>
  <c r="E1089" i="10" s="1"/>
  <c r="E1090" i="10" s="1"/>
  <c r="E1091" i="10" s="1"/>
  <c r="E1092" i="10" s="1"/>
  <c r="E1093" i="10" s="1"/>
  <c r="E1094" i="10" s="1"/>
  <c r="E1095" i="10" s="1"/>
  <c r="E1096" i="10" s="1"/>
  <c r="E1097" i="10" s="1"/>
  <c r="E1098" i="10" s="1"/>
  <c r="E1099" i="10" s="1"/>
  <c r="E1100" i="10" s="1"/>
  <c r="E1101" i="10" s="1"/>
  <c r="E1102" i="10" s="1"/>
  <c r="E1103" i="10" s="1"/>
  <c r="E1104" i="10" s="1"/>
  <c r="E1105" i="10" s="1"/>
  <c r="E1106" i="10" s="1"/>
  <c r="E1107" i="10" s="1"/>
  <c r="E1108" i="10" s="1"/>
  <c r="E1109" i="10" s="1"/>
  <c r="E1110" i="10" s="1"/>
  <c r="E1111" i="10" s="1"/>
  <c r="E1112" i="10" s="1"/>
  <c r="E1113" i="10" s="1"/>
  <c r="E1114" i="10" s="1"/>
  <c r="E1115" i="10" s="1"/>
  <c r="E1116" i="10" s="1"/>
  <c r="E1117" i="10" s="1"/>
  <c r="E1118" i="10" s="1"/>
  <c r="E1119" i="10" s="1"/>
  <c r="E1120" i="10" s="1"/>
  <c r="E1121" i="10" s="1"/>
  <c r="E1122" i="10" s="1"/>
  <c r="E1123" i="10" s="1"/>
  <c r="E1124" i="10" s="1"/>
  <c r="E1125" i="10" s="1"/>
  <c r="E1126" i="10" s="1"/>
  <c r="E1127" i="10" s="1"/>
  <c r="E1128" i="10" s="1"/>
  <c r="E1129" i="10" s="1"/>
  <c r="E1130" i="10" s="1"/>
  <c r="E1131" i="10" s="1"/>
  <c r="E1132" i="10" s="1"/>
  <c r="E1133" i="10" s="1"/>
  <c r="E1134" i="10" s="1"/>
  <c r="E1135" i="10" s="1"/>
  <c r="E1136" i="10" s="1"/>
  <c r="E1137" i="10" s="1"/>
  <c r="E1138" i="10" s="1"/>
  <c r="E1139" i="10" s="1"/>
  <c r="E1140" i="10" s="1"/>
  <c r="E1141" i="10" s="1"/>
  <c r="E1142" i="10" s="1"/>
  <c r="E1143" i="10" s="1"/>
  <c r="E1144" i="10" s="1"/>
  <c r="E1145" i="10" s="1"/>
  <c r="E1146" i="10" s="1"/>
  <c r="E1147" i="10" s="1"/>
  <c r="E1148" i="10" s="1"/>
  <c r="E1149" i="10" s="1"/>
  <c r="E1150" i="10" s="1"/>
  <c r="E1151" i="10" s="1"/>
  <c r="E1152" i="10" s="1"/>
  <c r="E1153" i="10" s="1"/>
  <c r="E1154" i="10" s="1"/>
  <c r="E1155" i="10" s="1"/>
  <c r="E1156" i="10" s="1"/>
  <c r="E1157" i="10" s="1"/>
  <c r="E1158" i="10" s="1"/>
  <c r="E1159" i="10" s="1"/>
  <c r="E1160" i="10" s="1"/>
  <c r="E1161" i="10" s="1"/>
  <c r="E1162" i="10" s="1"/>
  <c r="E1163" i="10" s="1"/>
  <c r="E1164" i="10" s="1"/>
  <c r="E1165" i="10" s="1"/>
  <c r="E1166" i="10" s="1"/>
  <c r="E1167" i="10" s="1"/>
  <c r="E1168" i="10" s="1"/>
  <c r="E1169" i="10" s="1"/>
  <c r="E1170" i="10" s="1"/>
  <c r="E1171" i="10" s="1"/>
  <c r="E1172" i="10" s="1"/>
  <c r="E1173" i="10" s="1"/>
  <c r="E1174" i="10" s="1"/>
  <c r="E1175" i="10" s="1"/>
  <c r="E1176" i="10" s="1"/>
  <c r="E1177" i="10" s="1"/>
  <c r="E1178" i="10" s="1"/>
  <c r="E1179" i="10" s="1"/>
  <c r="E1180" i="10" s="1"/>
  <c r="E1181" i="10" s="1"/>
  <c r="E1182" i="10" s="1"/>
  <c r="E1183" i="10" s="1"/>
  <c r="E1184" i="10" s="1"/>
  <c r="E1185" i="10" s="1"/>
  <c r="E1186" i="10" s="1"/>
  <c r="E1187" i="10" s="1"/>
  <c r="E1188" i="10" s="1"/>
  <c r="E1189" i="10" s="1"/>
  <c r="E1190" i="10" s="1"/>
  <c r="E1191" i="10" s="1"/>
  <c r="E1192" i="10" s="1"/>
  <c r="E1193" i="10" s="1"/>
  <c r="E1194" i="10" s="1"/>
  <c r="E1195" i="10" s="1"/>
  <c r="E1196" i="10" s="1"/>
  <c r="E1197" i="10" s="1"/>
  <c r="E1198" i="10" s="1"/>
  <c r="E1199" i="10" s="1"/>
  <c r="E1200" i="10" s="1"/>
  <c r="E1201" i="10" s="1"/>
  <c r="E1202" i="10" s="1"/>
  <c r="E1203" i="10" s="1"/>
  <c r="E1204" i="10" s="1"/>
  <c r="E1205" i="10" s="1"/>
  <c r="E1206" i="10" s="1"/>
  <c r="E1207" i="10" s="1"/>
  <c r="E1208" i="10" s="1"/>
  <c r="E1209" i="10" s="1"/>
  <c r="E1210" i="10" s="1"/>
  <c r="E1211" i="10" s="1"/>
  <c r="E1212" i="10" s="1"/>
  <c r="E1213" i="10" s="1"/>
  <c r="E1214" i="10" s="1"/>
  <c r="E1215" i="10" s="1"/>
  <c r="E1216" i="10" s="1"/>
  <c r="E1217" i="10" s="1"/>
  <c r="E1218" i="10" s="1"/>
  <c r="E1219" i="10" s="1"/>
  <c r="E1220" i="10" s="1"/>
  <c r="E1221" i="10" s="1"/>
  <c r="E1222" i="10" s="1"/>
  <c r="E1223" i="10" s="1"/>
  <c r="E1224" i="10" s="1"/>
  <c r="E1225" i="10" s="1"/>
  <c r="E1226" i="10" s="1"/>
  <c r="E1227" i="10" s="1"/>
  <c r="E1228" i="10" s="1"/>
  <c r="E1229" i="10" s="1"/>
  <c r="E1230" i="10" s="1"/>
  <c r="E1231" i="10" s="1"/>
  <c r="E1232" i="10" s="1"/>
  <c r="E1233" i="10" s="1"/>
  <c r="E1234" i="10" s="1"/>
  <c r="E1235" i="10" s="1"/>
  <c r="E1236" i="10" s="1"/>
  <c r="E1237" i="10" s="1"/>
  <c r="E1238" i="10" s="1"/>
  <c r="E1239" i="10" s="1"/>
  <c r="E1240" i="10" s="1"/>
  <c r="E1241" i="10" s="1"/>
  <c r="E1242" i="10" s="1"/>
  <c r="E1243" i="10" s="1"/>
  <c r="E1244" i="10" s="1"/>
  <c r="E1245" i="10" s="1"/>
  <c r="E1246" i="10" s="1"/>
  <c r="E1247" i="10" s="1"/>
  <c r="E1248" i="10" s="1"/>
  <c r="E1249" i="10" s="1"/>
  <c r="E1250" i="10" s="1"/>
  <c r="E1251" i="10" s="1"/>
  <c r="E1252" i="10" s="1"/>
  <c r="E1253" i="10" s="1"/>
  <c r="E1254" i="10" s="1"/>
  <c r="E1255" i="10" s="1"/>
  <c r="E1256" i="10" s="1"/>
  <c r="E1257" i="10" s="1"/>
  <c r="E1258" i="10" s="1"/>
  <c r="E1259" i="10" s="1"/>
  <c r="E1260" i="10" s="1"/>
  <c r="E1261" i="10" s="1"/>
  <c r="E1262" i="10" s="1"/>
  <c r="E1263" i="10" s="1"/>
  <c r="E1264" i="10" s="1"/>
  <c r="E1265" i="10" s="1"/>
  <c r="E1266" i="10" s="1"/>
  <c r="E1267" i="10" s="1"/>
  <c r="E1268" i="10" s="1"/>
  <c r="E1269" i="10" s="1"/>
  <c r="E1270" i="10" s="1"/>
  <c r="E1271" i="10" s="1"/>
  <c r="E1272" i="10" s="1"/>
  <c r="E1273" i="10" s="1"/>
  <c r="E1274" i="10" s="1"/>
  <c r="E1275" i="10" s="1"/>
  <c r="E1276" i="10" s="1"/>
  <c r="E1277" i="10" s="1"/>
  <c r="E1278" i="10" s="1"/>
  <c r="E1279" i="10" s="1"/>
  <c r="E1280" i="10" s="1"/>
  <c r="E1281" i="10" s="1"/>
  <c r="E1282" i="10" s="1"/>
  <c r="E1283" i="10" s="1"/>
  <c r="E1284" i="10" s="1"/>
  <c r="E1285" i="10" s="1"/>
  <c r="E1286" i="10" s="1"/>
  <c r="E1287" i="10" s="1"/>
  <c r="E1288" i="10" s="1"/>
  <c r="E1289" i="10" s="1"/>
  <c r="E1290" i="10" s="1"/>
  <c r="E1291" i="10" s="1"/>
  <c r="E1292" i="10" s="1"/>
  <c r="E1293" i="10" s="1"/>
  <c r="E1294" i="10" s="1"/>
  <c r="E1295" i="10" s="1"/>
  <c r="E1296" i="10" s="1"/>
  <c r="E1297" i="10" s="1"/>
  <c r="E1298" i="10" s="1"/>
  <c r="E1299" i="10" s="1"/>
  <c r="E1300" i="10" s="1"/>
  <c r="E1301" i="10" s="1"/>
  <c r="E1302" i="10" s="1"/>
  <c r="E1303" i="10" s="1"/>
  <c r="E1304" i="10" s="1"/>
  <c r="E1305" i="10" s="1"/>
  <c r="E1306" i="10" s="1"/>
  <c r="E1307" i="10" s="1"/>
  <c r="E1308" i="10" s="1"/>
  <c r="E1309" i="10" s="1"/>
  <c r="E1310" i="10" s="1"/>
  <c r="E1311" i="10" s="1"/>
  <c r="E1312" i="10" s="1"/>
  <c r="E1313" i="10" s="1"/>
  <c r="E1314" i="10" s="1"/>
  <c r="E1315" i="10" s="1"/>
  <c r="E1316" i="10" s="1"/>
  <c r="E1317" i="10" s="1"/>
  <c r="E1318" i="10" s="1"/>
  <c r="E1319" i="10" s="1"/>
  <c r="E1320" i="10" s="1"/>
  <c r="E1321" i="10" s="1"/>
  <c r="E1322" i="10" s="1"/>
  <c r="E1323" i="10" s="1"/>
  <c r="E1324" i="10" s="1"/>
  <c r="E1325" i="10" s="1"/>
  <c r="E1326" i="10" s="1"/>
  <c r="E1327" i="10" s="1"/>
  <c r="E1328" i="10" s="1"/>
  <c r="E1329" i="10" s="1"/>
  <c r="E1330" i="10" s="1"/>
  <c r="E1331" i="10" s="1"/>
  <c r="E1332" i="10" s="1"/>
  <c r="E1333" i="10" s="1"/>
  <c r="E1334" i="10" s="1"/>
  <c r="E1335" i="10" s="1"/>
  <c r="E1336" i="10" s="1"/>
  <c r="E1337" i="10" s="1"/>
  <c r="E1338" i="10" s="1"/>
  <c r="E1339" i="10" s="1"/>
  <c r="E1340" i="10" s="1"/>
  <c r="E1341" i="10" s="1"/>
  <c r="E1342" i="10" s="1"/>
  <c r="E1343" i="10" s="1"/>
  <c r="E1344" i="10" s="1"/>
  <c r="E1345" i="10" s="1"/>
  <c r="E1346" i="10" s="1"/>
  <c r="E1347" i="10" s="1"/>
  <c r="E1348" i="10" s="1"/>
  <c r="E1349" i="10" s="1"/>
  <c r="E1350" i="10" s="1"/>
  <c r="E1351" i="10" s="1"/>
  <c r="E1352" i="10" s="1"/>
  <c r="E1353" i="10" s="1"/>
  <c r="E1354" i="10" s="1"/>
  <c r="E1355" i="10" s="1"/>
  <c r="E1356" i="10" s="1"/>
  <c r="E201" i="10"/>
  <c r="J202" i="10"/>
  <c r="J203" i="10"/>
  <c r="J204" i="10"/>
  <c r="J205" i="10"/>
  <c r="J206" i="10"/>
  <c r="J207" i="10"/>
  <c r="J208" i="10"/>
  <c r="J209" i="10"/>
  <c r="J210" i="10"/>
  <c r="J211" i="10"/>
  <c r="J212" i="10"/>
  <c r="J213" i="10"/>
  <c r="J214" i="10"/>
  <c r="J215" i="10"/>
  <c r="J216" i="10"/>
  <c r="J217" i="10"/>
  <c r="J218" i="10"/>
  <c r="J219" i="10"/>
  <c r="J220" i="10"/>
  <c r="J221" i="10"/>
  <c r="J222" i="10"/>
  <c r="J223" i="10"/>
  <c r="J224" i="10"/>
  <c r="J225" i="10"/>
  <c r="J226" i="10"/>
  <c r="J227" i="10"/>
  <c r="J228" i="10"/>
  <c r="J229" i="10"/>
  <c r="J230" i="10"/>
  <c r="J231" i="10"/>
  <c r="J232" i="10"/>
  <c r="J233" i="10"/>
  <c r="J234" i="10"/>
  <c r="J235" i="10"/>
  <c r="J236" i="10"/>
  <c r="J237" i="10"/>
  <c r="J238" i="10"/>
  <c r="J239" i="10"/>
  <c r="J240" i="10"/>
  <c r="J241" i="10"/>
  <c r="J242" i="10"/>
  <c r="J243" i="10"/>
  <c r="J244" i="10"/>
  <c r="J245" i="10"/>
  <c r="J246" i="10"/>
  <c r="J247" i="10"/>
  <c r="J248" i="10"/>
  <c r="J249" i="10"/>
  <c r="J250" i="10"/>
  <c r="J251" i="10"/>
  <c r="J252" i="10"/>
  <c r="J253" i="10"/>
  <c r="J254" i="10"/>
  <c r="J255" i="10"/>
  <c r="J256" i="10"/>
  <c r="J257" i="10"/>
  <c r="J258" i="10"/>
  <c r="J259" i="10"/>
  <c r="J260" i="10"/>
  <c r="J261" i="10"/>
  <c r="J262" i="10"/>
  <c r="J263" i="10"/>
  <c r="J264" i="10"/>
  <c r="J265" i="10"/>
  <c r="J266" i="10"/>
  <c r="J267" i="10"/>
  <c r="J268" i="10"/>
  <c r="J269" i="10"/>
  <c r="J270" i="10"/>
  <c r="J271" i="10"/>
  <c r="J272" i="10"/>
  <c r="J273" i="10"/>
  <c r="J274" i="10"/>
  <c r="J275" i="10"/>
  <c r="J276" i="10"/>
  <c r="J277" i="10"/>
  <c r="J278" i="10"/>
  <c r="J279" i="10"/>
  <c r="J280" i="10"/>
  <c r="J281" i="10"/>
  <c r="J282" i="10"/>
  <c r="J283" i="10"/>
  <c r="J284" i="10"/>
  <c r="J285" i="10"/>
  <c r="J286" i="10"/>
  <c r="J287" i="10"/>
  <c r="J288" i="10"/>
  <c r="J289" i="10"/>
  <c r="J290" i="10"/>
  <c r="J291" i="10"/>
  <c r="J292" i="10"/>
  <c r="J293" i="10"/>
  <c r="J294" i="10"/>
  <c r="J295" i="10"/>
  <c r="J296" i="10"/>
  <c r="J297" i="10"/>
  <c r="J298" i="10"/>
  <c r="J299" i="10"/>
  <c r="J300" i="10"/>
  <c r="J301" i="10"/>
  <c r="J302" i="10"/>
  <c r="J303" i="10"/>
  <c r="J304" i="10"/>
  <c r="J305" i="10"/>
  <c r="J306" i="10"/>
  <c r="J307" i="10"/>
  <c r="J308" i="10"/>
  <c r="J309" i="10"/>
  <c r="J310" i="10"/>
  <c r="J311" i="10"/>
  <c r="J312" i="10"/>
  <c r="J313" i="10"/>
  <c r="J314" i="10"/>
  <c r="J315" i="10"/>
  <c r="J316" i="10"/>
  <c r="J317" i="10"/>
  <c r="J318" i="10"/>
  <c r="J319" i="10"/>
  <c r="J320" i="10"/>
  <c r="J321" i="10"/>
  <c r="J322" i="10"/>
  <c r="J323" i="10"/>
  <c r="J324" i="10"/>
  <c r="J325" i="10"/>
  <c r="J326" i="10"/>
  <c r="J327" i="10"/>
  <c r="J328" i="10"/>
  <c r="J329" i="10"/>
  <c r="J330" i="10"/>
  <c r="J331" i="10"/>
  <c r="J332" i="10"/>
  <c r="J333" i="10"/>
  <c r="J334" i="10"/>
  <c r="J335" i="10"/>
  <c r="J336" i="10"/>
  <c r="J337" i="10"/>
  <c r="J338" i="10"/>
  <c r="J339" i="10"/>
  <c r="J340" i="10"/>
  <c r="J341" i="10"/>
  <c r="J342" i="10"/>
  <c r="J343" i="10"/>
  <c r="J344" i="10"/>
  <c r="J345" i="10"/>
  <c r="J346" i="10"/>
  <c r="J347" i="10"/>
  <c r="J348" i="10"/>
  <c r="J349" i="10"/>
  <c r="J350" i="10"/>
  <c r="J351" i="10"/>
  <c r="J352" i="10"/>
  <c r="J353" i="10"/>
  <c r="J354" i="10"/>
  <c r="J355" i="10"/>
  <c r="J356" i="10"/>
  <c r="J357" i="10"/>
  <c r="J358" i="10"/>
  <c r="J359" i="10"/>
  <c r="J360" i="10"/>
  <c r="J361" i="10"/>
  <c r="J362" i="10"/>
  <c r="J363" i="10"/>
  <c r="J364" i="10"/>
  <c r="J365" i="10"/>
  <c r="J366" i="10"/>
  <c r="J367" i="10"/>
  <c r="J368" i="10"/>
  <c r="J369" i="10"/>
  <c r="J370" i="10"/>
  <c r="J371" i="10"/>
  <c r="J372" i="10"/>
  <c r="J373" i="10"/>
  <c r="J374" i="10"/>
  <c r="J375" i="10"/>
  <c r="J376" i="10"/>
  <c r="J377" i="10"/>
  <c r="J378" i="10"/>
  <c r="J379" i="10"/>
  <c r="J380" i="10"/>
  <c r="J381" i="10"/>
  <c r="J382" i="10"/>
  <c r="J383" i="10"/>
  <c r="J384" i="10"/>
  <c r="J385" i="10"/>
  <c r="J386" i="10"/>
  <c r="J387" i="10"/>
  <c r="J388" i="10"/>
  <c r="J389" i="10"/>
  <c r="J390" i="10"/>
  <c r="J391" i="10"/>
  <c r="J392" i="10"/>
  <c r="J393" i="10"/>
  <c r="J394" i="10"/>
  <c r="J395" i="10"/>
  <c r="J396" i="10"/>
  <c r="J397" i="10"/>
  <c r="J398" i="10"/>
  <c r="J399" i="10"/>
  <c r="J400" i="10"/>
  <c r="J401" i="10"/>
  <c r="J402" i="10"/>
  <c r="J403" i="10"/>
  <c r="J404" i="10"/>
  <c r="J405" i="10"/>
  <c r="J406" i="10"/>
  <c r="J407" i="10"/>
  <c r="J408" i="10"/>
  <c r="J409" i="10"/>
  <c r="J410" i="10"/>
  <c r="J411" i="10"/>
  <c r="J412" i="10"/>
  <c r="J413" i="10"/>
  <c r="J414" i="10"/>
  <c r="J415" i="10"/>
  <c r="J416" i="10"/>
  <c r="J417" i="10"/>
  <c r="J418" i="10"/>
  <c r="J419" i="10"/>
  <c r="J420" i="10"/>
  <c r="J421" i="10"/>
  <c r="J422" i="10"/>
  <c r="J423" i="10"/>
  <c r="J424" i="10"/>
  <c r="J425" i="10"/>
  <c r="J426" i="10"/>
  <c r="J427" i="10"/>
  <c r="J428" i="10"/>
  <c r="J429" i="10"/>
  <c r="J430" i="10"/>
  <c r="J431" i="10"/>
  <c r="J432" i="10"/>
  <c r="J433" i="10"/>
  <c r="J434" i="10"/>
  <c r="J435" i="10"/>
  <c r="J436" i="10"/>
  <c r="J437" i="10"/>
  <c r="J438" i="10"/>
  <c r="J439" i="10"/>
  <c r="J440" i="10"/>
  <c r="J441" i="10"/>
  <c r="J442" i="10"/>
  <c r="J443" i="10"/>
  <c r="J444" i="10"/>
  <c r="J445" i="10"/>
  <c r="J446" i="10"/>
  <c r="J447" i="10"/>
  <c r="J448" i="10"/>
  <c r="J449" i="10"/>
  <c r="J450" i="10"/>
  <c r="J451" i="10"/>
  <c r="J452" i="10"/>
  <c r="J453" i="10"/>
  <c r="J454" i="10"/>
  <c r="J455" i="10"/>
  <c r="J456" i="10"/>
  <c r="J457" i="10"/>
  <c r="J458" i="10"/>
  <c r="J459" i="10"/>
  <c r="J460" i="10"/>
  <c r="J461" i="10"/>
  <c r="J462" i="10"/>
  <c r="J463" i="10"/>
  <c r="J464" i="10"/>
  <c r="J465" i="10"/>
  <c r="J466" i="10"/>
  <c r="J467" i="10"/>
  <c r="J468" i="10"/>
  <c r="J469" i="10"/>
  <c r="J470" i="10"/>
  <c r="J471" i="10"/>
  <c r="J472" i="10"/>
  <c r="J473" i="10"/>
  <c r="J474" i="10"/>
  <c r="J475" i="10"/>
  <c r="J476" i="10"/>
  <c r="J477" i="10"/>
  <c r="J478" i="10"/>
  <c r="J479" i="10"/>
  <c r="J480" i="10"/>
  <c r="J481" i="10"/>
  <c r="J482" i="10"/>
  <c r="J483" i="10"/>
  <c r="J484" i="10"/>
  <c r="J485" i="10"/>
  <c r="J486" i="10"/>
  <c r="J487" i="10"/>
  <c r="J488" i="10"/>
  <c r="J489" i="10"/>
  <c r="J490" i="10"/>
  <c r="J491" i="10"/>
  <c r="J492" i="10"/>
  <c r="J493" i="10"/>
  <c r="J494" i="10"/>
  <c r="J495" i="10"/>
  <c r="J496" i="10"/>
  <c r="J497" i="10"/>
  <c r="J498" i="10"/>
  <c r="J499" i="10"/>
  <c r="J500" i="10"/>
  <c r="J501" i="10"/>
  <c r="J502" i="10"/>
  <c r="J503" i="10"/>
  <c r="J504" i="10"/>
  <c r="J505" i="10"/>
  <c r="J506" i="10"/>
  <c r="J507" i="10"/>
  <c r="J508" i="10"/>
  <c r="J509" i="10"/>
  <c r="J510" i="10"/>
  <c r="J511" i="10"/>
  <c r="J512" i="10"/>
  <c r="J513" i="10"/>
  <c r="J514" i="10"/>
  <c r="J515" i="10"/>
  <c r="J516" i="10"/>
  <c r="J517" i="10"/>
  <c r="J518" i="10"/>
  <c r="J519" i="10"/>
  <c r="J520" i="10"/>
  <c r="J521" i="10"/>
  <c r="J522" i="10"/>
  <c r="J523" i="10"/>
  <c r="J524" i="10"/>
  <c r="J525" i="10"/>
  <c r="J526" i="10"/>
  <c r="J527" i="10"/>
  <c r="J528" i="10"/>
  <c r="J529" i="10"/>
  <c r="J530" i="10"/>
  <c r="J531" i="10"/>
  <c r="J532" i="10"/>
  <c r="J533" i="10"/>
  <c r="J534" i="10"/>
  <c r="J535" i="10"/>
  <c r="J536" i="10"/>
  <c r="J537" i="10"/>
  <c r="J538" i="10"/>
  <c r="J539" i="10"/>
  <c r="J540" i="10"/>
  <c r="J541" i="10"/>
  <c r="J542" i="10"/>
  <c r="J543" i="10"/>
  <c r="J544" i="10"/>
  <c r="J545" i="10"/>
  <c r="J546" i="10"/>
  <c r="J547" i="10"/>
  <c r="J548" i="10"/>
  <c r="J549" i="10"/>
  <c r="J550" i="10"/>
  <c r="J551" i="10"/>
  <c r="J552" i="10"/>
  <c r="J553" i="10"/>
  <c r="J554" i="10"/>
  <c r="J555" i="10"/>
  <c r="J556" i="10"/>
  <c r="J557" i="10"/>
  <c r="J558" i="10"/>
  <c r="J559" i="10"/>
  <c r="J560" i="10"/>
  <c r="J561" i="10"/>
  <c r="J562" i="10"/>
  <c r="J563" i="10"/>
  <c r="J564" i="10"/>
  <c r="J565" i="10"/>
  <c r="J566" i="10"/>
  <c r="J567" i="10"/>
  <c r="J568" i="10"/>
  <c r="J569" i="10"/>
  <c r="J570" i="10"/>
  <c r="J571" i="10"/>
  <c r="J572" i="10"/>
  <c r="J573" i="10"/>
  <c r="J574" i="10"/>
  <c r="J575" i="10"/>
  <c r="J576" i="10"/>
  <c r="J577" i="10"/>
  <c r="J578" i="10"/>
  <c r="J579" i="10"/>
  <c r="J580" i="10"/>
  <c r="J581" i="10"/>
  <c r="J582" i="10"/>
  <c r="J583" i="10"/>
  <c r="J584" i="10"/>
  <c r="J585" i="10"/>
  <c r="J586" i="10"/>
  <c r="J587" i="10"/>
  <c r="J588" i="10"/>
  <c r="J589" i="10"/>
  <c r="J590" i="10"/>
  <c r="J591" i="10"/>
  <c r="J592" i="10"/>
  <c r="J593" i="10"/>
  <c r="J594" i="10"/>
  <c r="J595" i="10"/>
  <c r="J596" i="10"/>
  <c r="J597" i="10"/>
  <c r="J598" i="10"/>
  <c r="J599" i="10"/>
  <c r="J600" i="10"/>
  <c r="J601" i="10"/>
  <c r="J602" i="10"/>
  <c r="J603" i="10"/>
  <c r="J604" i="10"/>
  <c r="J605" i="10"/>
  <c r="J606" i="10"/>
  <c r="J607" i="10"/>
  <c r="J608" i="10"/>
  <c r="J609" i="10"/>
  <c r="J610" i="10"/>
  <c r="J611" i="10"/>
  <c r="J612" i="10"/>
  <c r="J613" i="10"/>
  <c r="J614" i="10"/>
  <c r="J615" i="10"/>
  <c r="J616" i="10"/>
  <c r="J617" i="10"/>
  <c r="J618" i="10"/>
  <c r="J619" i="10"/>
  <c r="J620" i="10"/>
  <c r="J621" i="10"/>
  <c r="J622" i="10"/>
  <c r="J623" i="10"/>
  <c r="J624" i="10"/>
  <c r="J625" i="10"/>
  <c r="J626" i="10"/>
  <c r="J627" i="10"/>
  <c r="J628" i="10"/>
  <c r="J629" i="10"/>
  <c r="J630" i="10"/>
  <c r="J631" i="10"/>
  <c r="J632" i="10"/>
  <c r="J633" i="10"/>
  <c r="J634" i="10"/>
  <c r="J635" i="10"/>
  <c r="J636" i="10"/>
  <c r="J637" i="10"/>
  <c r="J638" i="10"/>
  <c r="J639" i="10"/>
  <c r="J640" i="10"/>
  <c r="J641" i="10"/>
  <c r="J642" i="10"/>
  <c r="J643" i="10"/>
  <c r="J644" i="10"/>
  <c r="J645" i="10"/>
  <c r="J646" i="10"/>
  <c r="J647" i="10"/>
  <c r="J648" i="10"/>
  <c r="J649" i="10"/>
  <c r="J650" i="10"/>
  <c r="J651" i="10"/>
  <c r="J652" i="10"/>
  <c r="J653" i="10"/>
  <c r="J654" i="10"/>
  <c r="J655" i="10"/>
  <c r="J656" i="10"/>
  <c r="J657" i="10"/>
  <c r="J658" i="10"/>
  <c r="J659" i="10"/>
  <c r="J660" i="10"/>
  <c r="J661" i="10"/>
  <c r="J662" i="10"/>
  <c r="J663" i="10"/>
  <c r="J664" i="10"/>
  <c r="J665" i="10"/>
  <c r="J666" i="10"/>
  <c r="J667" i="10"/>
  <c r="J668" i="10"/>
  <c r="J669" i="10"/>
  <c r="J670" i="10"/>
  <c r="J671" i="10"/>
  <c r="J672" i="10"/>
  <c r="J673" i="10"/>
  <c r="J674" i="10"/>
  <c r="J675" i="10"/>
  <c r="J676" i="10"/>
  <c r="J677" i="10"/>
  <c r="J678" i="10"/>
  <c r="J679" i="10"/>
  <c r="J680" i="10"/>
  <c r="J681" i="10"/>
  <c r="J682" i="10"/>
  <c r="J683" i="10"/>
  <c r="J684" i="10"/>
  <c r="J685" i="10"/>
  <c r="J686" i="10"/>
  <c r="J687" i="10"/>
  <c r="J688" i="10"/>
  <c r="J689" i="10"/>
  <c r="J690" i="10"/>
  <c r="J691" i="10"/>
  <c r="J692" i="10"/>
  <c r="J693" i="10"/>
  <c r="J694" i="10"/>
  <c r="J695" i="10"/>
  <c r="J696" i="10"/>
  <c r="J697" i="10"/>
  <c r="J698" i="10"/>
  <c r="J699" i="10"/>
  <c r="J700" i="10"/>
  <c r="J701" i="10"/>
  <c r="J702" i="10"/>
  <c r="J703" i="10"/>
  <c r="J704" i="10"/>
  <c r="J705" i="10"/>
  <c r="J706" i="10"/>
  <c r="J707" i="10"/>
  <c r="J708" i="10"/>
  <c r="J709" i="10"/>
  <c r="J710" i="10"/>
  <c r="J711" i="10"/>
  <c r="J712" i="10"/>
  <c r="J713" i="10"/>
  <c r="J714" i="10"/>
  <c r="J715" i="10"/>
  <c r="J716" i="10"/>
  <c r="J717" i="10"/>
  <c r="J718" i="10"/>
  <c r="J719" i="10"/>
  <c r="J720" i="10"/>
  <c r="J721" i="10"/>
  <c r="J722" i="10"/>
  <c r="J723" i="10"/>
  <c r="J724" i="10"/>
  <c r="J725" i="10"/>
  <c r="J726" i="10"/>
  <c r="J727" i="10"/>
  <c r="J728" i="10"/>
  <c r="J729" i="10"/>
  <c r="J730" i="10"/>
  <c r="J731" i="10"/>
  <c r="J732" i="10"/>
  <c r="J733" i="10"/>
  <c r="J734" i="10"/>
  <c r="J735" i="10"/>
  <c r="J736" i="10"/>
  <c r="J737" i="10"/>
  <c r="J738" i="10"/>
  <c r="J739" i="10"/>
  <c r="J740" i="10"/>
  <c r="J741" i="10"/>
  <c r="J742" i="10"/>
  <c r="J743" i="10"/>
  <c r="J744" i="10"/>
  <c r="J745" i="10"/>
  <c r="J746" i="10"/>
  <c r="J747" i="10"/>
  <c r="J748" i="10"/>
  <c r="J749" i="10"/>
  <c r="J750" i="10"/>
  <c r="J751" i="10"/>
  <c r="J752" i="10"/>
  <c r="J753" i="10"/>
  <c r="J754" i="10"/>
  <c r="J755" i="10"/>
  <c r="J756" i="10"/>
  <c r="J757" i="10"/>
  <c r="J758" i="10"/>
  <c r="J759" i="10"/>
  <c r="J760" i="10"/>
  <c r="J761" i="10"/>
  <c r="J762" i="10"/>
  <c r="J763" i="10"/>
  <c r="J764" i="10"/>
  <c r="J765" i="10"/>
  <c r="J766" i="10"/>
  <c r="J767" i="10"/>
  <c r="J768" i="10"/>
  <c r="J769" i="10"/>
  <c r="J770" i="10"/>
  <c r="J771" i="10"/>
  <c r="J772" i="10"/>
  <c r="J773" i="10"/>
  <c r="J774" i="10"/>
  <c r="J775" i="10"/>
  <c r="J776" i="10"/>
  <c r="J777" i="10"/>
  <c r="J778" i="10"/>
  <c r="J779" i="10"/>
  <c r="J780" i="10"/>
  <c r="J781" i="10"/>
  <c r="J782" i="10"/>
  <c r="J783" i="10"/>
  <c r="J784" i="10"/>
  <c r="J785" i="10"/>
  <c r="J786" i="10"/>
  <c r="J787" i="10"/>
  <c r="J788" i="10"/>
  <c r="J789" i="10"/>
  <c r="J790" i="10"/>
  <c r="J791" i="10"/>
  <c r="J792" i="10"/>
  <c r="J793" i="10"/>
  <c r="J794" i="10"/>
  <c r="J795" i="10"/>
  <c r="J796" i="10"/>
  <c r="J797" i="10"/>
  <c r="J798" i="10"/>
  <c r="J799" i="10"/>
  <c r="J800" i="10"/>
  <c r="J801" i="10"/>
  <c r="J802" i="10"/>
  <c r="J803" i="10"/>
  <c r="J804" i="10"/>
  <c r="J805" i="10"/>
  <c r="J806" i="10"/>
  <c r="J807" i="10"/>
  <c r="J808" i="10"/>
  <c r="J809" i="10"/>
  <c r="J810" i="10"/>
  <c r="J811" i="10"/>
  <c r="J812" i="10"/>
  <c r="J813" i="10"/>
  <c r="J814" i="10"/>
  <c r="J815" i="10"/>
  <c r="J816" i="10"/>
  <c r="J817" i="10"/>
  <c r="J818" i="10"/>
  <c r="J819" i="10"/>
  <c r="J820" i="10"/>
  <c r="J821" i="10"/>
  <c r="J822" i="10"/>
  <c r="J823" i="10"/>
  <c r="J824" i="10"/>
  <c r="J825" i="10"/>
  <c r="J826" i="10"/>
  <c r="J827" i="10"/>
  <c r="J828" i="10"/>
  <c r="J829" i="10"/>
  <c r="J830" i="10"/>
  <c r="J831" i="10"/>
  <c r="J832" i="10"/>
  <c r="J833" i="10"/>
  <c r="J834" i="10"/>
  <c r="J835" i="10"/>
  <c r="J836" i="10"/>
  <c r="J837" i="10"/>
  <c r="J838" i="10"/>
  <c r="J839" i="10"/>
  <c r="J840" i="10"/>
  <c r="J841" i="10"/>
  <c r="J842" i="10"/>
  <c r="J843" i="10"/>
  <c r="J844" i="10"/>
  <c r="J845" i="10"/>
  <c r="J846" i="10"/>
  <c r="J847" i="10"/>
  <c r="J848" i="10"/>
  <c r="J849" i="10"/>
  <c r="J850" i="10"/>
  <c r="J851" i="10"/>
  <c r="J852" i="10"/>
  <c r="J853" i="10"/>
  <c r="J854" i="10"/>
  <c r="J855" i="10"/>
  <c r="J856" i="10"/>
  <c r="J857" i="10"/>
  <c r="J858" i="10"/>
  <c r="J859" i="10"/>
  <c r="J860" i="10"/>
  <c r="J861" i="10"/>
  <c r="J862" i="10"/>
  <c r="J863" i="10"/>
  <c r="J864" i="10"/>
  <c r="J865" i="10"/>
  <c r="J866" i="10"/>
  <c r="J867" i="10"/>
  <c r="J868" i="10"/>
  <c r="J869" i="10"/>
  <c r="J870" i="10"/>
  <c r="J871" i="10"/>
  <c r="J872" i="10"/>
  <c r="J873" i="10"/>
  <c r="J874" i="10"/>
  <c r="J875" i="10"/>
  <c r="J876" i="10"/>
  <c r="J877" i="10"/>
  <c r="J878" i="10"/>
  <c r="J879" i="10"/>
  <c r="J880" i="10"/>
  <c r="J881" i="10"/>
  <c r="J882" i="10"/>
  <c r="J883" i="10"/>
  <c r="J884" i="10"/>
  <c r="J885" i="10"/>
  <c r="J886" i="10"/>
  <c r="J887" i="10"/>
  <c r="J888" i="10"/>
  <c r="J889" i="10"/>
  <c r="J890" i="10"/>
  <c r="J891" i="10"/>
  <c r="J892" i="10"/>
  <c r="J893" i="10"/>
  <c r="J894" i="10"/>
  <c r="J895" i="10"/>
  <c r="J896" i="10"/>
  <c r="J897" i="10"/>
  <c r="J898" i="10"/>
  <c r="J899" i="10"/>
  <c r="J900" i="10"/>
  <c r="J901" i="10"/>
  <c r="J902" i="10"/>
  <c r="J903" i="10"/>
  <c r="J904" i="10"/>
  <c r="J905" i="10"/>
  <c r="J906" i="10"/>
  <c r="J907" i="10"/>
  <c r="J908" i="10"/>
  <c r="J909" i="10"/>
  <c r="J910" i="10"/>
  <c r="J911" i="10"/>
  <c r="J912" i="10"/>
  <c r="J913" i="10"/>
  <c r="J914" i="10"/>
  <c r="J915" i="10"/>
  <c r="J916" i="10"/>
  <c r="J917" i="10"/>
  <c r="J918" i="10"/>
  <c r="J919" i="10"/>
  <c r="J920" i="10"/>
  <c r="J921" i="10"/>
  <c r="J922" i="10"/>
  <c r="J923" i="10"/>
  <c r="J924" i="10"/>
  <c r="J925" i="10"/>
  <c r="J926" i="10"/>
  <c r="J927" i="10"/>
  <c r="J928" i="10"/>
  <c r="J929" i="10"/>
  <c r="J930" i="10"/>
  <c r="J931" i="10"/>
  <c r="J932" i="10"/>
  <c r="J933" i="10"/>
  <c r="J934" i="10"/>
  <c r="J935" i="10"/>
  <c r="J936" i="10"/>
  <c r="J937" i="10"/>
  <c r="J938" i="10"/>
  <c r="J939" i="10"/>
  <c r="J940" i="10"/>
  <c r="J941" i="10"/>
  <c r="J942" i="10"/>
  <c r="J943" i="10"/>
  <c r="J944" i="10"/>
  <c r="J945" i="10"/>
  <c r="J946" i="10"/>
  <c r="J947" i="10"/>
  <c r="J948" i="10"/>
  <c r="J949" i="10"/>
  <c r="J950" i="10"/>
  <c r="J951" i="10"/>
  <c r="J952" i="10"/>
  <c r="J953" i="10"/>
  <c r="J954" i="10"/>
  <c r="J955" i="10"/>
  <c r="J956" i="10"/>
  <c r="J957" i="10"/>
  <c r="J958" i="10"/>
  <c r="J959" i="10"/>
  <c r="J960" i="10"/>
  <c r="J961" i="10"/>
  <c r="J962" i="10"/>
  <c r="J963" i="10"/>
  <c r="J964" i="10"/>
  <c r="J965" i="10"/>
  <c r="J966" i="10"/>
  <c r="J967" i="10"/>
  <c r="J968" i="10"/>
  <c r="J969" i="10"/>
  <c r="J970" i="10"/>
  <c r="J971" i="10"/>
  <c r="J972" i="10"/>
  <c r="J973" i="10"/>
  <c r="J974" i="10"/>
  <c r="J975" i="10"/>
  <c r="J976" i="10"/>
  <c r="J977" i="10"/>
  <c r="J978" i="10"/>
  <c r="J979" i="10"/>
  <c r="J980" i="10"/>
  <c r="J981" i="10"/>
  <c r="J982" i="10"/>
  <c r="J983" i="10"/>
  <c r="J984" i="10"/>
  <c r="J985" i="10"/>
  <c r="J986" i="10"/>
  <c r="J987" i="10"/>
  <c r="J988" i="10"/>
  <c r="J989" i="10"/>
  <c r="J990" i="10"/>
  <c r="J991" i="10"/>
  <c r="J992" i="10"/>
  <c r="J993" i="10"/>
  <c r="J994" i="10"/>
  <c r="J995" i="10"/>
  <c r="J996" i="10"/>
  <c r="J997" i="10"/>
  <c r="J998" i="10"/>
  <c r="J999" i="10"/>
  <c r="J1000" i="10"/>
  <c r="J1001" i="10"/>
  <c r="J1002" i="10"/>
  <c r="J1003" i="10"/>
  <c r="J1004" i="10"/>
  <c r="J1005" i="10"/>
  <c r="J1006" i="10"/>
  <c r="J1007" i="10"/>
  <c r="J1008" i="10"/>
  <c r="J1009" i="10"/>
  <c r="J1010" i="10"/>
  <c r="J1011" i="10"/>
  <c r="J1012" i="10"/>
  <c r="J1013" i="10"/>
  <c r="J1014" i="10"/>
  <c r="J1015" i="10"/>
  <c r="J1016" i="10"/>
  <c r="J1017" i="10"/>
  <c r="J1018" i="10"/>
  <c r="J1019" i="10"/>
  <c r="J1020" i="10"/>
  <c r="J1021" i="10"/>
  <c r="J1022" i="10"/>
  <c r="J1023" i="10"/>
  <c r="J1024" i="10"/>
  <c r="J1025" i="10"/>
  <c r="J1026" i="10"/>
  <c r="J1027" i="10"/>
  <c r="J1028" i="10"/>
  <c r="J1029" i="10"/>
  <c r="J1030" i="10"/>
  <c r="J1031" i="10"/>
  <c r="J1032" i="10"/>
  <c r="J1033" i="10"/>
  <c r="J1034" i="10"/>
  <c r="J1035" i="10"/>
  <c r="J1036" i="10"/>
  <c r="J1037" i="10"/>
  <c r="J1038" i="10"/>
  <c r="J1039" i="10"/>
  <c r="J1040" i="10"/>
  <c r="J1041" i="10"/>
  <c r="J1042" i="10"/>
  <c r="J1043" i="10"/>
  <c r="J1044" i="10"/>
  <c r="J1045" i="10"/>
  <c r="J1046" i="10"/>
  <c r="J1047" i="10"/>
  <c r="J1048" i="10"/>
  <c r="J1049" i="10"/>
  <c r="J1050" i="10"/>
  <c r="J1051" i="10"/>
  <c r="J1052" i="10"/>
  <c r="J1053" i="10"/>
  <c r="J1054" i="10"/>
  <c r="J1055" i="10"/>
  <c r="J1056" i="10"/>
  <c r="J1057" i="10"/>
  <c r="J1058" i="10"/>
  <c r="J1059" i="10"/>
  <c r="J1060" i="10"/>
  <c r="J1061" i="10"/>
  <c r="J1062" i="10"/>
  <c r="J1063" i="10"/>
  <c r="J1064" i="10"/>
  <c r="J1065" i="10"/>
  <c r="J1066" i="10"/>
  <c r="J1067" i="10"/>
  <c r="J1068" i="10"/>
  <c r="J1069" i="10"/>
  <c r="J1070" i="10"/>
  <c r="J1071" i="10"/>
  <c r="J1072" i="10"/>
  <c r="J1073" i="10"/>
  <c r="J1074" i="10"/>
  <c r="J1075" i="10"/>
  <c r="J1076" i="10"/>
  <c r="J1077" i="10"/>
  <c r="J1078" i="10"/>
  <c r="J1079" i="10"/>
  <c r="J1080" i="10"/>
  <c r="J1081" i="10"/>
  <c r="J1082" i="10"/>
  <c r="J1083" i="10"/>
  <c r="J1084" i="10"/>
  <c r="J1085" i="10"/>
  <c r="J1086" i="10"/>
  <c r="J1087" i="10"/>
  <c r="J1088" i="10"/>
  <c r="J1089" i="10"/>
  <c r="J1090" i="10"/>
  <c r="J1091" i="10"/>
  <c r="J1092" i="10"/>
  <c r="J1093" i="10"/>
  <c r="J1094" i="10"/>
  <c r="J1095" i="10"/>
  <c r="J1096" i="10"/>
  <c r="J1097" i="10"/>
  <c r="J1098" i="10"/>
  <c r="J1099" i="10"/>
  <c r="J1100" i="10"/>
  <c r="J1101" i="10"/>
  <c r="J1102" i="10"/>
  <c r="J1103" i="10"/>
  <c r="J1104" i="10"/>
  <c r="J1105" i="10"/>
  <c r="J1106" i="10"/>
  <c r="J1107" i="10"/>
  <c r="J1108" i="10"/>
  <c r="J1109" i="10"/>
  <c r="J1110" i="10"/>
  <c r="J1111" i="10"/>
  <c r="J1112" i="10"/>
  <c r="J1113" i="10"/>
  <c r="J1114" i="10"/>
  <c r="J1115" i="10"/>
  <c r="J1116" i="10"/>
  <c r="J1117" i="10"/>
  <c r="J1118" i="10"/>
  <c r="J1119" i="10"/>
  <c r="J1120" i="10"/>
  <c r="J1121" i="10"/>
  <c r="J1122" i="10"/>
  <c r="J1123" i="10"/>
  <c r="J1124" i="10"/>
  <c r="J1125" i="10"/>
  <c r="J1126" i="10"/>
  <c r="J1127" i="10"/>
  <c r="J1128" i="10"/>
  <c r="J1129" i="10"/>
  <c r="J1130" i="10"/>
  <c r="J1131" i="10"/>
  <c r="J1132" i="10"/>
  <c r="J1133" i="10"/>
  <c r="J1134" i="10"/>
  <c r="J1135" i="10"/>
  <c r="J1136" i="10"/>
  <c r="J1137" i="10"/>
  <c r="J1138" i="10"/>
  <c r="J1139" i="10"/>
  <c r="J1140" i="10"/>
  <c r="J1141" i="10"/>
  <c r="J1142" i="10"/>
  <c r="J1143" i="10"/>
  <c r="J1144" i="10"/>
  <c r="J1145" i="10"/>
  <c r="J1146" i="10"/>
  <c r="J1147" i="10"/>
  <c r="J1148" i="10"/>
  <c r="J1149" i="10"/>
  <c r="J1150" i="10"/>
  <c r="J1151" i="10"/>
  <c r="J1152" i="10"/>
  <c r="J1153" i="10"/>
  <c r="J1154" i="10"/>
  <c r="J1155" i="10"/>
  <c r="J1156" i="10"/>
  <c r="J1157" i="10"/>
  <c r="J1158" i="10"/>
  <c r="J1159" i="10"/>
  <c r="J1160" i="10"/>
  <c r="J1161" i="10"/>
  <c r="J1162" i="10"/>
  <c r="J1163" i="10"/>
  <c r="J1164" i="10"/>
  <c r="J1165" i="10"/>
  <c r="J1166" i="10"/>
  <c r="J1167" i="10"/>
  <c r="J1168" i="10"/>
  <c r="J1169" i="10"/>
  <c r="J1170" i="10"/>
  <c r="J1171" i="10"/>
  <c r="J1172" i="10"/>
  <c r="J1173" i="10"/>
  <c r="J1174" i="10"/>
  <c r="J1175" i="10"/>
  <c r="J1176" i="10"/>
  <c r="J1177" i="10"/>
  <c r="J1178" i="10"/>
  <c r="J1179" i="10"/>
  <c r="J1180" i="10"/>
  <c r="J1181" i="10"/>
  <c r="J1182" i="10"/>
  <c r="J1183" i="10"/>
  <c r="J1184" i="10"/>
  <c r="J1185" i="10"/>
  <c r="J1186" i="10"/>
  <c r="J1187" i="10"/>
  <c r="J1188" i="10"/>
  <c r="J1189" i="10"/>
  <c r="J1190" i="10"/>
  <c r="J1191" i="10"/>
  <c r="J1192" i="10"/>
  <c r="J1193" i="10"/>
  <c r="J1194" i="10"/>
  <c r="J1195" i="10"/>
  <c r="J1196" i="10"/>
  <c r="J1197" i="10"/>
  <c r="J1198" i="10"/>
  <c r="J1199" i="10"/>
  <c r="J1200" i="10"/>
  <c r="J1201" i="10"/>
  <c r="J1202" i="10"/>
  <c r="J1203" i="10"/>
  <c r="J1204" i="10"/>
  <c r="J1205" i="10"/>
  <c r="J1206" i="10"/>
  <c r="J1207" i="10"/>
  <c r="J1208" i="10"/>
  <c r="J1209" i="10"/>
  <c r="J1210" i="10"/>
  <c r="J1211" i="10"/>
  <c r="J1212" i="10"/>
  <c r="J1213" i="10"/>
  <c r="J1214" i="10"/>
  <c r="J1215" i="10"/>
  <c r="J1216" i="10"/>
  <c r="J1217" i="10"/>
  <c r="J1218" i="10"/>
  <c r="J1219" i="10"/>
  <c r="J1220" i="10"/>
  <c r="J1221" i="10"/>
  <c r="J1222" i="10"/>
  <c r="J1223" i="10"/>
  <c r="J1224" i="10"/>
  <c r="J1225" i="10"/>
  <c r="J1226" i="10"/>
  <c r="J1227" i="10"/>
  <c r="J1228" i="10"/>
  <c r="J1229" i="10"/>
  <c r="J1230" i="10"/>
  <c r="J1231" i="10"/>
  <c r="J1232" i="10"/>
  <c r="J1233" i="10"/>
  <c r="J1234" i="10"/>
  <c r="J1235" i="10"/>
  <c r="J1236" i="10"/>
  <c r="J1237" i="10"/>
  <c r="J1238" i="10"/>
  <c r="J1239" i="10"/>
  <c r="J1240" i="10"/>
  <c r="J1241" i="10"/>
  <c r="J1242" i="10"/>
  <c r="J1243" i="10"/>
  <c r="J1244" i="10"/>
  <c r="J1245" i="10"/>
  <c r="J1246" i="10"/>
  <c r="J1247" i="10"/>
  <c r="J1248" i="10"/>
  <c r="J1249" i="10"/>
  <c r="J1250" i="10"/>
  <c r="J1251" i="10"/>
  <c r="J1252" i="10"/>
  <c r="J1253" i="10"/>
  <c r="J1254" i="10"/>
  <c r="J1255" i="10"/>
  <c r="J1256" i="10"/>
  <c r="J1257" i="10"/>
  <c r="J1258" i="10"/>
  <c r="J1259" i="10"/>
  <c r="J1260" i="10"/>
  <c r="J1261" i="10"/>
  <c r="J1262" i="10"/>
  <c r="J1263" i="10"/>
  <c r="J1264" i="10"/>
  <c r="J1265" i="10"/>
  <c r="J1266" i="10"/>
  <c r="J1267" i="10"/>
  <c r="J1268" i="10"/>
  <c r="J1269" i="10"/>
  <c r="J1270" i="10"/>
  <c r="J1271" i="10"/>
  <c r="J1272" i="10"/>
  <c r="J1273" i="10"/>
  <c r="J1274" i="10"/>
  <c r="J1275" i="10"/>
  <c r="J1276" i="10"/>
  <c r="J1277" i="10"/>
  <c r="J1278" i="10"/>
  <c r="J1279" i="10"/>
  <c r="J1280" i="10"/>
  <c r="J1281" i="10"/>
  <c r="J1282" i="10"/>
  <c r="J1283" i="10"/>
  <c r="J1284" i="10"/>
  <c r="J1285" i="10"/>
  <c r="J1286" i="10"/>
  <c r="J1287" i="10"/>
  <c r="J1288" i="10"/>
  <c r="J1289" i="10"/>
  <c r="J1290" i="10"/>
  <c r="J1291" i="10"/>
  <c r="J1292" i="10"/>
  <c r="J1293" i="10"/>
  <c r="J1294" i="10"/>
  <c r="J1295" i="10"/>
  <c r="J1296" i="10"/>
  <c r="J1297" i="10"/>
  <c r="J1298" i="10"/>
  <c r="J1299" i="10"/>
  <c r="J1300" i="10"/>
  <c r="J1301" i="10"/>
  <c r="J1302" i="10"/>
  <c r="J1303" i="10"/>
  <c r="J1304" i="10"/>
  <c r="J1305" i="10"/>
  <c r="J1306" i="10"/>
  <c r="J1307" i="10"/>
  <c r="J1308" i="10"/>
  <c r="J1309" i="10"/>
  <c r="J1310" i="10"/>
  <c r="J1311" i="10"/>
  <c r="J1312" i="10"/>
  <c r="J1313" i="10"/>
  <c r="J1314" i="10"/>
  <c r="J1315" i="10"/>
  <c r="J1316" i="10"/>
  <c r="J1317" i="10"/>
  <c r="J1318" i="10"/>
  <c r="J1319" i="10"/>
  <c r="J1320" i="10"/>
  <c r="J1321" i="10"/>
  <c r="J1322" i="10"/>
  <c r="J1323" i="10"/>
  <c r="J1324" i="10"/>
  <c r="J1325" i="10"/>
  <c r="J1326" i="10"/>
  <c r="J1327" i="10"/>
  <c r="J1328" i="10"/>
  <c r="J1329" i="10"/>
  <c r="J1330" i="10"/>
  <c r="J1331" i="10"/>
  <c r="J1332" i="10"/>
  <c r="J1333" i="10"/>
  <c r="J1334" i="10"/>
  <c r="J1335" i="10"/>
  <c r="J1336" i="10"/>
  <c r="J1337" i="10"/>
  <c r="J1338" i="10"/>
  <c r="J1339" i="10"/>
  <c r="J1340" i="10"/>
  <c r="J1341" i="10"/>
  <c r="J1342" i="10"/>
  <c r="J1343" i="10"/>
  <c r="J1344" i="10"/>
  <c r="J1345" i="10"/>
  <c r="J1346" i="10"/>
  <c r="J1347" i="10"/>
  <c r="J1348" i="10"/>
  <c r="J1349" i="10"/>
  <c r="J1350" i="10"/>
  <c r="J1351" i="10"/>
  <c r="J1352" i="10"/>
  <c r="J1353" i="10"/>
  <c r="J1354" i="10"/>
  <c r="J1355" i="10"/>
  <c r="J1356" i="10"/>
  <c r="J201" i="10"/>
  <c r="I53" i="10"/>
  <c r="I54" i="10"/>
  <c r="I55" i="10"/>
  <c r="I56" i="10"/>
  <c r="I57" i="10"/>
  <c r="I58" i="10"/>
  <c r="I59" i="10"/>
  <c r="I60" i="10"/>
  <c r="I61" i="10"/>
  <c r="I62" i="10"/>
  <c r="I63" i="10"/>
  <c r="I64" i="10"/>
  <c r="I65" i="10"/>
  <c r="I66" i="10"/>
  <c r="I67" i="10"/>
  <c r="I68" i="10"/>
  <c r="I69" i="10"/>
  <c r="I70" i="10"/>
  <c r="I71" i="10"/>
  <c r="I72" i="10"/>
  <c r="I73" i="10"/>
  <c r="I74" i="10"/>
  <c r="I75" i="10"/>
  <c r="I76" i="10"/>
  <c r="I77" i="10"/>
  <c r="I78" i="10"/>
  <c r="I79" i="10"/>
  <c r="I80" i="10"/>
  <c r="I81" i="10"/>
  <c r="I82" i="10"/>
  <c r="I83" i="10"/>
  <c r="I84" i="10"/>
  <c r="I85" i="10"/>
  <c r="I86" i="10"/>
  <c r="I87" i="10"/>
  <c r="I88" i="10"/>
  <c r="I89" i="10"/>
  <c r="I90" i="10"/>
  <c r="I91" i="10"/>
  <c r="I92" i="10"/>
  <c r="I93" i="10"/>
  <c r="I94" i="10"/>
  <c r="I95" i="10"/>
  <c r="I96" i="10"/>
  <c r="I97" i="10"/>
  <c r="I98" i="10"/>
  <c r="I99" i="10"/>
  <c r="I100" i="10"/>
  <c r="I101" i="10"/>
  <c r="I102" i="10"/>
  <c r="I103" i="10"/>
  <c r="I104" i="10"/>
  <c r="I105" i="10"/>
  <c r="I106" i="10"/>
  <c r="I107" i="10"/>
  <c r="I108" i="10"/>
  <c r="I109" i="10"/>
  <c r="I110" i="10"/>
  <c r="I111" i="10"/>
  <c r="I112" i="10"/>
  <c r="I113" i="10"/>
  <c r="I114" i="10"/>
  <c r="I115" i="10"/>
  <c r="I116" i="10"/>
  <c r="I117" i="10"/>
  <c r="I118" i="10"/>
  <c r="I119" i="10"/>
  <c r="I120" i="10"/>
  <c r="I121" i="10"/>
  <c r="I122" i="10"/>
  <c r="I123" i="10"/>
  <c r="I124" i="10"/>
  <c r="I125" i="10"/>
  <c r="I126" i="10"/>
  <c r="I127" i="10"/>
  <c r="I128" i="10"/>
  <c r="I129" i="10"/>
  <c r="I130" i="10"/>
  <c r="I131" i="10"/>
  <c r="I132" i="10"/>
  <c r="I133" i="10"/>
  <c r="I134" i="10"/>
  <c r="I135" i="10"/>
  <c r="I136" i="10"/>
  <c r="I137" i="10"/>
  <c r="I138" i="10"/>
  <c r="I139" i="10"/>
  <c r="I140" i="10"/>
  <c r="I141" i="10"/>
  <c r="I142" i="10"/>
  <c r="I143" i="10"/>
  <c r="I144" i="10"/>
  <c r="I145" i="10"/>
  <c r="I146" i="10"/>
  <c r="I147" i="10"/>
  <c r="I148" i="10"/>
  <c r="I149" i="10"/>
  <c r="I150" i="10"/>
  <c r="I151" i="10"/>
  <c r="I152" i="10"/>
  <c r="I153" i="10"/>
  <c r="I154" i="10"/>
  <c r="I155" i="10"/>
  <c r="I156" i="10"/>
  <c r="I157" i="10"/>
  <c r="I158" i="10"/>
  <c r="I159" i="10"/>
  <c r="I160" i="10"/>
  <c r="I161" i="10"/>
  <c r="I162" i="10"/>
  <c r="I163" i="10"/>
  <c r="I164" i="10"/>
  <c r="I165" i="10"/>
  <c r="I166" i="10"/>
  <c r="I167" i="10"/>
  <c r="I168" i="10"/>
  <c r="I169" i="10"/>
  <c r="I170" i="10"/>
  <c r="I171" i="10"/>
  <c r="I172" i="10"/>
  <c r="I173" i="10"/>
  <c r="I174" i="10"/>
  <c r="I175" i="10"/>
  <c r="I176" i="10"/>
  <c r="I177" i="10"/>
  <c r="I178" i="10"/>
  <c r="I179" i="10"/>
  <c r="I180" i="10"/>
  <c r="I181" i="10"/>
  <c r="I182" i="10"/>
  <c r="I183" i="10"/>
  <c r="I184" i="10"/>
  <c r="I185" i="10"/>
  <c r="I186" i="10"/>
  <c r="I187" i="10"/>
  <c r="I188" i="10"/>
  <c r="I189" i="10"/>
  <c r="I190" i="10"/>
  <c r="I191" i="10"/>
  <c r="I192" i="10"/>
  <c r="I193" i="10"/>
  <c r="I194" i="10"/>
  <c r="I195" i="10"/>
  <c r="I196" i="10"/>
  <c r="I197" i="10"/>
  <c r="I198" i="10"/>
  <c r="I199" i="10"/>
  <c r="I200" i="10"/>
  <c r="I201" i="10"/>
  <c r="I202" i="10"/>
  <c r="I203" i="10"/>
  <c r="I204" i="10"/>
  <c r="I205" i="10"/>
  <c r="I206" i="10"/>
  <c r="I207" i="10"/>
  <c r="I208" i="10"/>
  <c r="I209" i="10"/>
  <c r="I210" i="10"/>
  <c r="I211" i="10"/>
  <c r="I212" i="10"/>
  <c r="I213" i="10"/>
  <c r="I214" i="10"/>
  <c r="I215" i="10"/>
  <c r="I216" i="10"/>
  <c r="I217" i="10"/>
  <c r="I218" i="10"/>
  <c r="I219" i="10"/>
  <c r="I220" i="10"/>
  <c r="I221" i="10"/>
  <c r="I222" i="10"/>
  <c r="I223" i="10"/>
  <c r="I224" i="10"/>
  <c r="I225" i="10"/>
  <c r="I226" i="10"/>
  <c r="I227" i="10"/>
  <c r="I228" i="10"/>
  <c r="I229" i="10"/>
  <c r="I230" i="10"/>
  <c r="I231" i="10"/>
  <c r="I232" i="10"/>
  <c r="I233" i="10"/>
  <c r="I234" i="10"/>
  <c r="I235" i="10"/>
  <c r="I236" i="10"/>
  <c r="I237" i="10"/>
  <c r="I238" i="10"/>
  <c r="I239" i="10"/>
  <c r="I240" i="10"/>
  <c r="I241" i="10"/>
  <c r="I242" i="10"/>
  <c r="I243" i="10"/>
  <c r="I244" i="10"/>
  <c r="I245" i="10"/>
  <c r="I246" i="10"/>
  <c r="I247" i="10"/>
  <c r="I248" i="10"/>
  <c r="I249" i="10"/>
  <c r="I250" i="10"/>
  <c r="I251" i="10"/>
  <c r="I252" i="10"/>
  <c r="I253" i="10"/>
  <c r="I254" i="10"/>
  <c r="I255" i="10"/>
  <c r="I256" i="10"/>
  <c r="I257" i="10"/>
  <c r="I258" i="10"/>
  <c r="I259" i="10"/>
  <c r="I260" i="10"/>
  <c r="I261" i="10"/>
  <c r="I262" i="10"/>
  <c r="I263" i="10"/>
  <c r="I264" i="10"/>
  <c r="I265" i="10"/>
  <c r="I266" i="10"/>
  <c r="I267" i="10"/>
  <c r="I268" i="10"/>
  <c r="I269" i="10"/>
  <c r="I270" i="10"/>
  <c r="I271" i="10"/>
  <c r="I272" i="10"/>
  <c r="I273" i="10"/>
  <c r="I274" i="10"/>
  <c r="I275" i="10"/>
  <c r="I276" i="10"/>
  <c r="I277" i="10"/>
  <c r="I278" i="10"/>
  <c r="I279" i="10"/>
  <c r="I280" i="10"/>
  <c r="I281" i="10"/>
  <c r="I282" i="10"/>
  <c r="I283" i="10"/>
  <c r="I284" i="10"/>
  <c r="I285" i="10"/>
  <c r="I286" i="10"/>
  <c r="I287" i="10"/>
  <c r="I288" i="10"/>
  <c r="I289" i="10"/>
  <c r="I290" i="10"/>
  <c r="I291" i="10"/>
  <c r="I292" i="10"/>
  <c r="I293" i="10"/>
  <c r="I294" i="10"/>
  <c r="I295" i="10"/>
  <c r="I296" i="10"/>
  <c r="I297" i="10"/>
  <c r="I298" i="10"/>
  <c r="I299" i="10"/>
  <c r="I300" i="10"/>
  <c r="I301" i="10"/>
  <c r="I302" i="10"/>
  <c r="I303" i="10"/>
  <c r="I304" i="10"/>
  <c r="I305" i="10"/>
  <c r="I306" i="10"/>
  <c r="I307" i="10"/>
  <c r="I308" i="10"/>
  <c r="I309" i="10"/>
  <c r="I310" i="10"/>
  <c r="I311" i="10"/>
  <c r="I312" i="10"/>
  <c r="I313" i="10"/>
  <c r="I314" i="10"/>
  <c r="I315" i="10"/>
  <c r="I316" i="10"/>
  <c r="I317" i="10"/>
  <c r="I318" i="10"/>
  <c r="I319" i="10"/>
  <c r="I320" i="10"/>
  <c r="I321" i="10"/>
  <c r="I322" i="10"/>
  <c r="I323" i="10"/>
  <c r="I324" i="10"/>
  <c r="I325" i="10"/>
  <c r="I326" i="10"/>
  <c r="I327" i="10"/>
  <c r="I328" i="10"/>
  <c r="I329" i="10"/>
  <c r="I330" i="10"/>
  <c r="I331" i="10"/>
  <c r="I332" i="10"/>
  <c r="I333" i="10"/>
  <c r="I334" i="10"/>
  <c r="I335" i="10"/>
  <c r="I336" i="10"/>
  <c r="I337" i="10"/>
  <c r="I338" i="10"/>
  <c r="I339" i="10"/>
  <c r="I340" i="10"/>
  <c r="I341" i="10"/>
  <c r="I342" i="10"/>
  <c r="I343" i="10"/>
  <c r="I344" i="10"/>
  <c r="I345" i="10"/>
  <c r="I346" i="10"/>
  <c r="I347" i="10"/>
  <c r="I348" i="10"/>
  <c r="I349" i="10"/>
  <c r="I350" i="10"/>
  <c r="I351" i="10"/>
  <c r="I352" i="10"/>
  <c r="I353" i="10"/>
  <c r="I354" i="10"/>
  <c r="I355" i="10"/>
  <c r="I356" i="10"/>
  <c r="I357" i="10"/>
  <c r="I358" i="10"/>
  <c r="I359" i="10"/>
  <c r="I360" i="10"/>
  <c r="I361" i="10"/>
  <c r="I362" i="10"/>
  <c r="I363" i="10"/>
  <c r="I364" i="10"/>
  <c r="I365" i="10"/>
  <c r="I366" i="10"/>
  <c r="I367" i="10"/>
  <c r="I368" i="10"/>
  <c r="I369" i="10"/>
  <c r="I370" i="10"/>
  <c r="I371" i="10"/>
  <c r="I372" i="10"/>
  <c r="I373" i="10"/>
  <c r="I374" i="10"/>
  <c r="I375" i="10"/>
  <c r="I376" i="10"/>
  <c r="I377" i="10"/>
  <c r="I378" i="10"/>
  <c r="I379" i="10"/>
  <c r="I380" i="10"/>
  <c r="I381" i="10"/>
  <c r="I382" i="10"/>
  <c r="I383" i="10"/>
  <c r="I384" i="10"/>
  <c r="I385" i="10"/>
  <c r="I386" i="10"/>
  <c r="I387" i="10"/>
  <c r="I388" i="10"/>
  <c r="I389" i="10"/>
  <c r="I390" i="10"/>
  <c r="I391" i="10"/>
  <c r="I392" i="10"/>
  <c r="I393" i="10"/>
  <c r="I394" i="10"/>
  <c r="I395" i="10"/>
  <c r="I396" i="10"/>
  <c r="I397" i="10"/>
  <c r="I398" i="10"/>
  <c r="I399" i="10"/>
  <c r="I400" i="10"/>
  <c r="I401" i="10"/>
  <c r="I402" i="10"/>
  <c r="I403" i="10"/>
  <c r="I404" i="10"/>
  <c r="I405" i="10"/>
  <c r="I406" i="10"/>
  <c r="I407" i="10"/>
  <c r="I408" i="10"/>
  <c r="I409" i="10"/>
  <c r="I410" i="10"/>
  <c r="I411" i="10"/>
  <c r="I412" i="10"/>
  <c r="I413" i="10"/>
  <c r="I414" i="10"/>
  <c r="I415" i="10"/>
  <c r="I416" i="10"/>
  <c r="I417" i="10"/>
  <c r="I418" i="10"/>
  <c r="I419" i="10"/>
  <c r="I420" i="10"/>
  <c r="I421" i="10"/>
  <c r="I422" i="10"/>
  <c r="I423" i="10"/>
  <c r="I424" i="10"/>
  <c r="I425" i="10"/>
  <c r="I426" i="10"/>
  <c r="I427" i="10"/>
  <c r="I428" i="10"/>
  <c r="I429" i="10"/>
  <c r="I430" i="10"/>
  <c r="I431" i="10"/>
  <c r="I432" i="10"/>
  <c r="I433" i="10"/>
  <c r="I434" i="10"/>
  <c r="I435" i="10"/>
  <c r="I436" i="10"/>
  <c r="I437" i="10"/>
  <c r="I438" i="10"/>
  <c r="I439" i="10"/>
  <c r="I440" i="10"/>
  <c r="I441" i="10"/>
  <c r="I442" i="10"/>
  <c r="I443" i="10"/>
  <c r="I444" i="10"/>
  <c r="I445" i="10"/>
  <c r="I446" i="10"/>
  <c r="I447" i="10"/>
  <c r="I448" i="10"/>
  <c r="I449" i="10"/>
  <c r="I450" i="10"/>
  <c r="I451" i="10"/>
  <c r="I452" i="10"/>
  <c r="I453" i="10"/>
  <c r="I454" i="10"/>
  <c r="I455" i="10"/>
  <c r="I456" i="10"/>
  <c r="I457" i="10"/>
  <c r="I458" i="10"/>
  <c r="I459" i="10"/>
  <c r="I460" i="10"/>
  <c r="I461" i="10"/>
  <c r="I462" i="10"/>
  <c r="I463" i="10"/>
  <c r="I464" i="10"/>
  <c r="I465" i="10"/>
  <c r="I466" i="10"/>
  <c r="I467" i="10"/>
  <c r="I468" i="10"/>
  <c r="I469" i="10"/>
  <c r="I470" i="10"/>
  <c r="I471" i="10"/>
  <c r="I472" i="10"/>
  <c r="I473" i="10"/>
  <c r="I474" i="10"/>
  <c r="I475" i="10"/>
  <c r="I476" i="10"/>
  <c r="I477" i="10"/>
  <c r="I478" i="10"/>
  <c r="I479" i="10"/>
  <c r="I480" i="10"/>
  <c r="I481" i="10"/>
  <c r="I482" i="10"/>
  <c r="I483" i="10"/>
  <c r="I484" i="10"/>
  <c r="I485" i="10"/>
  <c r="I486" i="10"/>
  <c r="I487" i="10"/>
  <c r="I488" i="10"/>
  <c r="I489" i="10"/>
  <c r="I490" i="10"/>
  <c r="I491" i="10"/>
  <c r="I492" i="10"/>
  <c r="I493" i="10"/>
  <c r="I494" i="10"/>
  <c r="I495" i="10"/>
  <c r="I496" i="10"/>
  <c r="I497" i="10"/>
  <c r="I498" i="10"/>
  <c r="I499" i="10"/>
  <c r="I500" i="10"/>
  <c r="I501" i="10"/>
  <c r="I502" i="10"/>
  <c r="I503" i="10"/>
  <c r="I504" i="10"/>
  <c r="I505" i="10"/>
  <c r="I506" i="10"/>
  <c r="I507" i="10"/>
  <c r="I508" i="10"/>
  <c r="I509" i="10"/>
  <c r="I510" i="10"/>
  <c r="I511" i="10"/>
  <c r="I512" i="10"/>
  <c r="I513" i="10"/>
  <c r="I514" i="10"/>
  <c r="I515" i="10"/>
  <c r="I516" i="10"/>
  <c r="I517" i="10"/>
  <c r="I518" i="10"/>
  <c r="I519" i="10"/>
  <c r="I520" i="10"/>
  <c r="I521" i="10"/>
  <c r="I522" i="10"/>
  <c r="I523" i="10"/>
  <c r="I524" i="10"/>
  <c r="I525" i="10"/>
  <c r="I526" i="10"/>
  <c r="I527" i="10"/>
  <c r="I528" i="10"/>
  <c r="I529" i="10"/>
  <c r="I530" i="10"/>
  <c r="I531" i="10"/>
  <c r="I532" i="10"/>
  <c r="I533" i="10"/>
  <c r="I534" i="10"/>
  <c r="I535" i="10"/>
  <c r="I536" i="10"/>
  <c r="I537" i="10"/>
  <c r="I538" i="10"/>
  <c r="I539" i="10"/>
  <c r="I540" i="10"/>
  <c r="I541" i="10"/>
  <c r="I542" i="10"/>
  <c r="I543" i="10"/>
  <c r="I544" i="10"/>
  <c r="I545" i="10"/>
  <c r="I546" i="10"/>
  <c r="I547" i="10"/>
  <c r="I548" i="10"/>
  <c r="I549" i="10"/>
  <c r="I550" i="10"/>
  <c r="I551" i="10"/>
  <c r="I552" i="10"/>
  <c r="I553" i="10"/>
  <c r="I554" i="10"/>
  <c r="I555" i="10"/>
  <c r="I556" i="10"/>
  <c r="I557" i="10"/>
  <c r="I558" i="10"/>
  <c r="I559" i="10"/>
  <c r="I560" i="10"/>
  <c r="I561" i="10"/>
  <c r="I562" i="10"/>
  <c r="I563" i="10"/>
  <c r="I564" i="10"/>
  <c r="I565" i="10"/>
  <c r="I566" i="10"/>
  <c r="I567" i="10"/>
  <c r="I568" i="10"/>
  <c r="I569" i="10"/>
  <c r="I570" i="10"/>
  <c r="I571" i="10"/>
  <c r="I572" i="10"/>
  <c r="I573" i="10"/>
  <c r="I574" i="10"/>
  <c r="I575" i="10"/>
  <c r="I576" i="10"/>
  <c r="I577" i="10"/>
  <c r="I578" i="10"/>
  <c r="I579" i="10"/>
  <c r="I580" i="10"/>
  <c r="I581" i="10"/>
  <c r="I582" i="10"/>
  <c r="I583" i="10"/>
  <c r="I584" i="10"/>
  <c r="I585" i="10"/>
  <c r="I586" i="10"/>
  <c r="I587" i="10"/>
  <c r="I588" i="10"/>
  <c r="I589" i="10"/>
  <c r="I590" i="10"/>
  <c r="I591" i="10"/>
  <c r="I592" i="10"/>
  <c r="I593" i="10"/>
  <c r="I594" i="10"/>
  <c r="I595" i="10"/>
  <c r="I596" i="10"/>
  <c r="I597" i="10"/>
  <c r="I598" i="10"/>
  <c r="I599" i="10"/>
  <c r="I600" i="10"/>
  <c r="I601" i="10"/>
  <c r="I602" i="10"/>
  <c r="I603" i="10"/>
  <c r="I604" i="10"/>
  <c r="I605" i="10"/>
  <c r="I606" i="10"/>
  <c r="I607" i="10"/>
  <c r="I608" i="10"/>
  <c r="I609" i="10"/>
  <c r="I610" i="10"/>
  <c r="I611" i="10"/>
  <c r="I612" i="10"/>
  <c r="I613" i="10"/>
  <c r="I614" i="10"/>
  <c r="I615" i="10"/>
  <c r="I616" i="10"/>
  <c r="I617" i="10"/>
  <c r="I618" i="10"/>
  <c r="I619" i="10"/>
  <c r="I620" i="10"/>
  <c r="I621" i="10"/>
  <c r="I622" i="10"/>
  <c r="I623" i="10"/>
  <c r="I624" i="10"/>
  <c r="I625" i="10"/>
  <c r="I626" i="10"/>
  <c r="I627" i="10"/>
  <c r="I628" i="10"/>
  <c r="I629" i="10"/>
  <c r="I630" i="10"/>
  <c r="I631" i="10"/>
  <c r="I632" i="10"/>
  <c r="I633" i="10"/>
  <c r="I634" i="10"/>
  <c r="I635" i="10"/>
  <c r="I636" i="10"/>
  <c r="I637" i="10"/>
  <c r="I638" i="10"/>
  <c r="I639" i="10"/>
  <c r="I640" i="10"/>
  <c r="I641" i="10"/>
  <c r="I642" i="10"/>
  <c r="I643" i="10"/>
  <c r="I644" i="10"/>
  <c r="I645" i="10"/>
  <c r="I646" i="10"/>
  <c r="I647" i="10"/>
  <c r="I648" i="10"/>
  <c r="I649" i="10"/>
  <c r="I650" i="10"/>
  <c r="I651" i="10"/>
  <c r="I652" i="10"/>
  <c r="I653" i="10"/>
  <c r="I654" i="10"/>
  <c r="I655" i="10"/>
  <c r="I656" i="10"/>
  <c r="I657" i="10"/>
  <c r="I658" i="10"/>
  <c r="I659" i="10"/>
  <c r="I660" i="10"/>
  <c r="I661" i="10"/>
  <c r="I662" i="10"/>
  <c r="I663" i="10"/>
  <c r="I664" i="10"/>
  <c r="I665" i="10"/>
  <c r="I666" i="10"/>
  <c r="I667" i="10"/>
  <c r="I668" i="10"/>
  <c r="I669" i="10"/>
  <c r="I670" i="10"/>
  <c r="I671" i="10"/>
  <c r="I672" i="10"/>
  <c r="I673" i="10"/>
  <c r="I674" i="10"/>
  <c r="I675" i="10"/>
  <c r="I676" i="10"/>
  <c r="I677" i="10"/>
  <c r="I678" i="10"/>
  <c r="I679" i="10"/>
  <c r="I680" i="10"/>
  <c r="I681" i="10"/>
  <c r="I682" i="10"/>
  <c r="I683" i="10"/>
  <c r="I684" i="10"/>
  <c r="I685" i="10"/>
  <c r="I686" i="10"/>
  <c r="I687" i="10"/>
  <c r="I688" i="10"/>
  <c r="I689" i="10"/>
  <c r="I690" i="10"/>
  <c r="I691" i="10"/>
  <c r="I692" i="10"/>
  <c r="I693" i="10"/>
  <c r="I694" i="10"/>
  <c r="I695" i="10"/>
  <c r="I696" i="10"/>
  <c r="I697" i="10"/>
  <c r="I698" i="10"/>
  <c r="I699" i="10"/>
  <c r="I700" i="10"/>
  <c r="I701" i="10"/>
  <c r="I702" i="10"/>
  <c r="I703" i="10"/>
  <c r="I704" i="10"/>
  <c r="I705" i="10"/>
  <c r="I706" i="10"/>
  <c r="I707" i="10"/>
  <c r="I708" i="10"/>
  <c r="I709" i="10"/>
  <c r="I710" i="10"/>
  <c r="I711" i="10"/>
  <c r="I712" i="10"/>
  <c r="I713" i="10"/>
  <c r="I714" i="10"/>
  <c r="I715" i="10"/>
  <c r="I716" i="10"/>
  <c r="I717" i="10"/>
  <c r="I718" i="10"/>
  <c r="I719" i="10"/>
  <c r="I720" i="10"/>
  <c r="I721" i="10"/>
  <c r="I722" i="10"/>
  <c r="I723" i="10"/>
  <c r="I724" i="10"/>
  <c r="I725" i="10"/>
  <c r="I726" i="10"/>
  <c r="I727" i="10"/>
  <c r="I728" i="10"/>
  <c r="I729" i="10"/>
  <c r="I730" i="10"/>
  <c r="I731" i="10"/>
  <c r="I732" i="10"/>
  <c r="I733" i="10"/>
  <c r="I734" i="10"/>
  <c r="I735" i="10"/>
  <c r="I736" i="10"/>
  <c r="I737" i="10"/>
  <c r="I738" i="10"/>
  <c r="I739" i="10"/>
  <c r="I740" i="10"/>
  <c r="I741" i="10"/>
  <c r="I742" i="10"/>
  <c r="I743" i="10"/>
  <c r="I744" i="10"/>
  <c r="I745" i="10"/>
  <c r="I746" i="10"/>
  <c r="I747" i="10"/>
  <c r="I748" i="10"/>
  <c r="I749" i="10"/>
  <c r="I750" i="10"/>
  <c r="I751" i="10"/>
  <c r="I752" i="10"/>
  <c r="I753" i="10"/>
  <c r="I754" i="10"/>
  <c r="I755" i="10"/>
  <c r="I756" i="10"/>
  <c r="I757" i="10"/>
  <c r="I758" i="10"/>
  <c r="I759" i="10"/>
  <c r="I760" i="10"/>
  <c r="I761" i="10"/>
  <c r="I762" i="10"/>
  <c r="I763" i="10"/>
  <c r="I764" i="10"/>
  <c r="I765" i="10"/>
  <c r="I766" i="10"/>
  <c r="I767" i="10"/>
  <c r="I768" i="10"/>
  <c r="I769" i="10"/>
  <c r="I770" i="10"/>
  <c r="I771" i="10"/>
  <c r="I772" i="10"/>
  <c r="I773" i="10"/>
  <c r="I774" i="10"/>
  <c r="I775" i="10"/>
  <c r="I776" i="10"/>
  <c r="I777" i="10"/>
  <c r="I778" i="10"/>
  <c r="I779" i="10"/>
  <c r="I780" i="10"/>
  <c r="I781" i="10"/>
  <c r="I782" i="10"/>
  <c r="I783" i="10"/>
  <c r="I784" i="10"/>
  <c r="I785" i="10"/>
  <c r="I786" i="10"/>
  <c r="I787" i="10"/>
  <c r="I788" i="10"/>
  <c r="I789" i="10"/>
  <c r="I790" i="10"/>
  <c r="I791" i="10"/>
  <c r="I792" i="10"/>
  <c r="I793" i="10"/>
  <c r="I794" i="10"/>
  <c r="I795" i="10"/>
  <c r="I796" i="10"/>
  <c r="I797" i="10"/>
  <c r="I798" i="10"/>
  <c r="I799" i="10"/>
  <c r="I800" i="10"/>
  <c r="I801" i="10"/>
  <c r="I802" i="10"/>
  <c r="I803" i="10"/>
  <c r="I804" i="10"/>
  <c r="I805" i="10"/>
  <c r="I806" i="10"/>
  <c r="I807" i="10"/>
  <c r="I808" i="10"/>
  <c r="I809" i="10"/>
  <c r="I810" i="10"/>
  <c r="I811" i="10"/>
  <c r="I812" i="10"/>
  <c r="I813" i="10"/>
  <c r="I814" i="10"/>
  <c r="I815" i="10"/>
  <c r="I816" i="10"/>
  <c r="I817" i="10"/>
  <c r="I818" i="10"/>
  <c r="I819" i="10"/>
  <c r="I820" i="10"/>
  <c r="I821" i="10"/>
  <c r="I822" i="10"/>
  <c r="I823" i="10"/>
  <c r="I824" i="10"/>
  <c r="I825" i="10"/>
  <c r="I826" i="10"/>
  <c r="I827" i="10"/>
  <c r="I828" i="10"/>
  <c r="I829" i="10"/>
  <c r="I830" i="10"/>
  <c r="I831" i="10"/>
  <c r="I832" i="10"/>
  <c r="I833" i="10"/>
  <c r="I834" i="10"/>
  <c r="I835" i="10"/>
  <c r="I836" i="10"/>
  <c r="I837" i="10"/>
  <c r="I838" i="10"/>
  <c r="I839" i="10"/>
  <c r="I840" i="10"/>
  <c r="I841" i="10"/>
  <c r="I842" i="10"/>
  <c r="I843" i="10"/>
  <c r="I844" i="10"/>
  <c r="I845" i="10"/>
  <c r="I846" i="10"/>
  <c r="I847" i="10"/>
  <c r="I848" i="10"/>
  <c r="I849" i="10"/>
  <c r="I850" i="10"/>
  <c r="I851" i="10"/>
  <c r="I852" i="10"/>
  <c r="I853" i="10"/>
  <c r="I854" i="10"/>
  <c r="I855" i="10"/>
  <c r="I856" i="10"/>
  <c r="I857" i="10"/>
  <c r="I858" i="10"/>
  <c r="I859" i="10"/>
  <c r="I860" i="10"/>
  <c r="I861" i="10"/>
  <c r="I862" i="10"/>
  <c r="I863" i="10"/>
  <c r="I864" i="10"/>
  <c r="I865" i="10"/>
  <c r="I866" i="10"/>
  <c r="I867" i="10"/>
  <c r="I868" i="10"/>
  <c r="I869" i="10"/>
  <c r="I870" i="10"/>
  <c r="I871" i="10"/>
  <c r="I872" i="10"/>
  <c r="I873" i="10"/>
  <c r="I874" i="10"/>
  <c r="I875" i="10"/>
  <c r="I876" i="10"/>
  <c r="I877" i="10"/>
  <c r="I878" i="10"/>
  <c r="I879" i="10"/>
  <c r="I880" i="10"/>
  <c r="I881" i="10"/>
  <c r="I882" i="10"/>
  <c r="I883" i="10"/>
  <c r="I884" i="10"/>
  <c r="I885" i="10"/>
  <c r="I886" i="10"/>
  <c r="I887" i="10"/>
  <c r="I888" i="10"/>
  <c r="I889" i="10"/>
  <c r="I890" i="10"/>
  <c r="I891" i="10"/>
  <c r="I892" i="10"/>
  <c r="I893" i="10"/>
  <c r="I894" i="10"/>
  <c r="I895" i="10"/>
  <c r="I896" i="10"/>
  <c r="I897" i="10"/>
  <c r="I898" i="10"/>
  <c r="I899" i="10"/>
  <c r="I900" i="10"/>
  <c r="I901" i="10"/>
  <c r="I902" i="10"/>
  <c r="I903" i="10"/>
  <c r="I904" i="10"/>
  <c r="I905" i="10"/>
  <c r="I906" i="10"/>
  <c r="I907" i="10"/>
  <c r="I908" i="10"/>
  <c r="I909" i="10"/>
  <c r="I910" i="10"/>
  <c r="I911" i="10"/>
  <c r="I912" i="10"/>
  <c r="I913" i="10"/>
  <c r="I914" i="10"/>
  <c r="I915" i="10"/>
  <c r="I916" i="10"/>
  <c r="I917" i="10"/>
  <c r="I918" i="10"/>
  <c r="I919" i="10"/>
  <c r="I920" i="10"/>
  <c r="I921" i="10"/>
  <c r="I922" i="10"/>
  <c r="I923" i="10"/>
  <c r="I924" i="10"/>
  <c r="I925" i="10"/>
  <c r="I926" i="10"/>
  <c r="I927" i="10"/>
  <c r="I928" i="10"/>
  <c r="I929" i="10"/>
  <c r="I930" i="10"/>
  <c r="I931" i="10"/>
  <c r="I932" i="10"/>
  <c r="I933" i="10"/>
  <c r="I934" i="10"/>
  <c r="I935" i="10"/>
  <c r="I936" i="10"/>
  <c r="I937" i="10"/>
  <c r="I938" i="10"/>
  <c r="I939" i="10"/>
  <c r="I940" i="10"/>
  <c r="I941" i="10"/>
  <c r="I942" i="10"/>
  <c r="I943" i="10"/>
  <c r="I944" i="10"/>
  <c r="I945" i="10"/>
  <c r="I946" i="10"/>
  <c r="I947" i="10"/>
  <c r="I948" i="10"/>
  <c r="I949" i="10"/>
  <c r="I950" i="10"/>
  <c r="I951" i="10"/>
  <c r="I952" i="10"/>
  <c r="I953" i="10"/>
  <c r="I954" i="10"/>
  <c r="I955" i="10"/>
  <c r="I956" i="10"/>
  <c r="I957" i="10"/>
  <c r="I958" i="10"/>
  <c r="I959" i="10"/>
  <c r="I960" i="10"/>
  <c r="I961" i="10"/>
  <c r="I962" i="10"/>
  <c r="I963" i="10"/>
  <c r="I964" i="10"/>
  <c r="I965" i="10"/>
  <c r="I966" i="10"/>
  <c r="I967" i="10"/>
  <c r="I968" i="10"/>
  <c r="I969" i="10"/>
  <c r="I970" i="10"/>
  <c r="I971" i="10"/>
  <c r="I972" i="10"/>
  <c r="I973" i="10"/>
  <c r="I974" i="10"/>
  <c r="I975" i="10"/>
  <c r="I976" i="10"/>
  <c r="I977" i="10"/>
  <c r="I978" i="10"/>
  <c r="I979" i="10"/>
  <c r="I980" i="10"/>
  <c r="I981" i="10"/>
  <c r="I982" i="10"/>
  <c r="I983" i="10"/>
  <c r="I984" i="10"/>
  <c r="I985" i="10"/>
  <c r="I986" i="10"/>
  <c r="I987" i="10"/>
  <c r="I988" i="10"/>
  <c r="I989" i="10"/>
  <c r="I990" i="10"/>
  <c r="I991" i="10"/>
  <c r="I992" i="10"/>
  <c r="I993" i="10"/>
  <c r="I994" i="10"/>
  <c r="I995" i="10"/>
  <c r="I996" i="10"/>
  <c r="I997" i="10"/>
  <c r="I998" i="10"/>
  <c r="I999" i="10"/>
  <c r="I1000" i="10"/>
  <c r="I1001" i="10"/>
  <c r="I1002" i="10"/>
  <c r="I1003" i="10"/>
  <c r="I1004" i="10"/>
  <c r="I1005" i="10"/>
  <c r="I1006" i="10"/>
  <c r="I1007" i="10"/>
  <c r="I1008" i="10"/>
  <c r="I1009" i="10"/>
  <c r="I1010" i="10"/>
  <c r="I1011" i="10"/>
  <c r="I1012" i="10"/>
  <c r="I1013" i="10"/>
  <c r="I1014" i="10"/>
  <c r="I1015" i="10"/>
  <c r="I1016" i="10"/>
  <c r="I1017" i="10"/>
  <c r="I1018" i="10"/>
  <c r="I1019" i="10"/>
  <c r="I1020" i="10"/>
  <c r="I1021" i="10"/>
  <c r="I1022" i="10"/>
  <c r="I1023" i="10"/>
  <c r="I1024" i="10"/>
  <c r="I1025" i="10"/>
  <c r="I1026" i="10"/>
  <c r="I1027" i="10"/>
  <c r="I1028" i="10"/>
  <c r="I1029" i="10"/>
  <c r="I1030" i="10"/>
  <c r="I1031" i="10"/>
  <c r="I1032" i="10"/>
  <c r="I1033" i="10"/>
  <c r="I1034" i="10"/>
  <c r="I1035" i="10"/>
  <c r="I1036" i="10"/>
  <c r="I1037" i="10"/>
  <c r="I1038" i="10"/>
  <c r="I1039" i="10"/>
  <c r="I1040" i="10"/>
  <c r="I1041" i="10"/>
  <c r="I1042" i="10"/>
  <c r="I1043" i="10"/>
  <c r="I1044" i="10"/>
  <c r="I1045" i="10"/>
  <c r="I1046" i="10"/>
  <c r="I1047" i="10"/>
  <c r="I1048" i="10"/>
  <c r="I1049" i="10"/>
  <c r="I1050" i="10"/>
  <c r="I1051" i="10"/>
  <c r="I1052" i="10"/>
  <c r="I1053" i="10"/>
  <c r="I1054" i="10"/>
  <c r="I1055" i="10"/>
  <c r="I1056" i="10"/>
  <c r="I1057" i="10"/>
  <c r="I1058" i="10"/>
  <c r="I1059" i="10"/>
  <c r="I1060" i="10"/>
  <c r="I1061" i="10"/>
  <c r="I1062" i="10"/>
  <c r="I1063" i="10"/>
  <c r="I1064" i="10"/>
  <c r="I1065" i="10"/>
  <c r="I1066" i="10"/>
  <c r="I1067" i="10"/>
  <c r="I1068" i="10"/>
  <c r="I1069" i="10"/>
  <c r="I1070" i="10"/>
  <c r="I1071" i="10"/>
  <c r="I1072" i="10"/>
  <c r="I1073" i="10"/>
  <c r="I1074" i="10"/>
  <c r="I1075" i="10"/>
  <c r="I1076" i="10"/>
  <c r="I1077" i="10"/>
  <c r="I1078" i="10"/>
  <c r="I1079" i="10"/>
  <c r="I1080" i="10"/>
  <c r="I1081" i="10"/>
  <c r="I1082" i="10"/>
  <c r="I1083" i="10"/>
  <c r="I1084" i="10"/>
  <c r="I1085" i="10"/>
  <c r="I1086" i="10"/>
  <c r="I1087" i="10"/>
  <c r="I1088" i="10"/>
  <c r="I1089" i="10"/>
  <c r="I1090" i="10"/>
  <c r="I1091" i="10"/>
  <c r="I1092" i="10"/>
  <c r="I1093" i="10"/>
  <c r="I1094" i="10"/>
  <c r="I1095" i="10"/>
  <c r="I1096" i="10"/>
  <c r="I1097" i="10"/>
  <c r="I1098" i="10"/>
  <c r="I1099" i="10"/>
  <c r="I1100" i="10"/>
  <c r="I1101" i="10"/>
  <c r="I1102" i="10"/>
  <c r="I1103" i="10"/>
  <c r="I1104" i="10"/>
  <c r="I1105" i="10"/>
  <c r="I1106" i="10"/>
  <c r="I1107" i="10"/>
  <c r="I1108" i="10"/>
  <c r="I1109" i="10"/>
  <c r="I1110" i="10"/>
  <c r="I1111" i="10"/>
  <c r="I1112" i="10"/>
  <c r="I1113" i="10"/>
  <c r="I1114" i="10"/>
  <c r="I1115" i="10"/>
  <c r="I1116" i="10"/>
  <c r="I1117" i="10"/>
  <c r="I1118" i="10"/>
  <c r="I1119" i="10"/>
  <c r="I1120" i="10"/>
  <c r="I1121" i="10"/>
  <c r="I1122" i="10"/>
  <c r="I1123" i="10"/>
  <c r="I1124" i="10"/>
  <c r="I1125" i="10"/>
  <c r="I1126" i="10"/>
  <c r="I1127" i="10"/>
  <c r="I1128" i="10"/>
  <c r="I1129" i="10"/>
  <c r="I1130" i="10"/>
  <c r="I1131" i="10"/>
  <c r="I1132" i="10"/>
  <c r="I1133" i="10"/>
  <c r="I1134" i="10"/>
  <c r="I1135" i="10"/>
  <c r="I1136" i="10"/>
  <c r="I1137" i="10"/>
  <c r="I1138" i="10"/>
  <c r="I1139" i="10"/>
  <c r="I1140" i="10"/>
  <c r="I1141" i="10"/>
  <c r="I1142" i="10"/>
  <c r="I1143" i="10"/>
  <c r="I1144" i="10"/>
  <c r="I1145" i="10"/>
  <c r="I1146" i="10"/>
  <c r="I1147" i="10"/>
  <c r="I1148" i="10"/>
  <c r="I1149" i="10"/>
  <c r="I1150" i="10"/>
  <c r="I1151" i="10"/>
  <c r="I1152" i="10"/>
  <c r="I1153" i="10"/>
  <c r="I1154" i="10"/>
  <c r="I1155" i="10"/>
  <c r="I1156" i="10"/>
  <c r="I1157" i="10"/>
  <c r="I1158" i="10"/>
  <c r="I1159" i="10"/>
  <c r="I1160" i="10"/>
  <c r="I1161" i="10"/>
  <c r="I1162" i="10"/>
  <c r="I1163" i="10"/>
  <c r="I1164" i="10"/>
  <c r="I1165" i="10"/>
  <c r="I1166" i="10"/>
  <c r="I1167" i="10"/>
  <c r="I1168" i="10"/>
  <c r="I1169" i="10"/>
  <c r="I1170" i="10"/>
  <c r="I1171" i="10"/>
  <c r="I1172" i="10"/>
  <c r="I1173" i="10"/>
  <c r="I1174" i="10"/>
  <c r="I1175" i="10"/>
  <c r="I1176" i="10"/>
  <c r="I1177" i="10"/>
  <c r="I1178" i="10"/>
  <c r="I1179" i="10"/>
  <c r="I1180" i="10"/>
  <c r="I1181" i="10"/>
  <c r="I1182" i="10"/>
  <c r="I1183" i="10"/>
  <c r="I1184" i="10"/>
  <c r="I1185" i="10"/>
  <c r="I1186" i="10"/>
  <c r="I1187" i="10"/>
  <c r="I1188" i="10"/>
  <c r="I1189" i="10"/>
  <c r="I1190" i="10"/>
  <c r="I1191" i="10"/>
  <c r="I1192" i="10"/>
  <c r="I1193" i="10"/>
  <c r="I1194" i="10"/>
  <c r="I1195" i="10"/>
  <c r="I1196" i="10"/>
  <c r="I1197" i="10"/>
  <c r="I1198" i="10"/>
  <c r="I1199" i="10"/>
  <c r="I1200" i="10"/>
  <c r="I1201" i="10"/>
  <c r="I1202" i="10"/>
  <c r="I1203" i="10"/>
  <c r="I1204" i="10"/>
  <c r="I1205" i="10"/>
  <c r="I1206" i="10"/>
  <c r="I1207" i="10"/>
  <c r="I1208" i="10"/>
  <c r="I1209" i="10"/>
  <c r="I1210" i="10"/>
  <c r="I1211" i="10"/>
  <c r="I1212" i="10"/>
  <c r="I1213" i="10"/>
  <c r="I1214" i="10"/>
  <c r="I1215" i="10"/>
  <c r="I1216" i="10"/>
  <c r="I1217" i="10"/>
  <c r="I1218" i="10"/>
  <c r="I1219" i="10"/>
  <c r="I1220" i="10"/>
  <c r="I1221" i="10"/>
  <c r="I1222" i="10"/>
  <c r="I1223" i="10"/>
  <c r="I1224" i="10"/>
  <c r="I1225" i="10"/>
  <c r="I1226" i="10"/>
  <c r="I1227" i="10"/>
  <c r="I1228" i="10"/>
  <c r="I1229" i="10"/>
  <c r="I1230" i="10"/>
  <c r="I1231" i="10"/>
  <c r="I1232" i="10"/>
  <c r="I1233" i="10"/>
  <c r="I1234" i="10"/>
  <c r="I1235" i="10"/>
  <c r="I1236" i="10"/>
  <c r="I1237" i="10"/>
  <c r="I1238" i="10"/>
  <c r="I1239" i="10"/>
  <c r="I1240" i="10"/>
  <c r="I1241" i="10"/>
  <c r="I1242" i="10"/>
  <c r="I1243" i="10"/>
  <c r="I1244" i="10"/>
  <c r="I1245" i="10"/>
  <c r="I1246" i="10"/>
  <c r="I1247" i="10"/>
  <c r="I1248" i="10"/>
  <c r="I1249" i="10"/>
  <c r="I1250" i="10"/>
  <c r="I1251" i="10"/>
  <c r="I1252" i="10"/>
  <c r="I1253" i="10"/>
  <c r="I1254" i="10"/>
  <c r="I1255" i="10"/>
  <c r="I1256" i="10"/>
  <c r="I1257" i="10"/>
  <c r="I1258" i="10"/>
  <c r="I1259" i="10"/>
  <c r="I1260" i="10"/>
  <c r="I1261" i="10"/>
  <c r="I1262" i="10"/>
  <c r="I1263" i="10"/>
  <c r="I1264" i="10"/>
  <c r="I1265" i="10"/>
  <c r="I1266" i="10"/>
  <c r="I1267" i="10"/>
  <c r="I1268" i="10"/>
  <c r="I1269" i="10"/>
  <c r="I1270" i="10"/>
  <c r="I1271" i="10"/>
  <c r="I1272" i="10"/>
  <c r="I1273" i="10"/>
  <c r="I1274" i="10"/>
  <c r="I1275" i="10"/>
  <c r="I1276" i="10"/>
  <c r="I1277" i="10"/>
  <c r="I1278" i="10"/>
  <c r="I1279" i="10"/>
  <c r="I1280" i="10"/>
  <c r="I1281" i="10"/>
  <c r="I1282" i="10"/>
  <c r="I1283" i="10"/>
  <c r="I1284" i="10"/>
  <c r="I1285" i="10"/>
  <c r="I1286" i="10"/>
  <c r="I1287" i="10"/>
  <c r="I1288" i="10"/>
  <c r="I1289" i="10"/>
  <c r="I1290" i="10"/>
  <c r="I1291" i="10"/>
  <c r="I1292" i="10"/>
  <c r="I1293" i="10"/>
  <c r="I1294" i="10"/>
  <c r="I1295" i="10"/>
  <c r="I1296" i="10"/>
  <c r="I1297" i="10"/>
  <c r="I1298" i="10"/>
  <c r="I1299" i="10"/>
  <c r="I1300" i="10"/>
  <c r="I1301" i="10"/>
  <c r="I1302" i="10"/>
  <c r="I1303" i="10"/>
  <c r="I1304" i="10"/>
  <c r="I1305" i="10"/>
  <c r="I1306" i="10"/>
  <c r="I1307" i="10"/>
  <c r="I1308" i="10"/>
  <c r="I1309" i="10"/>
  <c r="I1310" i="10"/>
  <c r="I1311" i="10"/>
  <c r="I1312" i="10"/>
  <c r="I1313" i="10"/>
  <c r="I1314" i="10"/>
  <c r="I1315" i="10"/>
  <c r="I1316" i="10"/>
  <c r="I1317" i="10"/>
  <c r="I1318" i="10"/>
  <c r="I1319" i="10"/>
  <c r="I1320" i="10"/>
  <c r="I1321" i="10"/>
  <c r="I1322" i="10"/>
  <c r="I1323" i="10"/>
  <c r="I1324" i="10"/>
  <c r="I1325" i="10"/>
  <c r="I1326" i="10"/>
  <c r="I1327" i="10"/>
  <c r="I1328" i="10"/>
  <c r="I1329" i="10"/>
  <c r="I1330" i="10"/>
  <c r="I1331" i="10"/>
  <c r="I1332" i="10"/>
  <c r="I1333" i="10"/>
  <c r="I1334" i="10"/>
  <c r="I1335" i="10"/>
  <c r="I1336" i="10"/>
  <c r="I1337" i="10"/>
  <c r="I1338" i="10"/>
  <c r="I1339" i="10"/>
  <c r="I1340" i="10"/>
  <c r="I1341" i="10"/>
  <c r="I1342" i="10"/>
  <c r="I1343" i="10"/>
  <c r="I1344" i="10"/>
  <c r="I1345" i="10"/>
  <c r="I1346" i="10"/>
  <c r="I1347" i="10"/>
  <c r="I1348" i="10"/>
  <c r="I1349" i="10"/>
  <c r="I1350" i="10"/>
  <c r="I1351" i="10"/>
  <c r="I1352" i="10"/>
  <c r="I1353" i="10"/>
  <c r="I1354" i="10"/>
  <c r="I1355" i="10"/>
  <c r="I1356" i="10"/>
  <c r="I52" i="10"/>
  <c r="C51" i="10" l="1"/>
  <c r="C52" i="10"/>
  <c r="C53" i="10"/>
  <c r="C54" i="10"/>
  <c r="C55" i="10"/>
  <c r="C56" i="10"/>
  <c r="C57" i="10"/>
  <c r="C58" i="10"/>
  <c r="C59" i="10"/>
  <c r="C60" i="10"/>
  <c r="C61" i="10"/>
  <c r="C62" i="10"/>
  <c r="C63" i="10"/>
  <c r="C64" i="10"/>
  <c r="C65" i="10"/>
  <c r="C66" i="10"/>
  <c r="C67" i="10"/>
  <c r="C68" i="10"/>
  <c r="C69" i="10"/>
  <c r="C70" i="10"/>
  <c r="C71" i="10"/>
  <c r="C72" i="10"/>
  <c r="C73" i="10"/>
  <c r="C74" i="10"/>
  <c r="C75" i="10"/>
  <c r="C76" i="10"/>
  <c r="C77" i="10"/>
  <c r="C78" i="10"/>
  <c r="C79" i="10"/>
  <c r="C80" i="10"/>
  <c r="C81" i="10"/>
  <c r="C82" i="10"/>
  <c r="C83" i="10"/>
  <c r="C84" i="10"/>
  <c r="C85" i="10"/>
  <c r="C86" i="10"/>
  <c r="C87" i="10"/>
  <c r="C88" i="10"/>
  <c r="C89" i="10"/>
  <c r="C90" i="10"/>
  <c r="C91" i="10"/>
  <c r="C92" i="10"/>
  <c r="C93" i="10"/>
  <c r="C94" i="10"/>
  <c r="C95" i="10"/>
  <c r="C96" i="10"/>
  <c r="C97" i="10"/>
  <c r="C98" i="10"/>
  <c r="C99" i="10"/>
  <c r="C100" i="10"/>
  <c r="C101" i="10"/>
  <c r="C102" i="10"/>
  <c r="C103" i="10"/>
  <c r="C104" i="10"/>
  <c r="C105" i="10"/>
  <c r="C106" i="10"/>
  <c r="C107" i="10"/>
  <c r="C108" i="10"/>
  <c r="C109" i="10"/>
  <c r="C110" i="10"/>
  <c r="C111" i="10"/>
  <c r="C112" i="10"/>
  <c r="C113" i="10"/>
  <c r="C114" i="10"/>
  <c r="C115" i="10"/>
  <c r="C116" i="10"/>
  <c r="C117" i="10"/>
  <c r="C118" i="10"/>
  <c r="C119" i="10"/>
  <c r="C120" i="10"/>
  <c r="C121" i="10"/>
  <c r="C122" i="10"/>
  <c r="C123" i="10"/>
  <c r="C124" i="10"/>
  <c r="C125" i="10"/>
  <c r="C126" i="10"/>
  <c r="C127" i="10"/>
  <c r="C128" i="10"/>
  <c r="C129" i="10"/>
  <c r="C130" i="10"/>
  <c r="C131" i="10"/>
  <c r="C132" i="10"/>
  <c r="C133" i="10"/>
  <c r="C134" i="10"/>
  <c r="C135" i="10"/>
  <c r="C136" i="10"/>
  <c r="C137" i="10"/>
  <c r="C138" i="10"/>
  <c r="C139" i="10"/>
  <c r="C140" i="10"/>
  <c r="C141" i="10"/>
  <c r="C142" i="10"/>
  <c r="C143" i="10"/>
  <c r="C144" i="10"/>
  <c r="C145" i="10"/>
  <c r="C146" i="10"/>
  <c r="C147" i="10"/>
  <c r="C148" i="10"/>
  <c r="C149" i="10"/>
  <c r="C150" i="10"/>
  <c r="C151" i="10"/>
  <c r="C152" i="10"/>
  <c r="C153" i="10"/>
  <c r="C154" i="10"/>
  <c r="C155" i="10"/>
  <c r="C156" i="10"/>
  <c r="C157" i="10"/>
  <c r="C158" i="10"/>
  <c r="C159" i="10"/>
  <c r="C160" i="10"/>
  <c r="C161" i="10"/>
  <c r="C162" i="10"/>
  <c r="C163" i="10"/>
  <c r="C164" i="10"/>
  <c r="C165" i="10"/>
  <c r="C166" i="10"/>
  <c r="C167" i="10"/>
  <c r="C168" i="10"/>
  <c r="C169" i="10"/>
  <c r="C170" i="10"/>
  <c r="C171" i="10"/>
  <c r="C172" i="10"/>
  <c r="C173" i="10"/>
  <c r="C174" i="10"/>
  <c r="C175" i="10"/>
  <c r="C176" i="10"/>
  <c r="C177" i="10"/>
  <c r="C178" i="10"/>
  <c r="C179" i="10"/>
  <c r="C180" i="10"/>
  <c r="C181" i="10"/>
  <c r="C182" i="10"/>
  <c r="C183" i="10"/>
  <c r="C184" i="10"/>
  <c r="C185" i="10"/>
  <c r="C186" i="10"/>
  <c r="C187" i="10"/>
  <c r="C188" i="10"/>
  <c r="C189" i="10"/>
  <c r="C190" i="10"/>
  <c r="C191" i="10"/>
  <c r="C192" i="10"/>
  <c r="C193" i="10"/>
  <c r="C194" i="10"/>
  <c r="C195" i="10"/>
  <c r="C196" i="10"/>
  <c r="C197" i="10"/>
  <c r="C198" i="10"/>
  <c r="C199" i="10"/>
  <c r="C200" i="10"/>
  <c r="C201" i="10"/>
  <c r="D201" i="10"/>
  <c r="C202" i="10"/>
  <c r="D202" i="10"/>
  <c r="C203" i="10"/>
  <c r="D203" i="10"/>
  <c r="C204" i="10"/>
  <c r="D204" i="10"/>
  <c r="C205" i="10"/>
  <c r="D205" i="10"/>
  <c r="C206" i="10"/>
  <c r="D206" i="10"/>
  <c r="C207" i="10"/>
  <c r="D207" i="10"/>
  <c r="C208" i="10"/>
  <c r="D208" i="10"/>
  <c r="C209" i="10"/>
  <c r="D209" i="10"/>
  <c r="C210" i="10"/>
  <c r="D210" i="10"/>
  <c r="C211" i="10"/>
  <c r="D211" i="10"/>
  <c r="C212" i="10"/>
  <c r="D212" i="10"/>
  <c r="C213" i="10"/>
  <c r="D213" i="10"/>
  <c r="C214" i="10"/>
  <c r="D214" i="10"/>
  <c r="C215" i="10"/>
  <c r="D215" i="10"/>
  <c r="C216" i="10"/>
  <c r="D216" i="10"/>
  <c r="C217" i="10"/>
  <c r="D217" i="10"/>
  <c r="C218" i="10"/>
  <c r="D218" i="10"/>
  <c r="C219" i="10"/>
  <c r="D219" i="10"/>
  <c r="C220" i="10"/>
  <c r="D220" i="10"/>
  <c r="C221" i="10"/>
  <c r="D221" i="10"/>
  <c r="C222" i="10"/>
  <c r="D222" i="10"/>
  <c r="C223" i="10"/>
  <c r="D223" i="10"/>
  <c r="C224" i="10"/>
  <c r="D224" i="10"/>
  <c r="C225" i="10"/>
  <c r="D225" i="10"/>
  <c r="C226" i="10"/>
  <c r="D226" i="10"/>
  <c r="C227" i="10"/>
  <c r="D227" i="10"/>
  <c r="C228" i="10"/>
  <c r="D228" i="10"/>
  <c r="C229" i="10"/>
  <c r="D229" i="10"/>
  <c r="C230" i="10"/>
  <c r="D230" i="10"/>
  <c r="C231" i="10"/>
  <c r="D231" i="10"/>
  <c r="C232" i="10"/>
  <c r="D232" i="10"/>
  <c r="C233" i="10"/>
  <c r="D233" i="10"/>
  <c r="C234" i="10"/>
  <c r="D234" i="10"/>
  <c r="C235" i="10"/>
  <c r="D235" i="10"/>
  <c r="C236" i="10"/>
  <c r="D236" i="10"/>
  <c r="C237" i="10"/>
  <c r="D237" i="10"/>
  <c r="C238" i="10"/>
  <c r="D238" i="10"/>
  <c r="C239" i="10"/>
  <c r="D239" i="10"/>
  <c r="C240" i="10"/>
  <c r="D240" i="10"/>
  <c r="C241" i="10"/>
  <c r="D241" i="10"/>
  <c r="C242" i="10"/>
  <c r="D242" i="10"/>
  <c r="C243" i="10"/>
  <c r="D243" i="10"/>
  <c r="C244" i="10"/>
  <c r="D244" i="10"/>
  <c r="C245" i="10"/>
  <c r="D245" i="10"/>
  <c r="C246" i="10"/>
  <c r="D246" i="10"/>
  <c r="C247" i="10"/>
  <c r="D247" i="10"/>
  <c r="C248" i="10"/>
  <c r="D248" i="10"/>
  <c r="C249" i="10"/>
  <c r="D249" i="10"/>
  <c r="C250" i="10"/>
  <c r="D250" i="10"/>
  <c r="C251" i="10"/>
  <c r="D251" i="10"/>
  <c r="C252" i="10"/>
  <c r="D252" i="10"/>
  <c r="C253" i="10"/>
  <c r="D253" i="10"/>
  <c r="C254" i="10"/>
  <c r="D254" i="10"/>
  <c r="C255" i="10"/>
  <c r="D255" i="10"/>
  <c r="C256" i="10"/>
  <c r="D256" i="10"/>
  <c r="C257" i="10"/>
  <c r="D257" i="10"/>
  <c r="C258" i="10"/>
  <c r="D258" i="10"/>
  <c r="C259" i="10"/>
  <c r="D259" i="10"/>
  <c r="C260" i="10"/>
  <c r="D260" i="10"/>
  <c r="C261" i="10"/>
  <c r="D261" i="10"/>
  <c r="C262" i="10"/>
  <c r="D262" i="10"/>
  <c r="C263" i="10"/>
  <c r="D263" i="10"/>
  <c r="C264" i="10"/>
  <c r="D264" i="10"/>
  <c r="C265" i="10"/>
  <c r="D265" i="10"/>
  <c r="C266" i="10"/>
  <c r="D266" i="10"/>
  <c r="C267" i="10"/>
  <c r="D267" i="10"/>
  <c r="C268" i="10"/>
  <c r="D268" i="10"/>
  <c r="C269" i="10"/>
  <c r="D269" i="10"/>
  <c r="C270" i="10"/>
  <c r="D270" i="10"/>
  <c r="C271" i="10"/>
  <c r="D271" i="10"/>
  <c r="C272" i="10"/>
  <c r="D272" i="10"/>
  <c r="C273" i="10"/>
  <c r="D273" i="10"/>
  <c r="C274" i="10"/>
  <c r="D274" i="10"/>
  <c r="C275" i="10"/>
  <c r="D275" i="10"/>
  <c r="C276" i="10"/>
  <c r="D276" i="10"/>
  <c r="C277" i="10"/>
  <c r="D277" i="10"/>
  <c r="C278" i="10"/>
  <c r="D278" i="10"/>
  <c r="C279" i="10"/>
  <c r="D279" i="10"/>
  <c r="C280" i="10"/>
  <c r="D280" i="10"/>
  <c r="C281" i="10"/>
  <c r="D281" i="10"/>
  <c r="C282" i="10"/>
  <c r="D282" i="10"/>
  <c r="C283" i="10"/>
  <c r="D283" i="10"/>
  <c r="C284" i="10"/>
  <c r="D284" i="10"/>
  <c r="C285" i="10"/>
  <c r="D285" i="10"/>
  <c r="C286" i="10"/>
  <c r="D286" i="10"/>
  <c r="C287" i="10"/>
  <c r="D287" i="10"/>
  <c r="C288" i="10"/>
  <c r="D288" i="10"/>
  <c r="C289" i="10"/>
  <c r="D289" i="10"/>
  <c r="C290" i="10"/>
  <c r="D290" i="10"/>
  <c r="C291" i="10"/>
  <c r="D291" i="10"/>
  <c r="C292" i="10"/>
  <c r="D292" i="10"/>
  <c r="C293" i="10"/>
  <c r="D293" i="10"/>
  <c r="C294" i="10"/>
  <c r="D294" i="10"/>
  <c r="C295" i="10"/>
  <c r="D295" i="10"/>
  <c r="C296" i="10"/>
  <c r="D296" i="10"/>
  <c r="C297" i="10"/>
  <c r="D297" i="10"/>
  <c r="C298" i="10"/>
  <c r="D298" i="10"/>
  <c r="C299" i="10"/>
  <c r="D299" i="10"/>
  <c r="C300" i="10"/>
  <c r="D300" i="10"/>
  <c r="C301" i="10"/>
  <c r="D301" i="10"/>
  <c r="C302" i="10"/>
  <c r="D302" i="10"/>
  <c r="C303" i="10"/>
  <c r="D303" i="10"/>
  <c r="C304" i="10"/>
  <c r="D304" i="10"/>
  <c r="C305" i="10"/>
  <c r="D305" i="10"/>
  <c r="C306" i="10"/>
  <c r="D306" i="10"/>
  <c r="C307" i="10"/>
  <c r="D307" i="10"/>
  <c r="C308" i="10"/>
  <c r="D308" i="10"/>
  <c r="C309" i="10"/>
  <c r="D309" i="10"/>
  <c r="C310" i="10"/>
  <c r="D310" i="10"/>
  <c r="C311" i="10"/>
  <c r="D311" i="10"/>
  <c r="C312" i="10"/>
  <c r="D312" i="10"/>
  <c r="C313" i="10"/>
  <c r="D313" i="10"/>
  <c r="C314" i="10"/>
  <c r="D314" i="10"/>
  <c r="C315" i="10"/>
  <c r="D315" i="10"/>
  <c r="C316" i="10"/>
  <c r="D316" i="10"/>
  <c r="C317" i="10"/>
  <c r="D317" i="10"/>
  <c r="C318" i="10"/>
  <c r="D318" i="10"/>
  <c r="C319" i="10"/>
  <c r="D319" i="10"/>
  <c r="C320" i="10"/>
  <c r="D320" i="10"/>
  <c r="C321" i="10"/>
  <c r="D321" i="10"/>
  <c r="C322" i="10"/>
  <c r="D322" i="10"/>
  <c r="C323" i="10"/>
  <c r="D323" i="10"/>
  <c r="C324" i="10"/>
  <c r="D324" i="10"/>
  <c r="C325" i="10"/>
  <c r="D325" i="10"/>
  <c r="C326" i="10"/>
  <c r="D326" i="10"/>
  <c r="C327" i="10"/>
  <c r="D327" i="10"/>
  <c r="C328" i="10"/>
  <c r="D328" i="10"/>
  <c r="C329" i="10"/>
  <c r="D329" i="10"/>
  <c r="C330" i="10"/>
  <c r="D330" i="10"/>
  <c r="C331" i="10"/>
  <c r="D331" i="10"/>
  <c r="C332" i="10"/>
  <c r="D332" i="10"/>
  <c r="C333" i="10"/>
  <c r="D333" i="10"/>
  <c r="C334" i="10"/>
  <c r="D334" i="10"/>
  <c r="C335" i="10"/>
  <c r="D335" i="10"/>
  <c r="C336" i="10"/>
  <c r="D336" i="10"/>
  <c r="C337" i="10"/>
  <c r="D337" i="10"/>
  <c r="C338" i="10"/>
  <c r="D338" i="10"/>
  <c r="C339" i="10"/>
  <c r="D339" i="10"/>
  <c r="C340" i="10"/>
  <c r="D340" i="10"/>
  <c r="C341" i="10"/>
  <c r="D341" i="10"/>
  <c r="C342" i="10"/>
  <c r="D342" i="10"/>
  <c r="C343" i="10"/>
  <c r="D343" i="10"/>
  <c r="C344" i="10"/>
  <c r="D344" i="10"/>
  <c r="C345" i="10"/>
  <c r="D345" i="10"/>
  <c r="C346" i="10"/>
  <c r="D346" i="10"/>
  <c r="C347" i="10"/>
  <c r="D347" i="10"/>
  <c r="C348" i="10"/>
  <c r="D348" i="10"/>
  <c r="C349" i="10"/>
  <c r="D349" i="10"/>
  <c r="C350" i="10"/>
  <c r="D350" i="10"/>
  <c r="C351" i="10"/>
  <c r="D351" i="10"/>
  <c r="C352" i="10"/>
  <c r="D352" i="10"/>
  <c r="C353" i="10"/>
  <c r="D353" i="10"/>
  <c r="C354" i="10"/>
  <c r="D354" i="10"/>
  <c r="C355" i="10"/>
  <c r="D355" i="10"/>
  <c r="C356" i="10"/>
  <c r="D356" i="10"/>
  <c r="C357" i="10"/>
  <c r="D357" i="10"/>
  <c r="C358" i="10"/>
  <c r="D358" i="10"/>
  <c r="C359" i="10"/>
  <c r="D359" i="10"/>
  <c r="C360" i="10"/>
  <c r="D360" i="10"/>
  <c r="C361" i="10"/>
  <c r="D361" i="10"/>
  <c r="C362" i="10"/>
  <c r="D362" i="10"/>
  <c r="C363" i="10"/>
  <c r="D363" i="10"/>
  <c r="C364" i="10"/>
  <c r="D364" i="10"/>
  <c r="C365" i="10"/>
  <c r="D365" i="10"/>
  <c r="C366" i="10"/>
  <c r="D366" i="10"/>
  <c r="C367" i="10"/>
  <c r="D367" i="10"/>
  <c r="C368" i="10"/>
  <c r="D368" i="10"/>
  <c r="C369" i="10"/>
  <c r="D369" i="10"/>
  <c r="C370" i="10"/>
  <c r="D370" i="10"/>
  <c r="C371" i="10"/>
  <c r="D371" i="10"/>
  <c r="C372" i="10"/>
  <c r="D372" i="10"/>
  <c r="C373" i="10"/>
  <c r="D373" i="10"/>
  <c r="C374" i="10"/>
  <c r="D374" i="10"/>
  <c r="C375" i="10"/>
  <c r="D375" i="10"/>
  <c r="C376" i="10"/>
  <c r="D376" i="10"/>
  <c r="C377" i="10"/>
  <c r="D377" i="10"/>
  <c r="C378" i="10"/>
  <c r="D378" i="10"/>
  <c r="C379" i="10"/>
  <c r="D379" i="10"/>
  <c r="C380" i="10"/>
  <c r="D380" i="10"/>
  <c r="C381" i="10"/>
  <c r="D381" i="10"/>
  <c r="C382" i="10"/>
  <c r="D382" i="10"/>
  <c r="C383" i="10"/>
  <c r="D383" i="10"/>
  <c r="C384" i="10"/>
  <c r="D384" i="10"/>
  <c r="C385" i="10"/>
  <c r="D385" i="10"/>
  <c r="C386" i="10"/>
  <c r="D386" i="10"/>
  <c r="C387" i="10"/>
  <c r="D387" i="10"/>
  <c r="C388" i="10"/>
  <c r="D388" i="10"/>
  <c r="C389" i="10"/>
  <c r="D389" i="10"/>
  <c r="C390" i="10"/>
  <c r="D390" i="10"/>
  <c r="C391" i="10"/>
  <c r="D391" i="10"/>
  <c r="C392" i="10"/>
  <c r="D392" i="10"/>
  <c r="C393" i="10"/>
  <c r="D393" i="10"/>
  <c r="C394" i="10"/>
  <c r="D394" i="10"/>
  <c r="C395" i="10"/>
  <c r="D395" i="10"/>
  <c r="C396" i="10"/>
  <c r="D396" i="10"/>
  <c r="C397" i="10"/>
  <c r="D397" i="10"/>
  <c r="C398" i="10"/>
  <c r="D398" i="10"/>
  <c r="C399" i="10"/>
  <c r="D399" i="10"/>
  <c r="C400" i="10"/>
  <c r="D400" i="10"/>
  <c r="C401" i="10"/>
  <c r="D401" i="10"/>
  <c r="C402" i="10"/>
  <c r="D402" i="10"/>
  <c r="C403" i="10"/>
  <c r="D403" i="10"/>
  <c r="C404" i="10"/>
  <c r="D404" i="10"/>
  <c r="C405" i="10"/>
  <c r="D405" i="10"/>
  <c r="C406" i="10"/>
  <c r="D406" i="10"/>
  <c r="C407" i="10"/>
  <c r="D407" i="10"/>
  <c r="C408" i="10"/>
  <c r="D408" i="10"/>
  <c r="C409" i="10"/>
  <c r="D409" i="10"/>
  <c r="C410" i="10"/>
  <c r="D410" i="10"/>
  <c r="C411" i="10"/>
  <c r="D411" i="10"/>
  <c r="C412" i="10"/>
  <c r="D412" i="10"/>
  <c r="C413" i="10"/>
  <c r="D413" i="10"/>
  <c r="C414" i="10"/>
  <c r="D414" i="10"/>
  <c r="C415" i="10"/>
  <c r="D415" i="10"/>
  <c r="C416" i="10"/>
  <c r="D416" i="10"/>
  <c r="C417" i="10"/>
  <c r="D417" i="10"/>
  <c r="C418" i="10"/>
  <c r="D418" i="10"/>
  <c r="C419" i="10"/>
  <c r="D419" i="10"/>
  <c r="C420" i="10"/>
  <c r="D420" i="10"/>
  <c r="C421" i="10"/>
  <c r="D421" i="10"/>
  <c r="C422" i="10"/>
  <c r="D422" i="10"/>
  <c r="C423" i="10"/>
  <c r="D423" i="10"/>
  <c r="C424" i="10"/>
  <c r="D424" i="10"/>
  <c r="C425" i="10"/>
  <c r="D425" i="10"/>
  <c r="C426" i="10"/>
  <c r="D426" i="10"/>
  <c r="C427" i="10"/>
  <c r="D427" i="10"/>
  <c r="C428" i="10"/>
  <c r="D428" i="10"/>
  <c r="C429" i="10"/>
  <c r="D429" i="10"/>
  <c r="C430" i="10"/>
  <c r="D430" i="10"/>
  <c r="C431" i="10"/>
  <c r="D431" i="10"/>
  <c r="C432" i="10"/>
  <c r="D432" i="10"/>
  <c r="C433" i="10"/>
  <c r="D433" i="10"/>
  <c r="C434" i="10"/>
  <c r="D434" i="10"/>
  <c r="C435" i="10"/>
  <c r="D435" i="10"/>
  <c r="C436" i="10"/>
  <c r="D436" i="10"/>
  <c r="C437" i="10"/>
  <c r="D437" i="10"/>
  <c r="C438" i="10"/>
  <c r="D438" i="10"/>
  <c r="C439" i="10"/>
  <c r="D439" i="10"/>
  <c r="C440" i="10"/>
  <c r="D440" i="10"/>
  <c r="C441" i="10"/>
  <c r="D441" i="10"/>
  <c r="C442" i="10"/>
  <c r="D442" i="10"/>
  <c r="C443" i="10"/>
  <c r="D443" i="10"/>
  <c r="C444" i="10"/>
  <c r="D444" i="10"/>
  <c r="C445" i="10"/>
  <c r="D445" i="10"/>
  <c r="C446" i="10"/>
  <c r="D446" i="10"/>
  <c r="C447" i="10"/>
  <c r="D447" i="10"/>
  <c r="C448" i="10"/>
  <c r="D448" i="10"/>
  <c r="C449" i="10"/>
  <c r="D449" i="10"/>
  <c r="C450" i="10"/>
  <c r="D450" i="10"/>
  <c r="C451" i="10"/>
  <c r="D451" i="10"/>
  <c r="C452" i="10"/>
  <c r="D452" i="10"/>
  <c r="C453" i="10"/>
  <c r="D453" i="10"/>
  <c r="C454" i="10"/>
  <c r="D454" i="10"/>
  <c r="C455" i="10"/>
  <c r="D455" i="10"/>
  <c r="C456" i="10"/>
  <c r="D456" i="10"/>
  <c r="C457" i="10"/>
  <c r="D457" i="10"/>
  <c r="C458" i="10"/>
  <c r="D458" i="10"/>
  <c r="C459" i="10"/>
  <c r="D459" i="10"/>
  <c r="C460" i="10"/>
  <c r="D460" i="10"/>
  <c r="C461" i="10"/>
  <c r="D461" i="10"/>
  <c r="C462" i="10"/>
  <c r="D462" i="10"/>
  <c r="C463" i="10"/>
  <c r="D463" i="10"/>
  <c r="C464" i="10"/>
  <c r="D464" i="10"/>
  <c r="C465" i="10"/>
  <c r="D465" i="10"/>
  <c r="C466" i="10"/>
  <c r="D466" i="10"/>
  <c r="C467" i="10"/>
  <c r="D467" i="10"/>
  <c r="C468" i="10"/>
  <c r="D468" i="10"/>
  <c r="C469" i="10"/>
  <c r="D469" i="10"/>
  <c r="C470" i="10"/>
  <c r="D470" i="10"/>
  <c r="C471" i="10"/>
  <c r="D471" i="10"/>
  <c r="C472" i="10"/>
  <c r="D472" i="10"/>
  <c r="C473" i="10"/>
  <c r="D473" i="10"/>
  <c r="C474" i="10"/>
  <c r="D474" i="10"/>
  <c r="C475" i="10"/>
  <c r="D475" i="10"/>
  <c r="C476" i="10"/>
  <c r="D476" i="10"/>
  <c r="C477" i="10"/>
  <c r="D477" i="10"/>
  <c r="C478" i="10"/>
  <c r="D478" i="10"/>
  <c r="C479" i="10"/>
  <c r="D479" i="10"/>
  <c r="C480" i="10"/>
  <c r="D480" i="10"/>
  <c r="C481" i="10"/>
  <c r="D481" i="10"/>
  <c r="C482" i="10"/>
  <c r="D482" i="10"/>
  <c r="C483" i="10"/>
  <c r="D483" i="10"/>
  <c r="C484" i="10"/>
  <c r="D484" i="10"/>
  <c r="C485" i="10"/>
  <c r="D485" i="10"/>
  <c r="C486" i="10"/>
  <c r="D486" i="10"/>
  <c r="C487" i="10"/>
  <c r="D487" i="10"/>
  <c r="C488" i="10"/>
  <c r="D488" i="10"/>
  <c r="C489" i="10"/>
  <c r="D489" i="10"/>
  <c r="C490" i="10"/>
  <c r="D490" i="10"/>
  <c r="C491" i="10"/>
  <c r="D491" i="10"/>
  <c r="C492" i="10"/>
  <c r="D492" i="10"/>
  <c r="C493" i="10"/>
  <c r="D493" i="10"/>
  <c r="C494" i="10"/>
  <c r="D494" i="10"/>
  <c r="C495" i="10"/>
  <c r="D495" i="10"/>
  <c r="C496" i="10"/>
  <c r="D496" i="10"/>
  <c r="C497" i="10"/>
  <c r="D497" i="10"/>
  <c r="C498" i="10"/>
  <c r="D498" i="10"/>
  <c r="C499" i="10"/>
  <c r="D499" i="10"/>
  <c r="C500" i="10"/>
  <c r="D500" i="10"/>
  <c r="C501" i="10"/>
  <c r="D501" i="10"/>
  <c r="C502" i="10"/>
  <c r="D502" i="10"/>
  <c r="C503" i="10"/>
  <c r="D503" i="10"/>
  <c r="C504" i="10"/>
  <c r="D504" i="10"/>
  <c r="C505" i="10"/>
  <c r="D505" i="10"/>
  <c r="C506" i="10"/>
  <c r="D506" i="10"/>
  <c r="C507" i="10"/>
  <c r="D507" i="10"/>
  <c r="C508" i="10"/>
  <c r="D508" i="10"/>
  <c r="C509" i="10"/>
  <c r="D509" i="10"/>
  <c r="C510" i="10"/>
  <c r="D510" i="10"/>
  <c r="C511" i="10"/>
  <c r="D511" i="10"/>
  <c r="C512" i="10"/>
  <c r="D512" i="10"/>
  <c r="C513" i="10"/>
  <c r="D513" i="10"/>
  <c r="C514" i="10"/>
  <c r="D514" i="10"/>
  <c r="C515" i="10"/>
  <c r="D515" i="10"/>
  <c r="C516" i="10"/>
  <c r="D516" i="10"/>
  <c r="C517" i="10"/>
  <c r="D517" i="10"/>
  <c r="C518" i="10"/>
  <c r="D518" i="10"/>
  <c r="C519" i="10"/>
  <c r="D519" i="10"/>
  <c r="C520" i="10"/>
  <c r="D520" i="10"/>
  <c r="C521" i="10"/>
  <c r="D521" i="10"/>
  <c r="C522" i="10"/>
  <c r="D522" i="10"/>
  <c r="C523" i="10"/>
  <c r="D523" i="10"/>
  <c r="C524" i="10"/>
  <c r="D524" i="10"/>
  <c r="C525" i="10"/>
  <c r="D525" i="10"/>
  <c r="C526" i="10"/>
  <c r="D526" i="10"/>
  <c r="C527" i="10"/>
  <c r="D527" i="10"/>
  <c r="C528" i="10"/>
  <c r="D528" i="10"/>
  <c r="C529" i="10"/>
  <c r="D529" i="10"/>
  <c r="C530" i="10"/>
  <c r="D530" i="10"/>
  <c r="C531" i="10"/>
  <c r="D531" i="10"/>
  <c r="C532" i="10"/>
  <c r="D532" i="10"/>
  <c r="C533" i="10"/>
  <c r="D533" i="10"/>
  <c r="C534" i="10"/>
  <c r="D534" i="10"/>
  <c r="C535" i="10"/>
  <c r="D535" i="10"/>
  <c r="C536" i="10"/>
  <c r="D536" i="10"/>
  <c r="C537" i="10"/>
  <c r="D537" i="10"/>
  <c r="C538" i="10"/>
  <c r="D538" i="10"/>
  <c r="C539" i="10"/>
  <c r="D539" i="10"/>
  <c r="C540" i="10"/>
  <c r="D540" i="10"/>
  <c r="C541" i="10"/>
  <c r="D541" i="10"/>
  <c r="C542" i="10"/>
  <c r="D542" i="10"/>
  <c r="C543" i="10"/>
  <c r="D543" i="10"/>
  <c r="C544" i="10"/>
  <c r="D544" i="10"/>
  <c r="C545" i="10"/>
  <c r="D545" i="10"/>
  <c r="C546" i="10"/>
  <c r="D546" i="10"/>
  <c r="C547" i="10"/>
  <c r="D547" i="10"/>
  <c r="C548" i="10"/>
  <c r="D548" i="10"/>
  <c r="C549" i="10"/>
  <c r="D549" i="10"/>
  <c r="C550" i="10"/>
  <c r="D550" i="10"/>
  <c r="C551" i="10"/>
  <c r="D551" i="10"/>
  <c r="C552" i="10"/>
  <c r="D552" i="10"/>
  <c r="C553" i="10"/>
  <c r="D553" i="10"/>
  <c r="C554" i="10"/>
  <c r="D554" i="10"/>
  <c r="C555" i="10"/>
  <c r="D555" i="10"/>
  <c r="C556" i="10"/>
  <c r="D556" i="10"/>
  <c r="C557" i="10"/>
  <c r="D557" i="10"/>
  <c r="C558" i="10"/>
  <c r="D558" i="10"/>
  <c r="C559" i="10"/>
  <c r="D559" i="10"/>
  <c r="C560" i="10"/>
  <c r="D560" i="10"/>
  <c r="C561" i="10"/>
  <c r="D561" i="10"/>
  <c r="C562" i="10"/>
  <c r="D562" i="10"/>
  <c r="C563" i="10"/>
  <c r="D563" i="10"/>
  <c r="C564" i="10"/>
  <c r="D564" i="10"/>
  <c r="C565" i="10"/>
  <c r="D565" i="10"/>
  <c r="C566" i="10"/>
  <c r="D566" i="10"/>
  <c r="C567" i="10"/>
  <c r="D567" i="10"/>
  <c r="C568" i="10"/>
  <c r="D568" i="10"/>
  <c r="C569" i="10"/>
  <c r="D569" i="10"/>
  <c r="C570" i="10"/>
  <c r="D570" i="10"/>
  <c r="C571" i="10"/>
  <c r="D571" i="10"/>
  <c r="C572" i="10"/>
  <c r="D572" i="10"/>
  <c r="C573" i="10"/>
  <c r="D573" i="10"/>
  <c r="C574" i="10"/>
  <c r="D574" i="10"/>
  <c r="C575" i="10"/>
  <c r="D575" i="10"/>
  <c r="C576" i="10"/>
  <c r="D576" i="10"/>
  <c r="C577" i="10"/>
  <c r="D577" i="10"/>
  <c r="C578" i="10"/>
  <c r="D578" i="10"/>
  <c r="C579" i="10"/>
  <c r="D579" i="10"/>
  <c r="C580" i="10"/>
  <c r="D580" i="10"/>
  <c r="C581" i="10"/>
  <c r="D581" i="10"/>
  <c r="C582" i="10"/>
  <c r="D582" i="10"/>
  <c r="C583" i="10"/>
  <c r="D583" i="10"/>
  <c r="C584" i="10"/>
  <c r="D584" i="10"/>
  <c r="C585" i="10"/>
  <c r="D585" i="10"/>
  <c r="C586" i="10"/>
  <c r="D586" i="10"/>
  <c r="C587" i="10"/>
  <c r="D587" i="10"/>
  <c r="C588" i="10"/>
  <c r="D588" i="10"/>
  <c r="C589" i="10"/>
  <c r="D589" i="10"/>
  <c r="C590" i="10"/>
  <c r="D590" i="10"/>
  <c r="C591" i="10"/>
  <c r="D591" i="10"/>
  <c r="C592" i="10"/>
  <c r="D592" i="10"/>
  <c r="C593" i="10"/>
  <c r="D593" i="10"/>
  <c r="C594" i="10"/>
  <c r="D594" i="10"/>
  <c r="C595" i="10"/>
  <c r="D595" i="10"/>
  <c r="C596" i="10"/>
  <c r="D596" i="10"/>
  <c r="C597" i="10"/>
  <c r="D597" i="10"/>
  <c r="C598" i="10"/>
  <c r="D598" i="10"/>
  <c r="C599" i="10"/>
  <c r="D599" i="10"/>
  <c r="C600" i="10"/>
  <c r="D600" i="10"/>
  <c r="C601" i="10"/>
  <c r="D601" i="10"/>
  <c r="C602" i="10"/>
  <c r="D602" i="10"/>
  <c r="C603" i="10"/>
  <c r="D603" i="10"/>
  <c r="C604" i="10"/>
  <c r="D604" i="10"/>
  <c r="C605" i="10"/>
  <c r="D605" i="10"/>
  <c r="C606" i="10"/>
  <c r="D606" i="10"/>
  <c r="C607" i="10"/>
  <c r="D607" i="10"/>
  <c r="C608" i="10"/>
  <c r="D608" i="10"/>
  <c r="C609" i="10"/>
  <c r="D609" i="10"/>
  <c r="C610" i="10"/>
  <c r="D610" i="10"/>
  <c r="C611" i="10"/>
  <c r="D611" i="10"/>
  <c r="C612" i="10"/>
  <c r="D612" i="10"/>
  <c r="C613" i="10"/>
  <c r="D613" i="10"/>
  <c r="C614" i="10"/>
  <c r="D614" i="10"/>
  <c r="C615" i="10"/>
  <c r="D615" i="10"/>
  <c r="C616" i="10"/>
  <c r="D616" i="10"/>
  <c r="C617" i="10"/>
  <c r="D617" i="10"/>
  <c r="C618" i="10"/>
  <c r="D618" i="10"/>
  <c r="C619" i="10"/>
  <c r="D619" i="10"/>
  <c r="C620" i="10"/>
  <c r="D620" i="10"/>
  <c r="C621" i="10"/>
  <c r="D621" i="10"/>
  <c r="C622" i="10"/>
  <c r="D622" i="10"/>
  <c r="C623" i="10"/>
  <c r="D623" i="10"/>
  <c r="C624" i="10"/>
  <c r="D624" i="10"/>
  <c r="C625" i="10"/>
  <c r="D625" i="10"/>
  <c r="C626" i="10"/>
  <c r="D626" i="10"/>
  <c r="C627" i="10"/>
  <c r="D627" i="10"/>
  <c r="C628" i="10"/>
  <c r="D628" i="10"/>
  <c r="C629" i="10"/>
  <c r="D629" i="10"/>
  <c r="C630" i="10"/>
  <c r="D630" i="10"/>
  <c r="C631" i="10"/>
  <c r="D631" i="10"/>
  <c r="C632" i="10"/>
  <c r="D632" i="10"/>
  <c r="C633" i="10"/>
  <c r="D633" i="10"/>
  <c r="C634" i="10"/>
  <c r="D634" i="10"/>
  <c r="C635" i="10"/>
  <c r="D635" i="10"/>
  <c r="C636" i="10"/>
  <c r="D636" i="10"/>
  <c r="C637" i="10"/>
  <c r="D637" i="10"/>
  <c r="C638" i="10"/>
  <c r="D638" i="10"/>
  <c r="C639" i="10"/>
  <c r="D639" i="10"/>
  <c r="C640" i="10"/>
  <c r="D640" i="10"/>
  <c r="C641" i="10"/>
  <c r="D641" i="10"/>
  <c r="C642" i="10"/>
  <c r="D642" i="10"/>
  <c r="C643" i="10"/>
  <c r="D643" i="10"/>
  <c r="C644" i="10"/>
  <c r="D644" i="10"/>
  <c r="C645" i="10"/>
  <c r="D645" i="10"/>
  <c r="C646" i="10"/>
  <c r="D646" i="10"/>
  <c r="C647" i="10"/>
  <c r="D647" i="10"/>
  <c r="C648" i="10"/>
  <c r="D648" i="10"/>
  <c r="C649" i="10"/>
  <c r="D649" i="10"/>
  <c r="C650" i="10"/>
  <c r="D650" i="10"/>
  <c r="C651" i="10"/>
  <c r="D651" i="10"/>
  <c r="C652" i="10"/>
  <c r="D652" i="10"/>
  <c r="C653" i="10"/>
  <c r="D653" i="10"/>
  <c r="C654" i="10"/>
  <c r="D654" i="10"/>
  <c r="C655" i="10"/>
  <c r="D655" i="10"/>
  <c r="C656" i="10"/>
  <c r="D656" i="10"/>
  <c r="C657" i="10"/>
  <c r="D657" i="10"/>
  <c r="C658" i="10"/>
  <c r="D658" i="10"/>
  <c r="C659" i="10"/>
  <c r="D659" i="10"/>
  <c r="C660" i="10"/>
  <c r="D660" i="10"/>
  <c r="C661" i="10"/>
  <c r="D661" i="10"/>
  <c r="C662" i="10"/>
  <c r="D662" i="10"/>
  <c r="C663" i="10"/>
  <c r="D663" i="10"/>
  <c r="C664" i="10"/>
  <c r="D664" i="10"/>
  <c r="C665" i="10"/>
  <c r="D665" i="10"/>
  <c r="C666" i="10"/>
  <c r="D666" i="10"/>
  <c r="C667" i="10"/>
  <c r="D667" i="10"/>
  <c r="C668" i="10"/>
  <c r="D668" i="10"/>
  <c r="C669" i="10"/>
  <c r="D669" i="10"/>
  <c r="C670" i="10"/>
  <c r="D670" i="10"/>
  <c r="C671" i="10"/>
  <c r="D671" i="10"/>
  <c r="C672" i="10"/>
  <c r="D672" i="10"/>
  <c r="C673" i="10"/>
  <c r="D673" i="10"/>
  <c r="C674" i="10"/>
  <c r="D674" i="10"/>
  <c r="C675" i="10"/>
  <c r="D675" i="10"/>
  <c r="C676" i="10"/>
  <c r="D676" i="10"/>
  <c r="C677" i="10"/>
  <c r="D677" i="10"/>
  <c r="C678" i="10"/>
  <c r="D678" i="10"/>
  <c r="C679" i="10"/>
  <c r="D679" i="10"/>
  <c r="C680" i="10"/>
  <c r="D680" i="10"/>
  <c r="C681" i="10"/>
  <c r="D681" i="10"/>
  <c r="C682" i="10"/>
  <c r="D682" i="10"/>
  <c r="C683" i="10"/>
  <c r="D683" i="10"/>
  <c r="C684" i="10"/>
  <c r="D684" i="10"/>
  <c r="C685" i="10"/>
  <c r="D685" i="10"/>
  <c r="C686" i="10"/>
  <c r="D686" i="10"/>
  <c r="C687" i="10"/>
  <c r="D687" i="10"/>
  <c r="C688" i="10"/>
  <c r="D688" i="10"/>
  <c r="C689" i="10"/>
  <c r="D689" i="10"/>
  <c r="C690" i="10"/>
  <c r="D690" i="10"/>
  <c r="C691" i="10"/>
  <c r="D691" i="10"/>
  <c r="C692" i="10"/>
  <c r="D692" i="10"/>
  <c r="C693" i="10"/>
  <c r="D693" i="10"/>
  <c r="C694" i="10"/>
  <c r="D694" i="10"/>
  <c r="C695" i="10"/>
  <c r="D695" i="10"/>
  <c r="C696" i="10"/>
  <c r="D696" i="10"/>
  <c r="C697" i="10"/>
  <c r="D697" i="10"/>
  <c r="C698" i="10"/>
  <c r="D698" i="10"/>
  <c r="C699" i="10"/>
  <c r="D699" i="10"/>
  <c r="C700" i="10"/>
  <c r="D700" i="10"/>
  <c r="C701" i="10"/>
  <c r="D701" i="10"/>
  <c r="C702" i="10"/>
  <c r="D702" i="10"/>
  <c r="C703" i="10"/>
  <c r="D703" i="10"/>
  <c r="C704" i="10"/>
  <c r="D704" i="10"/>
  <c r="C705" i="10"/>
  <c r="D705" i="10"/>
  <c r="C706" i="10"/>
  <c r="D706" i="10"/>
  <c r="C707" i="10"/>
  <c r="D707" i="10"/>
  <c r="C708" i="10"/>
  <c r="D708" i="10"/>
  <c r="C709" i="10"/>
  <c r="D709" i="10"/>
  <c r="C710" i="10"/>
  <c r="D710" i="10"/>
  <c r="C711" i="10"/>
  <c r="D711" i="10"/>
  <c r="C712" i="10"/>
  <c r="D712" i="10"/>
  <c r="C713" i="10"/>
  <c r="D713" i="10"/>
  <c r="C714" i="10"/>
  <c r="D714" i="10"/>
  <c r="C715" i="10"/>
  <c r="D715" i="10"/>
  <c r="C716" i="10"/>
  <c r="D716" i="10"/>
  <c r="C717" i="10"/>
  <c r="D717" i="10"/>
  <c r="C718" i="10"/>
  <c r="D718" i="10"/>
  <c r="C719" i="10"/>
  <c r="D719" i="10"/>
  <c r="C720" i="10"/>
  <c r="D720" i="10"/>
  <c r="C721" i="10"/>
  <c r="D721" i="10"/>
  <c r="C722" i="10"/>
  <c r="D722" i="10"/>
  <c r="C723" i="10"/>
  <c r="D723" i="10"/>
  <c r="C724" i="10"/>
  <c r="D724" i="10"/>
  <c r="C725" i="10"/>
  <c r="D725" i="10"/>
  <c r="C726" i="10"/>
  <c r="D726" i="10"/>
  <c r="C727" i="10"/>
  <c r="D727" i="10"/>
  <c r="C728" i="10"/>
  <c r="D728" i="10"/>
  <c r="C729" i="10"/>
  <c r="D729" i="10"/>
  <c r="C730" i="10"/>
  <c r="D730" i="10"/>
  <c r="C731" i="10"/>
  <c r="D731" i="10"/>
  <c r="C732" i="10"/>
  <c r="D732" i="10"/>
  <c r="C733" i="10"/>
  <c r="D733" i="10"/>
  <c r="C734" i="10"/>
  <c r="D734" i="10"/>
  <c r="C735" i="10"/>
  <c r="D735" i="10"/>
  <c r="C736" i="10"/>
  <c r="D736" i="10"/>
  <c r="C737" i="10"/>
  <c r="D737" i="10"/>
  <c r="C738" i="10"/>
  <c r="D738" i="10"/>
  <c r="C739" i="10"/>
  <c r="D739" i="10"/>
  <c r="C740" i="10"/>
  <c r="D740" i="10"/>
  <c r="C741" i="10"/>
  <c r="D741" i="10"/>
  <c r="C742" i="10"/>
  <c r="D742" i="10"/>
  <c r="C743" i="10"/>
  <c r="D743" i="10"/>
  <c r="C744" i="10"/>
  <c r="D744" i="10"/>
  <c r="C745" i="10"/>
  <c r="D745" i="10"/>
  <c r="C746" i="10"/>
  <c r="D746" i="10"/>
  <c r="C747" i="10"/>
  <c r="D747" i="10"/>
  <c r="C748" i="10"/>
  <c r="D748" i="10"/>
  <c r="C749" i="10"/>
  <c r="D749" i="10"/>
  <c r="C750" i="10"/>
  <c r="D750" i="10"/>
  <c r="C751" i="10"/>
  <c r="D751" i="10"/>
  <c r="C752" i="10"/>
  <c r="D752" i="10"/>
  <c r="C753" i="10"/>
  <c r="D753" i="10"/>
  <c r="C754" i="10"/>
  <c r="D754" i="10"/>
  <c r="C755" i="10"/>
  <c r="D755" i="10"/>
  <c r="C756" i="10"/>
  <c r="D756" i="10"/>
  <c r="C757" i="10"/>
  <c r="D757" i="10"/>
  <c r="C758" i="10"/>
  <c r="D758" i="10"/>
  <c r="C759" i="10"/>
  <c r="D759" i="10"/>
  <c r="C760" i="10"/>
  <c r="D760" i="10"/>
  <c r="C761" i="10"/>
  <c r="D761" i="10"/>
  <c r="C762" i="10"/>
  <c r="D762" i="10"/>
  <c r="C763" i="10"/>
  <c r="D763" i="10"/>
  <c r="C764" i="10"/>
  <c r="D764" i="10"/>
  <c r="C765" i="10"/>
  <c r="D765" i="10"/>
  <c r="C766" i="10"/>
  <c r="D766" i="10"/>
  <c r="C767" i="10"/>
  <c r="D767" i="10"/>
  <c r="C768" i="10"/>
  <c r="D768" i="10"/>
  <c r="C769" i="10"/>
  <c r="D769" i="10"/>
  <c r="C770" i="10"/>
  <c r="D770" i="10"/>
  <c r="C771" i="10"/>
  <c r="D771" i="10"/>
  <c r="C772" i="10"/>
  <c r="D772" i="10"/>
  <c r="C773" i="10"/>
  <c r="D773" i="10"/>
  <c r="C774" i="10"/>
  <c r="D774" i="10"/>
  <c r="C775" i="10"/>
  <c r="D775" i="10"/>
  <c r="C776" i="10"/>
  <c r="D776" i="10"/>
  <c r="C777" i="10"/>
  <c r="D777" i="10"/>
  <c r="C778" i="10"/>
  <c r="D778" i="10"/>
  <c r="C779" i="10"/>
  <c r="D779" i="10"/>
  <c r="C780" i="10"/>
  <c r="D780" i="10"/>
  <c r="C781" i="10"/>
  <c r="D781" i="10"/>
  <c r="C782" i="10"/>
  <c r="D782" i="10"/>
  <c r="C783" i="10"/>
  <c r="D783" i="10"/>
  <c r="C784" i="10"/>
  <c r="D784" i="10"/>
  <c r="C785" i="10"/>
  <c r="D785" i="10"/>
  <c r="C786" i="10"/>
  <c r="D786" i="10"/>
  <c r="C787" i="10"/>
  <c r="D787" i="10"/>
  <c r="C788" i="10"/>
  <c r="D788" i="10"/>
  <c r="C789" i="10"/>
  <c r="D789" i="10"/>
  <c r="C790" i="10"/>
  <c r="D790" i="10"/>
  <c r="C791" i="10"/>
  <c r="D791" i="10"/>
  <c r="C792" i="10"/>
  <c r="D792" i="10"/>
  <c r="C793" i="10"/>
  <c r="D793" i="10"/>
  <c r="C794" i="10"/>
  <c r="D794" i="10"/>
  <c r="C795" i="10"/>
  <c r="D795" i="10"/>
  <c r="C796" i="10"/>
  <c r="D796" i="10"/>
  <c r="C797" i="10"/>
  <c r="D797" i="10"/>
  <c r="C798" i="10"/>
  <c r="D798" i="10"/>
  <c r="C799" i="10"/>
  <c r="D799" i="10"/>
  <c r="C800" i="10"/>
  <c r="D800" i="10"/>
  <c r="C801" i="10"/>
  <c r="D801" i="10"/>
  <c r="C802" i="10"/>
  <c r="D802" i="10"/>
  <c r="C803" i="10"/>
  <c r="D803" i="10"/>
  <c r="C804" i="10"/>
  <c r="D804" i="10"/>
  <c r="C805" i="10"/>
  <c r="D805" i="10"/>
  <c r="C806" i="10"/>
  <c r="D806" i="10"/>
  <c r="C807" i="10"/>
  <c r="D807" i="10"/>
  <c r="C808" i="10"/>
  <c r="D808" i="10"/>
  <c r="C809" i="10"/>
  <c r="D809" i="10"/>
  <c r="C810" i="10"/>
  <c r="D810" i="10"/>
  <c r="C811" i="10"/>
  <c r="D811" i="10"/>
  <c r="C812" i="10"/>
  <c r="D812" i="10"/>
  <c r="C813" i="10"/>
  <c r="D813" i="10"/>
  <c r="C814" i="10"/>
  <c r="D814" i="10"/>
  <c r="C815" i="10"/>
  <c r="D815" i="10"/>
  <c r="C816" i="10"/>
  <c r="D816" i="10"/>
  <c r="C817" i="10"/>
  <c r="D817" i="10"/>
  <c r="C818" i="10"/>
  <c r="D818" i="10"/>
  <c r="C819" i="10"/>
  <c r="D819" i="10"/>
  <c r="C820" i="10"/>
  <c r="D820" i="10"/>
  <c r="C821" i="10"/>
  <c r="D821" i="10"/>
  <c r="C822" i="10"/>
  <c r="D822" i="10"/>
  <c r="C823" i="10"/>
  <c r="D823" i="10"/>
  <c r="C824" i="10"/>
  <c r="D824" i="10"/>
  <c r="C825" i="10"/>
  <c r="D825" i="10"/>
  <c r="C826" i="10"/>
  <c r="D826" i="10"/>
  <c r="C827" i="10"/>
  <c r="D827" i="10"/>
  <c r="C828" i="10"/>
  <c r="D828" i="10"/>
  <c r="C829" i="10"/>
  <c r="D829" i="10"/>
  <c r="C830" i="10"/>
  <c r="D830" i="10"/>
  <c r="C831" i="10"/>
  <c r="D831" i="10"/>
  <c r="C832" i="10"/>
  <c r="D832" i="10"/>
  <c r="C833" i="10"/>
  <c r="D833" i="10"/>
  <c r="C834" i="10"/>
  <c r="D834" i="10"/>
  <c r="C835" i="10"/>
  <c r="D835" i="10"/>
  <c r="C836" i="10"/>
  <c r="D836" i="10"/>
  <c r="C837" i="10"/>
  <c r="D837" i="10"/>
  <c r="C838" i="10"/>
  <c r="D838" i="10"/>
  <c r="C839" i="10"/>
  <c r="D839" i="10"/>
  <c r="C840" i="10"/>
  <c r="D840" i="10"/>
  <c r="C841" i="10"/>
  <c r="D841" i="10"/>
  <c r="C842" i="10"/>
  <c r="D842" i="10"/>
  <c r="C843" i="10"/>
  <c r="D843" i="10"/>
  <c r="C844" i="10"/>
  <c r="D844" i="10"/>
  <c r="C845" i="10"/>
  <c r="D845" i="10"/>
  <c r="C846" i="10"/>
  <c r="D846" i="10"/>
  <c r="C847" i="10"/>
  <c r="D847" i="10"/>
  <c r="C848" i="10"/>
  <c r="D848" i="10"/>
  <c r="C849" i="10"/>
  <c r="D849" i="10"/>
  <c r="C850" i="10"/>
  <c r="D850" i="10"/>
  <c r="C851" i="10"/>
  <c r="D851" i="10"/>
  <c r="C852" i="10"/>
  <c r="D852" i="10"/>
  <c r="C853" i="10"/>
  <c r="D853" i="10"/>
  <c r="C854" i="10"/>
  <c r="D854" i="10"/>
  <c r="C855" i="10"/>
  <c r="D855" i="10"/>
  <c r="C856" i="10"/>
  <c r="D856" i="10"/>
  <c r="C857" i="10"/>
  <c r="D857" i="10"/>
  <c r="C858" i="10"/>
  <c r="D858" i="10"/>
  <c r="C859" i="10"/>
  <c r="D859" i="10"/>
  <c r="C860" i="10"/>
  <c r="D860" i="10"/>
  <c r="C861" i="10"/>
  <c r="D861" i="10"/>
  <c r="C862" i="10"/>
  <c r="D862" i="10"/>
  <c r="C863" i="10"/>
  <c r="D863" i="10"/>
  <c r="C864" i="10"/>
  <c r="D864" i="10"/>
  <c r="C865" i="10"/>
  <c r="D865" i="10"/>
  <c r="C866" i="10"/>
  <c r="D866" i="10"/>
  <c r="C867" i="10"/>
  <c r="D867" i="10"/>
  <c r="C868" i="10"/>
  <c r="D868" i="10"/>
  <c r="C869" i="10"/>
  <c r="D869" i="10"/>
  <c r="C870" i="10"/>
  <c r="D870" i="10"/>
  <c r="C871" i="10"/>
  <c r="D871" i="10"/>
  <c r="C872" i="10"/>
  <c r="D872" i="10"/>
  <c r="C873" i="10"/>
  <c r="D873" i="10"/>
  <c r="C874" i="10"/>
  <c r="D874" i="10"/>
  <c r="C875" i="10"/>
  <c r="D875" i="10"/>
  <c r="C876" i="10"/>
  <c r="D876" i="10"/>
  <c r="C877" i="10"/>
  <c r="D877" i="10"/>
  <c r="C878" i="10"/>
  <c r="D878" i="10"/>
  <c r="C879" i="10"/>
  <c r="D879" i="10"/>
  <c r="C880" i="10"/>
  <c r="D880" i="10"/>
  <c r="C881" i="10"/>
  <c r="D881" i="10"/>
  <c r="C882" i="10"/>
  <c r="D882" i="10"/>
  <c r="C883" i="10"/>
  <c r="D883" i="10"/>
  <c r="C884" i="10"/>
  <c r="D884" i="10"/>
  <c r="C885" i="10"/>
  <c r="D885" i="10"/>
  <c r="C886" i="10"/>
  <c r="D886" i="10"/>
  <c r="C887" i="10"/>
  <c r="D887" i="10"/>
  <c r="C888" i="10"/>
  <c r="D888" i="10"/>
  <c r="C889" i="10"/>
  <c r="D889" i="10"/>
  <c r="C890" i="10"/>
  <c r="D890" i="10"/>
  <c r="C891" i="10"/>
  <c r="D891" i="10"/>
  <c r="C892" i="10"/>
  <c r="D892" i="10"/>
  <c r="C893" i="10"/>
  <c r="D893" i="10"/>
  <c r="C894" i="10"/>
  <c r="D894" i="10"/>
  <c r="C895" i="10"/>
  <c r="D895" i="10"/>
  <c r="C896" i="10"/>
  <c r="D896" i="10"/>
  <c r="C897" i="10"/>
  <c r="D897" i="10"/>
  <c r="C898" i="10"/>
  <c r="D898" i="10"/>
  <c r="C899" i="10"/>
  <c r="D899" i="10"/>
  <c r="C900" i="10"/>
  <c r="D900" i="10"/>
  <c r="C901" i="10"/>
  <c r="D901" i="10"/>
  <c r="C902" i="10"/>
  <c r="D902" i="10"/>
  <c r="C903" i="10"/>
  <c r="D903" i="10"/>
  <c r="C904" i="10"/>
  <c r="D904" i="10"/>
  <c r="C905" i="10"/>
  <c r="D905" i="10"/>
  <c r="C906" i="10"/>
  <c r="D906" i="10"/>
  <c r="C907" i="10"/>
  <c r="D907" i="10"/>
  <c r="C908" i="10"/>
  <c r="D908" i="10"/>
  <c r="C909" i="10"/>
  <c r="D909" i="10"/>
  <c r="C910" i="10"/>
  <c r="D910" i="10"/>
  <c r="C911" i="10"/>
  <c r="D911" i="10"/>
  <c r="C912" i="10"/>
  <c r="D912" i="10"/>
  <c r="C913" i="10"/>
  <c r="D913" i="10"/>
  <c r="C914" i="10"/>
  <c r="D914" i="10"/>
  <c r="C915" i="10"/>
  <c r="D915" i="10"/>
  <c r="C916" i="10"/>
  <c r="D916" i="10"/>
  <c r="C917" i="10"/>
  <c r="D917" i="10"/>
  <c r="C918" i="10"/>
  <c r="D918" i="10"/>
  <c r="C919" i="10"/>
  <c r="D919" i="10"/>
  <c r="C920" i="10"/>
  <c r="D920" i="10"/>
  <c r="C921" i="10"/>
  <c r="D921" i="10"/>
  <c r="C922" i="10"/>
  <c r="D922" i="10"/>
  <c r="C923" i="10"/>
  <c r="D923" i="10"/>
  <c r="C924" i="10"/>
  <c r="D924" i="10"/>
  <c r="C925" i="10"/>
  <c r="D925" i="10"/>
  <c r="C926" i="10"/>
  <c r="D926" i="10"/>
  <c r="C927" i="10"/>
  <c r="D927" i="10"/>
  <c r="C928" i="10"/>
  <c r="D928" i="10"/>
  <c r="C929" i="10"/>
  <c r="D929" i="10"/>
  <c r="C930" i="10"/>
  <c r="D930" i="10"/>
  <c r="C931" i="10"/>
  <c r="D931" i="10"/>
  <c r="C932" i="10"/>
  <c r="D932" i="10"/>
  <c r="C933" i="10"/>
  <c r="D933" i="10"/>
  <c r="C934" i="10"/>
  <c r="D934" i="10"/>
  <c r="C935" i="10"/>
  <c r="D935" i="10"/>
  <c r="C936" i="10"/>
  <c r="D936" i="10"/>
  <c r="C937" i="10"/>
  <c r="D937" i="10"/>
  <c r="C938" i="10"/>
  <c r="D938" i="10"/>
  <c r="C939" i="10"/>
  <c r="D939" i="10"/>
  <c r="C940" i="10"/>
  <c r="D940" i="10"/>
  <c r="C941" i="10"/>
  <c r="D941" i="10"/>
  <c r="C942" i="10"/>
  <c r="D942" i="10"/>
  <c r="C943" i="10"/>
  <c r="D943" i="10"/>
  <c r="C944" i="10"/>
  <c r="D944" i="10"/>
  <c r="C945" i="10"/>
  <c r="D945" i="10"/>
  <c r="C946" i="10"/>
  <c r="D946" i="10"/>
  <c r="C947" i="10"/>
  <c r="D947" i="10"/>
  <c r="C948" i="10"/>
  <c r="D948" i="10"/>
  <c r="C949" i="10"/>
  <c r="D949" i="10"/>
  <c r="C950" i="10"/>
  <c r="D950" i="10"/>
  <c r="C951" i="10"/>
  <c r="D951" i="10"/>
  <c r="C952" i="10"/>
  <c r="D952" i="10"/>
  <c r="C953" i="10"/>
  <c r="D953" i="10"/>
  <c r="C954" i="10"/>
  <c r="D954" i="10"/>
  <c r="C955" i="10"/>
  <c r="D955" i="10"/>
  <c r="C956" i="10"/>
  <c r="D956" i="10"/>
  <c r="C957" i="10"/>
  <c r="D957" i="10"/>
  <c r="C958" i="10"/>
  <c r="D958" i="10"/>
  <c r="C959" i="10"/>
  <c r="D959" i="10"/>
  <c r="C960" i="10"/>
  <c r="D960" i="10"/>
  <c r="C961" i="10"/>
  <c r="D961" i="10"/>
  <c r="C962" i="10"/>
  <c r="D962" i="10"/>
  <c r="C963" i="10"/>
  <c r="D963" i="10"/>
  <c r="C964" i="10"/>
  <c r="D964" i="10"/>
  <c r="C965" i="10"/>
  <c r="D965" i="10"/>
  <c r="C966" i="10"/>
  <c r="D966" i="10"/>
  <c r="C967" i="10"/>
  <c r="D967" i="10"/>
  <c r="C968" i="10"/>
  <c r="D968" i="10"/>
  <c r="C969" i="10"/>
  <c r="D969" i="10"/>
  <c r="C970" i="10"/>
  <c r="D970" i="10"/>
  <c r="C971" i="10"/>
  <c r="D971" i="10"/>
  <c r="C972" i="10"/>
  <c r="D972" i="10"/>
  <c r="C973" i="10"/>
  <c r="D973" i="10"/>
  <c r="C974" i="10"/>
  <c r="D974" i="10"/>
  <c r="C975" i="10"/>
  <c r="D975" i="10"/>
  <c r="C976" i="10"/>
  <c r="D976" i="10"/>
  <c r="C977" i="10"/>
  <c r="D977" i="10"/>
  <c r="C978" i="10"/>
  <c r="D978" i="10"/>
  <c r="C979" i="10"/>
  <c r="D979" i="10"/>
  <c r="C980" i="10"/>
  <c r="D980" i="10"/>
  <c r="C981" i="10"/>
  <c r="D981" i="10"/>
  <c r="C982" i="10"/>
  <c r="D982" i="10"/>
  <c r="C983" i="10"/>
  <c r="D983" i="10"/>
  <c r="C984" i="10"/>
  <c r="D984" i="10"/>
  <c r="C985" i="10"/>
  <c r="D985" i="10"/>
  <c r="C986" i="10"/>
  <c r="D986" i="10"/>
  <c r="C987" i="10"/>
  <c r="D987" i="10"/>
  <c r="C988" i="10"/>
  <c r="D988" i="10"/>
  <c r="C989" i="10"/>
  <c r="D989" i="10"/>
  <c r="C990" i="10"/>
  <c r="D990" i="10"/>
  <c r="C991" i="10"/>
  <c r="D991" i="10"/>
  <c r="C992" i="10"/>
  <c r="D992" i="10"/>
  <c r="C993" i="10"/>
  <c r="D993" i="10"/>
  <c r="C994" i="10"/>
  <c r="D994" i="10"/>
  <c r="C995" i="10"/>
  <c r="D995" i="10"/>
  <c r="C996" i="10"/>
  <c r="D996" i="10"/>
  <c r="C997" i="10"/>
  <c r="D997" i="10"/>
  <c r="C998" i="10"/>
  <c r="D998" i="10"/>
  <c r="C999" i="10"/>
  <c r="D999" i="10"/>
  <c r="C1000" i="10"/>
  <c r="D1000" i="10"/>
  <c r="C1001" i="10"/>
  <c r="D1001" i="10"/>
  <c r="C1002" i="10"/>
  <c r="D1002" i="10"/>
  <c r="C1003" i="10"/>
  <c r="D1003" i="10"/>
  <c r="C1004" i="10"/>
  <c r="D1004" i="10"/>
  <c r="C1005" i="10"/>
  <c r="D1005" i="10"/>
  <c r="C1006" i="10"/>
  <c r="D1006" i="10"/>
  <c r="C1007" i="10"/>
  <c r="D1007" i="10"/>
  <c r="C1008" i="10"/>
  <c r="D1008" i="10"/>
  <c r="C1009" i="10"/>
  <c r="D1009" i="10"/>
  <c r="C1010" i="10"/>
  <c r="D1010" i="10"/>
  <c r="C1011" i="10"/>
  <c r="D1011" i="10"/>
  <c r="C1012" i="10"/>
  <c r="D1012" i="10"/>
  <c r="C1013" i="10"/>
  <c r="D1013" i="10"/>
  <c r="C1014" i="10"/>
  <c r="D1014" i="10"/>
  <c r="C1015" i="10"/>
  <c r="D1015" i="10"/>
  <c r="C1016" i="10"/>
  <c r="D1016" i="10"/>
  <c r="C1017" i="10"/>
  <c r="D1017" i="10"/>
  <c r="C1018" i="10"/>
  <c r="D1018" i="10"/>
  <c r="C1019" i="10"/>
  <c r="D1019" i="10"/>
  <c r="C1020" i="10"/>
  <c r="D1020" i="10"/>
  <c r="C1021" i="10"/>
  <c r="D1021" i="10"/>
  <c r="C1022" i="10"/>
  <c r="D1022" i="10"/>
  <c r="C1023" i="10"/>
  <c r="D1023" i="10"/>
  <c r="C1024" i="10"/>
  <c r="D1024" i="10"/>
  <c r="C1025" i="10"/>
  <c r="D1025" i="10"/>
  <c r="C1026" i="10"/>
  <c r="D1026" i="10"/>
  <c r="C1027" i="10"/>
  <c r="D1027" i="10"/>
  <c r="C1028" i="10"/>
  <c r="D1028" i="10"/>
  <c r="C1029" i="10"/>
  <c r="D1029" i="10"/>
  <c r="C1030" i="10"/>
  <c r="D1030" i="10"/>
  <c r="C1031" i="10"/>
  <c r="D1031" i="10"/>
  <c r="C1032" i="10"/>
  <c r="D1032" i="10"/>
  <c r="C1033" i="10"/>
  <c r="D1033" i="10"/>
  <c r="C1034" i="10"/>
  <c r="D1034" i="10"/>
  <c r="C1035" i="10"/>
  <c r="D1035" i="10"/>
  <c r="C1036" i="10"/>
  <c r="D1036" i="10"/>
  <c r="C1037" i="10"/>
  <c r="D1037" i="10"/>
  <c r="C1038" i="10"/>
  <c r="D1038" i="10"/>
  <c r="C1039" i="10"/>
  <c r="D1039" i="10"/>
  <c r="C1040" i="10"/>
  <c r="D1040" i="10"/>
  <c r="C1041" i="10"/>
  <c r="D1041" i="10"/>
  <c r="C1042" i="10"/>
  <c r="D1042" i="10"/>
  <c r="C1043" i="10"/>
  <c r="D1043" i="10"/>
  <c r="C1044" i="10"/>
  <c r="D1044" i="10"/>
  <c r="C1045" i="10"/>
  <c r="D1045" i="10"/>
  <c r="C1046" i="10"/>
  <c r="D1046" i="10"/>
  <c r="C1047" i="10"/>
  <c r="D1047" i="10"/>
  <c r="C1048" i="10"/>
  <c r="D1048" i="10"/>
  <c r="C1049" i="10"/>
  <c r="D1049" i="10"/>
  <c r="C1050" i="10"/>
  <c r="D1050" i="10"/>
  <c r="C1051" i="10"/>
  <c r="D1051" i="10"/>
  <c r="C1052" i="10"/>
  <c r="D1052" i="10"/>
  <c r="C1053" i="10"/>
  <c r="D1053" i="10"/>
  <c r="C1054" i="10"/>
  <c r="D1054" i="10"/>
  <c r="C1055" i="10"/>
  <c r="D1055" i="10"/>
  <c r="C1056" i="10"/>
  <c r="D1056" i="10"/>
  <c r="C1057" i="10"/>
  <c r="D1057" i="10"/>
  <c r="C1058" i="10"/>
  <c r="D1058" i="10"/>
  <c r="C1059" i="10"/>
  <c r="D1059" i="10"/>
  <c r="C1060" i="10"/>
  <c r="D1060" i="10"/>
  <c r="C1061" i="10"/>
  <c r="D1061" i="10"/>
  <c r="C1062" i="10"/>
  <c r="D1062" i="10"/>
  <c r="C1063" i="10"/>
  <c r="D1063" i="10"/>
  <c r="C1064" i="10"/>
  <c r="D1064" i="10"/>
  <c r="C1065" i="10"/>
  <c r="D1065" i="10"/>
  <c r="C1066" i="10"/>
  <c r="D1066" i="10"/>
  <c r="C1067" i="10"/>
  <c r="D1067" i="10"/>
  <c r="C1068" i="10"/>
  <c r="D1068" i="10"/>
  <c r="C1069" i="10"/>
  <c r="D1069" i="10"/>
  <c r="C1070" i="10"/>
  <c r="D1070" i="10"/>
  <c r="C1071" i="10"/>
  <c r="D1071" i="10"/>
  <c r="C1072" i="10"/>
  <c r="D1072" i="10"/>
  <c r="C1073" i="10"/>
  <c r="D1073" i="10"/>
  <c r="C1074" i="10"/>
  <c r="D1074" i="10"/>
  <c r="C1075" i="10"/>
  <c r="D1075" i="10"/>
  <c r="C1076" i="10"/>
  <c r="D1076" i="10"/>
  <c r="C1077" i="10"/>
  <c r="D1077" i="10"/>
  <c r="C1078" i="10"/>
  <c r="D1078" i="10"/>
  <c r="C1079" i="10"/>
  <c r="D1079" i="10"/>
  <c r="C1080" i="10"/>
  <c r="D1080" i="10"/>
  <c r="C1081" i="10"/>
  <c r="D1081" i="10"/>
  <c r="C1082" i="10"/>
  <c r="D1082" i="10"/>
  <c r="C1083" i="10"/>
  <c r="D1083" i="10"/>
  <c r="C1084" i="10"/>
  <c r="D1084" i="10"/>
  <c r="C1085" i="10"/>
  <c r="D1085" i="10"/>
  <c r="C1086" i="10"/>
  <c r="D1086" i="10"/>
  <c r="C1087" i="10"/>
  <c r="D1087" i="10"/>
  <c r="C1088" i="10"/>
  <c r="D1088" i="10"/>
  <c r="C1089" i="10"/>
  <c r="D1089" i="10"/>
  <c r="C1090" i="10"/>
  <c r="D1090" i="10"/>
  <c r="C1091" i="10"/>
  <c r="D1091" i="10"/>
  <c r="C1092" i="10"/>
  <c r="D1092" i="10"/>
  <c r="C1093" i="10"/>
  <c r="D1093" i="10"/>
  <c r="C1094" i="10"/>
  <c r="D1094" i="10"/>
  <c r="C1095" i="10"/>
  <c r="D1095" i="10"/>
  <c r="C1096" i="10"/>
  <c r="D1096" i="10"/>
  <c r="C1097" i="10"/>
  <c r="D1097" i="10"/>
  <c r="C1098" i="10"/>
  <c r="D1098" i="10"/>
  <c r="C1099" i="10"/>
  <c r="D1099" i="10"/>
  <c r="C1100" i="10"/>
  <c r="D1100" i="10"/>
  <c r="C1101" i="10"/>
  <c r="D1101" i="10"/>
  <c r="C1102" i="10"/>
  <c r="D1102" i="10"/>
  <c r="C1103" i="10"/>
  <c r="D1103" i="10"/>
  <c r="C1104" i="10"/>
  <c r="D1104" i="10"/>
  <c r="C1105" i="10"/>
  <c r="D1105" i="10"/>
  <c r="C1106" i="10"/>
  <c r="D1106" i="10"/>
  <c r="C1107" i="10"/>
  <c r="D1107" i="10"/>
  <c r="C1108" i="10"/>
  <c r="D1108" i="10"/>
  <c r="C1109" i="10"/>
  <c r="D1109" i="10"/>
  <c r="C1110" i="10"/>
  <c r="D1110" i="10"/>
  <c r="C1111" i="10"/>
  <c r="D1111" i="10"/>
  <c r="C1112" i="10"/>
  <c r="D1112" i="10"/>
  <c r="C1113" i="10"/>
  <c r="D1113" i="10"/>
  <c r="C1114" i="10"/>
  <c r="D1114" i="10"/>
  <c r="C1115" i="10"/>
  <c r="D1115" i="10"/>
  <c r="C1116" i="10"/>
  <c r="D1116" i="10"/>
  <c r="C1117" i="10"/>
  <c r="D1117" i="10"/>
  <c r="C1118" i="10"/>
  <c r="D1118" i="10"/>
  <c r="C1119" i="10"/>
  <c r="D1119" i="10"/>
  <c r="C1120" i="10"/>
  <c r="D1120" i="10"/>
  <c r="C1121" i="10"/>
  <c r="D1121" i="10"/>
  <c r="C1122" i="10"/>
  <c r="D1122" i="10"/>
  <c r="C1123" i="10"/>
  <c r="D1123" i="10"/>
  <c r="C1124" i="10"/>
  <c r="D1124" i="10"/>
  <c r="C1125" i="10"/>
  <c r="D1125" i="10"/>
  <c r="C1126" i="10"/>
  <c r="D1126" i="10"/>
  <c r="C1127" i="10"/>
  <c r="D1127" i="10"/>
  <c r="C1128" i="10"/>
  <c r="D1128" i="10"/>
  <c r="C1129" i="10"/>
  <c r="D1129" i="10"/>
  <c r="C1130" i="10"/>
  <c r="D1130" i="10"/>
  <c r="C1131" i="10"/>
  <c r="D1131" i="10"/>
  <c r="C1132" i="10"/>
  <c r="D1132" i="10"/>
  <c r="C1133" i="10"/>
  <c r="D1133" i="10"/>
  <c r="C1134" i="10"/>
  <c r="D1134" i="10"/>
  <c r="C1135" i="10"/>
  <c r="D1135" i="10"/>
  <c r="C1136" i="10"/>
  <c r="D1136" i="10"/>
  <c r="C1137" i="10"/>
  <c r="D1137" i="10"/>
  <c r="C1138" i="10"/>
  <c r="D1138" i="10"/>
  <c r="C1139" i="10"/>
  <c r="D1139" i="10"/>
  <c r="C1140" i="10"/>
  <c r="D1140" i="10"/>
  <c r="C1141" i="10"/>
  <c r="D1141" i="10"/>
  <c r="C1142" i="10"/>
  <c r="D1142" i="10"/>
  <c r="C1143" i="10"/>
  <c r="D1143" i="10"/>
  <c r="C1144" i="10"/>
  <c r="D1144" i="10"/>
  <c r="C1145" i="10"/>
  <c r="D1145" i="10"/>
  <c r="C1146" i="10"/>
  <c r="D1146" i="10"/>
  <c r="C1147" i="10"/>
  <c r="D1147" i="10"/>
  <c r="C1148" i="10"/>
  <c r="D1148" i="10"/>
  <c r="C1149" i="10"/>
  <c r="D1149" i="10"/>
  <c r="C1150" i="10"/>
  <c r="D1150" i="10"/>
  <c r="C1151" i="10"/>
  <c r="D1151" i="10"/>
  <c r="C1152" i="10"/>
  <c r="D1152" i="10"/>
  <c r="C1153" i="10"/>
  <c r="D1153" i="10"/>
  <c r="C1154" i="10"/>
  <c r="D1154" i="10"/>
  <c r="C1155" i="10"/>
  <c r="D1155" i="10"/>
  <c r="C1156" i="10"/>
  <c r="D1156" i="10"/>
  <c r="C1157" i="10"/>
  <c r="D1157" i="10"/>
  <c r="C1158" i="10"/>
  <c r="D1158" i="10"/>
  <c r="C1159" i="10"/>
  <c r="D1159" i="10"/>
  <c r="C1160" i="10"/>
  <c r="D1160" i="10"/>
  <c r="C1161" i="10"/>
  <c r="D1161" i="10"/>
  <c r="C1162" i="10"/>
  <c r="D1162" i="10"/>
  <c r="C1163" i="10"/>
  <c r="D1163" i="10"/>
  <c r="C1164" i="10"/>
  <c r="D1164" i="10"/>
  <c r="C1165" i="10"/>
  <c r="D1165" i="10"/>
  <c r="C1166" i="10"/>
  <c r="D1166" i="10"/>
  <c r="C1167" i="10"/>
  <c r="D1167" i="10"/>
  <c r="C1168" i="10"/>
  <c r="D1168" i="10"/>
  <c r="C1169" i="10"/>
  <c r="D1169" i="10"/>
  <c r="C1170" i="10"/>
  <c r="D1170" i="10"/>
  <c r="C1171" i="10"/>
  <c r="D1171" i="10"/>
  <c r="C1172" i="10"/>
  <c r="D1172" i="10"/>
  <c r="C1173" i="10"/>
  <c r="D1173" i="10"/>
  <c r="C1174" i="10"/>
  <c r="D1174" i="10"/>
  <c r="C1175" i="10"/>
  <c r="D1175" i="10"/>
  <c r="C1176" i="10"/>
  <c r="D1176" i="10"/>
  <c r="C1177" i="10"/>
  <c r="D1177" i="10"/>
  <c r="C1178" i="10"/>
  <c r="D1178" i="10"/>
  <c r="C1179" i="10"/>
  <c r="D1179" i="10"/>
  <c r="C1180" i="10"/>
  <c r="D1180" i="10"/>
  <c r="C1181" i="10"/>
  <c r="D1181" i="10"/>
  <c r="C1182" i="10"/>
  <c r="D1182" i="10"/>
  <c r="C1183" i="10"/>
  <c r="D1183" i="10"/>
  <c r="C1184" i="10"/>
  <c r="D1184" i="10"/>
  <c r="C1185" i="10"/>
  <c r="D1185" i="10"/>
  <c r="C1186" i="10"/>
  <c r="D1186" i="10"/>
  <c r="C1187" i="10"/>
  <c r="D1187" i="10"/>
  <c r="C1188" i="10"/>
  <c r="D1188" i="10"/>
  <c r="C1189" i="10"/>
  <c r="D1189" i="10"/>
  <c r="C1190" i="10"/>
  <c r="D1190" i="10"/>
  <c r="C1191" i="10"/>
  <c r="D1191" i="10"/>
  <c r="C1192" i="10"/>
  <c r="D1192" i="10"/>
  <c r="C1193" i="10"/>
  <c r="D1193" i="10"/>
  <c r="C1194" i="10"/>
  <c r="D1194" i="10"/>
  <c r="C1195" i="10"/>
  <c r="D1195" i="10"/>
  <c r="C1196" i="10"/>
  <c r="D1196" i="10"/>
  <c r="C1197" i="10"/>
  <c r="D1197" i="10"/>
  <c r="C1198" i="10"/>
  <c r="D1198" i="10"/>
  <c r="C1199" i="10"/>
  <c r="D1199" i="10"/>
  <c r="C1200" i="10"/>
  <c r="D1200" i="10"/>
  <c r="C1201" i="10"/>
  <c r="D1201" i="10"/>
  <c r="C1202" i="10"/>
  <c r="D1202" i="10"/>
  <c r="C1203" i="10"/>
  <c r="D1203" i="10"/>
  <c r="C1204" i="10"/>
  <c r="D1204" i="10"/>
  <c r="C1205" i="10"/>
  <c r="D1205" i="10"/>
  <c r="C1206" i="10"/>
  <c r="D1206" i="10"/>
  <c r="C1207" i="10"/>
  <c r="D1207" i="10"/>
  <c r="C1208" i="10"/>
  <c r="D1208" i="10"/>
  <c r="C1209" i="10"/>
  <c r="D1209" i="10"/>
  <c r="C1210" i="10"/>
  <c r="D1210" i="10"/>
  <c r="C1211" i="10"/>
  <c r="D1211" i="10"/>
  <c r="C1212" i="10"/>
  <c r="D1212" i="10"/>
  <c r="C1213" i="10"/>
  <c r="D1213" i="10"/>
  <c r="C1214" i="10"/>
  <c r="D1214" i="10"/>
  <c r="C1215" i="10"/>
  <c r="D1215" i="10"/>
  <c r="C1216" i="10"/>
  <c r="D1216" i="10"/>
  <c r="C1217" i="10"/>
  <c r="D1217" i="10"/>
  <c r="C1218" i="10"/>
  <c r="D1218" i="10"/>
  <c r="C1219" i="10"/>
  <c r="D1219" i="10"/>
  <c r="C1220" i="10"/>
  <c r="D1220" i="10"/>
  <c r="C1221" i="10"/>
  <c r="D1221" i="10"/>
  <c r="C1222" i="10"/>
  <c r="D1222" i="10"/>
  <c r="C1223" i="10"/>
  <c r="D1223" i="10"/>
  <c r="C1224" i="10"/>
  <c r="D1224" i="10"/>
  <c r="C1225" i="10"/>
  <c r="D1225" i="10"/>
  <c r="C1226" i="10"/>
  <c r="D1226" i="10"/>
  <c r="C1227" i="10"/>
  <c r="D1227" i="10"/>
  <c r="C1228" i="10"/>
  <c r="D1228" i="10"/>
  <c r="C1229" i="10"/>
  <c r="D1229" i="10"/>
  <c r="C1230" i="10"/>
  <c r="D1230" i="10"/>
  <c r="C1231" i="10"/>
  <c r="D1231" i="10"/>
  <c r="C1232" i="10"/>
  <c r="D1232" i="10"/>
  <c r="C1233" i="10"/>
  <c r="D1233" i="10"/>
  <c r="C1234" i="10"/>
  <c r="D1234" i="10"/>
  <c r="C1235" i="10"/>
  <c r="D1235" i="10"/>
  <c r="C1236" i="10"/>
  <c r="D1236" i="10"/>
  <c r="C1237" i="10"/>
  <c r="D1237" i="10"/>
  <c r="C1238" i="10"/>
  <c r="D1238" i="10"/>
  <c r="C1239" i="10"/>
  <c r="D1239" i="10"/>
  <c r="C1240" i="10"/>
  <c r="D1240" i="10"/>
  <c r="C1241" i="10"/>
  <c r="D1241" i="10"/>
  <c r="C1242" i="10"/>
  <c r="D1242" i="10"/>
  <c r="C1243" i="10"/>
  <c r="D1243" i="10"/>
  <c r="C1244" i="10"/>
  <c r="D1244" i="10"/>
  <c r="C1245" i="10"/>
  <c r="D1245" i="10"/>
  <c r="C1246" i="10"/>
  <c r="D1246" i="10"/>
  <c r="C1247" i="10"/>
  <c r="D1247" i="10"/>
  <c r="C1248" i="10"/>
  <c r="D1248" i="10"/>
  <c r="C1249" i="10"/>
  <c r="D1249" i="10"/>
  <c r="C1250" i="10"/>
  <c r="D1250" i="10"/>
  <c r="C1251" i="10"/>
  <c r="D1251" i="10"/>
  <c r="C1252" i="10"/>
  <c r="D1252" i="10"/>
  <c r="C1253" i="10"/>
  <c r="D1253" i="10"/>
  <c r="C1254" i="10"/>
  <c r="D1254" i="10"/>
  <c r="C1255" i="10"/>
  <c r="D1255" i="10"/>
  <c r="C1256" i="10"/>
  <c r="D1256" i="10"/>
  <c r="C1257" i="10"/>
  <c r="D1257" i="10"/>
  <c r="C1258" i="10"/>
  <c r="D1258" i="10"/>
  <c r="C1259" i="10"/>
  <c r="D1259" i="10"/>
  <c r="C1260" i="10"/>
  <c r="D1260" i="10"/>
  <c r="C1261" i="10"/>
  <c r="D1261" i="10"/>
  <c r="C1262" i="10"/>
  <c r="D1262" i="10"/>
  <c r="C1263" i="10"/>
  <c r="D1263" i="10"/>
  <c r="C1264" i="10"/>
  <c r="D1264" i="10"/>
  <c r="C1265" i="10"/>
  <c r="D1265" i="10"/>
  <c r="C1266" i="10"/>
  <c r="D1266" i="10"/>
  <c r="C1267" i="10"/>
  <c r="D1267" i="10"/>
  <c r="C1268" i="10"/>
  <c r="D1268" i="10"/>
  <c r="C1269" i="10"/>
  <c r="D1269" i="10"/>
  <c r="C1270" i="10"/>
  <c r="D1270" i="10"/>
  <c r="C1271" i="10"/>
  <c r="D1271" i="10"/>
  <c r="C1272" i="10"/>
  <c r="D1272" i="10"/>
  <c r="C1273" i="10"/>
  <c r="D1273" i="10"/>
  <c r="C1274" i="10"/>
  <c r="D1274" i="10"/>
  <c r="C1275" i="10"/>
  <c r="D1275" i="10"/>
  <c r="C1276" i="10"/>
  <c r="D1276" i="10"/>
  <c r="C1277" i="10"/>
  <c r="D1277" i="10"/>
  <c r="C1278" i="10"/>
  <c r="D1278" i="10"/>
  <c r="C1279" i="10"/>
  <c r="D1279" i="10"/>
  <c r="C1280" i="10"/>
  <c r="D1280" i="10"/>
  <c r="C1281" i="10"/>
  <c r="D1281" i="10"/>
  <c r="C1282" i="10"/>
  <c r="D1282" i="10"/>
  <c r="C1283" i="10"/>
  <c r="D1283" i="10"/>
  <c r="C1284" i="10"/>
  <c r="D1284" i="10"/>
  <c r="C1285" i="10"/>
  <c r="D1285" i="10"/>
  <c r="C1286" i="10"/>
  <c r="D1286" i="10"/>
  <c r="C1287" i="10"/>
  <c r="D1287" i="10"/>
  <c r="C1288" i="10"/>
  <c r="D1288" i="10"/>
  <c r="C1289" i="10"/>
  <c r="D1289" i="10"/>
  <c r="C1290" i="10"/>
  <c r="D1290" i="10"/>
  <c r="C1291" i="10"/>
  <c r="D1291" i="10"/>
  <c r="C1292" i="10"/>
  <c r="D1292" i="10"/>
  <c r="C1293" i="10"/>
  <c r="D1293" i="10"/>
  <c r="C1294" i="10"/>
  <c r="D1294" i="10"/>
  <c r="C1295" i="10"/>
  <c r="D1295" i="10"/>
  <c r="C1296" i="10"/>
  <c r="D1296" i="10"/>
  <c r="C1297" i="10"/>
  <c r="D1297" i="10"/>
  <c r="C1298" i="10"/>
  <c r="D1298" i="10"/>
  <c r="C1299" i="10"/>
  <c r="D1299" i="10"/>
  <c r="C1300" i="10"/>
  <c r="D1300" i="10"/>
  <c r="C1301" i="10"/>
  <c r="D1301" i="10"/>
  <c r="C1302" i="10"/>
  <c r="D1302" i="10"/>
  <c r="C1303" i="10"/>
  <c r="D1303" i="10"/>
  <c r="C1304" i="10"/>
  <c r="D1304" i="10"/>
  <c r="C1305" i="10"/>
  <c r="D1305" i="10"/>
  <c r="C1306" i="10"/>
  <c r="D1306" i="10"/>
  <c r="C1307" i="10"/>
  <c r="D1307" i="10"/>
  <c r="C1308" i="10"/>
  <c r="D1308" i="10"/>
  <c r="C1309" i="10"/>
  <c r="D1309" i="10"/>
  <c r="C1310" i="10"/>
  <c r="D1310" i="10"/>
  <c r="C1311" i="10"/>
  <c r="D1311" i="10"/>
  <c r="C1312" i="10"/>
  <c r="D1312" i="10"/>
  <c r="C1313" i="10"/>
  <c r="D1313" i="10"/>
  <c r="C1314" i="10"/>
  <c r="D1314" i="10"/>
  <c r="C1315" i="10"/>
  <c r="D1315" i="10"/>
  <c r="C1316" i="10"/>
  <c r="D1316" i="10"/>
  <c r="C1317" i="10"/>
  <c r="D1317" i="10"/>
  <c r="C1318" i="10"/>
  <c r="D1318" i="10"/>
  <c r="C1319" i="10"/>
  <c r="D1319" i="10"/>
  <c r="C1320" i="10"/>
  <c r="D1320" i="10"/>
  <c r="C1321" i="10"/>
  <c r="D1321" i="10"/>
  <c r="C1322" i="10"/>
  <c r="D1322" i="10"/>
  <c r="C1323" i="10"/>
  <c r="D1323" i="10"/>
  <c r="C1324" i="10"/>
  <c r="D1324" i="10"/>
  <c r="C1325" i="10"/>
  <c r="D1325" i="10"/>
  <c r="C1326" i="10"/>
  <c r="D1326" i="10"/>
  <c r="C1327" i="10"/>
  <c r="D1327" i="10"/>
  <c r="C1328" i="10"/>
  <c r="D1328" i="10"/>
  <c r="C1329" i="10"/>
  <c r="D1329" i="10"/>
  <c r="C1330" i="10"/>
  <c r="D1330" i="10"/>
  <c r="C1331" i="10"/>
  <c r="D1331" i="10"/>
  <c r="C1332" i="10"/>
  <c r="D1332" i="10"/>
  <c r="C1333" i="10"/>
  <c r="D1333" i="10"/>
  <c r="C1334" i="10"/>
  <c r="D1334" i="10"/>
  <c r="C1335" i="10"/>
  <c r="D1335" i="10"/>
  <c r="C1336" i="10"/>
  <c r="D1336" i="10"/>
  <c r="C1337" i="10"/>
  <c r="D1337" i="10"/>
  <c r="C1338" i="10"/>
  <c r="D1338" i="10"/>
  <c r="C1339" i="10"/>
  <c r="D1339" i="10"/>
  <c r="C1340" i="10"/>
  <c r="D1340" i="10"/>
  <c r="C1341" i="10"/>
  <c r="D1341" i="10"/>
  <c r="C1342" i="10"/>
  <c r="D1342" i="10"/>
  <c r="C1343" i="10"/>
  <c r="D1343" i="10"/>
  <c r="C1344" i="10"/>
  <c r="D1344" i="10"/>
  <c r="C1345" i="10"/>
  <c r="D1345" i="10"/>
  <c r="C1346" i="10"/>
  <c r="D1346" i="10"/>
  <c r="C1347" i="10"/>
  <c r="D1347" i="10"/>
  <c r="C1348" i="10"/>
  <c r="D1348" i="10"/>
  <c r="C1349" i="10"/>
  <c r="D1349" i="10"/>
  <c r="C1350" i="10"/>
  <c r="D1350" i="10"/>
  <c r="C1351" i="10"/>
  <c r="D1351" i="10"/>
  <c r="C1352" i="10"/>
  <c r="D1352" i="10"/>
  <c r="C1353" i="10"/>
  <c r="D1353" i="10"/>
  <c r="C1354" i="10"/>
  <c r="D1354" i="10"/>
  <c r="C1355" i="10"/>
  <c r="D1355" i="10"/>
  <c r="C1356" i="10"/>
  <c r="D1356" i="10"/>
  <c r="D4" i="6"/>
  <c r="C24" i="6"/>
  <c r="C27" i="6" s="1"/>
  <c r="C28" i="6" s="1"/>
  <c r="E29" i="6" l="1"/>
  <c r="C29" i="6"/>
  <c r="C30" i="6"/>
  <c r="E30" i="6"/>
  <c r="E31" i="6" l="1"/>
  <c r="C31" i="6"/>
  <c r="C32" i="6" l="1"/>
  <c r="E32" i="6"/>
  <c r="C33" i="6" l="1"/>
  <c r="E33" i="6"/>
  <c r="E34" i="6" l="1"/>
  <c r="C34" i="6"/>
  <c r="C35" i="6" l="1"/>
  <c r="E35" i="6"/>
  <c r="E36" i="6" l="1"/>
  <c r="C36" i="6"/>
  <c r="C37" i="6" l="1"/>
  <c r="E37" i="6"/>
  <c r="C38" i="6" l="1"/>
  <c r="E38" i="6"/>
  <c r="E39" i="6" l="1"/>
  <c r="C39" i="6"/>
  <c r="C40" i="6" l="1"/>
  <c r="E40" i="6"/>
  <c r="C41" i="6" l="1"/>
  <c r="E41" i="6"/>
  <c r="C42" i="6" l="1"/>
  <c r="E42" i="6"/>
  <c r="C43" i="6" l="1"/>
  <c r="E43" i="6"/>
  <c r="C44" i="6" l="1"/>
  <c r="E44" i="6"/>
  <c r="C45" i="6" l="1"/>
  <c r="E45" i="6"/>
  <c r="E46" i="6" l="1"/>
  <c r="C46" i="6"/>
  <c r="C47" i="6" l="1"/>
  <c r="E47" i="6"/>
  <c r="C48" i="6" l="1"/>
  <c r="E48" i="6"/>
  <c r="C49" i="6" l="1"/>
  <c r="E49" i="6"/>
  <c r="C50" i="6" l="1"/>
  <c r="E50" i="6"/>
  <c r="E51" i="6" l="1"/>
  <c r="C51" i="6"/>
  <c r="C52" i="6" l="1"/>
  <c r="E52" i="6"/>
  <c r="C53" i="6" l="1"/>
  <c r="E53" i="6"/>
  <c r="C54" i="6" l="1"/>
  <c r="E54" i="6"/>
  <c r="E55" i="6" l="1"/>
  <c r="C55" i="6"/>
  <c r="E56" i="6" l="1"/>
  <c r="C56" i="6"/>
  <c r="C57" i="6" l="1"/>
  <c r="E57" i="6"/>
  <c r="C58" i="6" l="1"/>
  <c r="E58" i="6"/>
  <c r="E59" i="6" l="1"/>
  <c r="C59" i="6"/>
  <c r="C60" i="6" l="1"/>
  <c r="E60" i="6"/>
  <c r="E61" i="6" l="1"/>
  <c r="C61" i="6"/>
  <c r="C62" i="6" l="1"/>
  <c r="E62" i="6"/>
  <c r="C63" i="6" l="1"/>
  <c r="E63" i="6"/>
  <c r="E64" i="6" l="1"/>
  <c r="C64" i="6"/>
  <c r="C65" i="6" l="1"/>
  <c r="E65" i="6"/>
  <c r="E66" i="6" l="1"/>
  <c r="C66" i="6"/>
  <c r="C67" i="6" l="1"/>
  <c r="E67" i="6"/>
  <c r="E68" i="6" l="1"/>
  <c r="C68" i="6"/>
  <c r="C69" i="6" l="1"/>
  <c r="E69" i="6"/>
  <c r="C70" i="6" l="1"/>
  <c r="E70" i="6"/>
  <c r="E71" i="6" l="1"/>
  <c r="C71" i="6"/>
  <c r="C72" i="6" l="1"/>
  <c r="E72" i="6"/>
  <c r="C73" i="6" l="1"/>
  <c r="E73" i="6"/>
  <c r="C74" i="6" l="1"/>
  <c r="E74" i="6"/>
  <c r="E75" i="6" l="1"/>
  <c r="C75" i="6"/>
  <c r="E76" i="6" l="1"/>
  <c r="C76" i="6"/>
  <c r="C77" i="6" l="1"/>
  <c r="E77" i="6"/>
  <c r="C78" i="6" l="1"/>
  <c r="E78" i="6"/>
  <c r="C79" i="6" l="1"/>
  <c r="E79" i="6"/>
  <c r="C80" i="6" l="1"/>
  <c r="E80" i="6"/>
  <c r="C81" i="6" l="1"/>
  <c r="E81" i="6"/>
  <c r="C82" i="6" l="1"/>
  <c r="E82" i="6"/>
  <c r="C83" i="6" l="1"/>
  <c r="E83" i="6"/>
  <c r="C84" i="6" l="1"/>
  <c r="E84" i="6"/>
  <c r="E85" i="6" l="1"/>
  <c r="C85" i="6"/>
  <c r="E86" i="6" l="1"/>
  <c r="C86" i="6"/>
  <c r="C87" i="6" l="1"/>
  <c r="E87" i="6"/>
  <c r="C88" i="6" l="1"/>
  <c r="E88" i="6"/>
  <c r="E89" i="6" l="1"/>
  <c r="C89" i="6"/>
  <c r="C90" i="6" l="1"/>
  <c r="E90" i="6"/>
  <c r="C91" i="6" l="1"/>
  <c r="E91" i="6"/>
  <c r="C92" i="6" l="1"/>
  <c r="E92" i="6"/>
  <c r="C93" i="6" l="1"/>
  <c r="E93" i="6"/>
  <c r="C94" i="6" l="1"/>
  <c r="E94" i="6"/>
  <c r="C95" i="6" l="1"/>
  <c r="E95" i="6"/>
  <c r="E96" i="6" l="1"/>
  <c r="C96" i="6"/>
  <c r="C97" i="6" l="1"/>
  <c r="E97" i="6"/>
  <c r="E98" i="6" l="1"/>
  <c r="C98" i="6"/>
  <c r="E99" i="6" l="1"/>
  <c r="C99" i="6"/>
  <c r="C100" i="6" l="1"/>
  <c r="E100" i="6"/>
  <c r="C101" i="6" l="1"/>
  <c r="E101" i="6"/>
  <c r="C102" i="6" l="1"/>
  <c r="E102" i="6"/>
  <c r="C103" i="6" l="1"/>
  <c r="E103" i="6"/>
  <c r="E104" i="6" l="1"/>
  <c r="C104" i="6"/>
  <c r="C105" i="6" l="1"/>
  <c r="E105" i="6"/>
  <c r="E106" i="6" l="1"/>
  <c r="C106" i="6"/>
  <c r="C107" i="6" l="1"/>
  <c r="E107" i="6"/>
  <c r="C108" i="6" l="1"/>
  <c r="E108" i="6"/>
  <c r="C109" i="6" l="1"/>
  <c r="E109" i="6"/>
  <c r="C110" i="6" l="1"/>
  <c r="E110" i="6"/>
  <c r="C111" i="6" l="1"/>
  <c r="E111" i="6"/>
  <c r="C112" i="6" l="1"/>
  <c r="E112" i="6"/>
  <c r="C113" i="6" l="1"/>
  <c r="E113" i="6"/>
  <c r="E114" i="6" l="1"/>
  <c r="C114" i="6"/>
  <c r="C115" i="6" l="1"/>
  <c r="E115" i="6"/>
  <c r="E116" i="6" l="1"/>
  <c r="C116" i="6"/>
  <c r="C117" i="6" l="1"/>
  <c r="E117" i="6"/>
  <c r="E118" i="6" l="1"/>
  <c r="C118" i="6"/>
  <c r="C119" i="6" l="1"/>
  <c r="E119" i="6"/>
  <c r="C120" i="6" l="1"/>
  <c r="E120" i="6"/>
  <c r="C121" i="6" l="1"/>
  <c r="E121" i="6"/>
  <c r="E122" i="6" l="1"/>
  <c r="C122" i="6"/>
  <c r="C123" i="6" l="1"/>
  <c r="E123" i="6"/>
  <c r="C124" i="6" l="1"/>
  <c r="E124" i="6"/>
  <c r="C125" i="6" l="1"/>
  <c r="E125" i="6"/>
  <c r="E126" i="6" l="1"/>
  <c r="C126" i="6"/>
  <c r="C127" i="6" l="1"/>
  <c r="E127" i="6"/>
  <c r="E128" i="6" l="1"/>
  <c r="C128" i="6"/>
  <c r="C129" i="6" l="1"/>
  <c r="E129" i="6"/>
  <c r="C130" i="6" l="1"/>
  <c r="E130" i="6"/>
  <c r="E131" i="6" l="1"/>
  <c r="C131" i="6"/>
  <c r="E132" i="6" l="1"/>
  <c r="C132" i="6"/>
  <c r="C133" i="6" l="1"/>
  <c r="E133" i="6"/>
  <c r="C134" i="6" l="1"/>
  <c r="E134" i="6"/>
  <c r="C135" i="6" l="1"/>
  <c r="E135" i="6"/>
  <c r="E136" i="6" l="1"/>
  <c r="C136" i="6"/>
  <c r="C137" i="6" l="1"/>
  <c r="E137" i="6"/>
  <c r="C138" i="6" l="1"/>
  <c r="E138" i="6"/>
  <c r="E139" i="6" l="1"/>
  <c r="C139" i="6"/>
  <c r="C140" i="6" l="1"/>
  <c r="E140" i="6"/>
  <c r="C141" i="6" l="1"/>
  <c r="E141" i="6"/>
  <c r="E142" i="6" l="1"/>
  <c r="C142" i="6"/>
  <c r="C143" i="6" l="1"/>
  <c r="E143" i="6"/>
  <c r="C144" i="6" l="1"/>
  <c r="E144" i="6"/>
  <c r="E145" i="6" l="1"/>
  <c r="C145" i="6"/>
  <c r="E146" i="6" l="1"/>
  <c r="C146" i="6"/>
  <c r="C147" i="6" l="1"/>
  <c r="E147" i="6"/>
  <c r="C148" i="6" l="1"/>
  <c r="E148" i="6"/>
  <c r="C149" i="6" l="1"/>
  <c r="E149" i="6"/>
  <c r="C150" i="6" l="1"/>
  <c r="E150" i="6"/>
  <c r="E151" i="6" l="1"/>
  <c r="C151" i="6"/>
  <c r="C152" i="6" l="1"/>
  <c r="E152" i="6"/>
  <c r="C153" i="6" l="1"/>
  <c r="E153" i="6"/>
  <c r="C154" i="6" l="1"/>
  <c r="E154" i="6"/>
  <c r="C155" i="6" l="1"/>
  <c r="E155" i="6"/>
  <c r="E156" i="6" l="1"/>
  <c r="C156" i="6"/>
  <c r="C157" i="6" l="1"/>
  <c r="E157" i="6"/>
  <c r="C158" i="6" l="1"/>
  <c r="E158" i="6"/>
  <c r="C159" i="6" l="1"/>
  <c r="E159" i="6"/>
  <c r="C160" i="6" l="1"/>
  <c r="E160" i="6"/>
  <c r="E161" i="6" l="1"/>
  <c r="C161" i="6"/>
  <c r="C162" i="6" l="1"/>
  <c r="E162" i="6"/>
  <c r="C163" i="6" l="1"/>
  <c r="E163" i="6"/>
  <c r="C164" i="6" l="1"/>
  <c r="E164" i="6"/>
  <c r="E165" i="6" l="1"/>
  <c r="C165" i="6"/>
  <c r="E166" i="6" l="1"/>
  <c r="C166" i="6"/>
  <c r="C167" i="6" l="1"/>
  <c r="E167" i="6"/>
  <c r="C168" i="6" l="1"/>
  <c r="E168" i="6"/>
  <c r="E169" i="6" l="1"/>
  <c r="C169" i="6"/>
  <c r="C170" i="6" l="1"/>
  <c r="E170" i="6"/>
  <c r="E171" i="6" l="1"/>
  <c r="C171" i="6"/>
  <c r="C172" i="6" l="1"/>
  <c r="E172" i="6"/>
  <c r="C173" i="6" l="1"/>
  <c r="E173" i="6"/>
  <c r="C174" i="6" l="1"/>
  <c r="E174" i="6"/>
  <c r="E175" i="6" l="1"/>
  <c r="C175" i="6"/>
  <c r="E176" i="6" l="1"/>
  <c r="C176" i="6"/>
  <c r="C177" i="6" l="1"/>
  <c r="E177" i="6"/>
  <c r="E178" i="6" l="1"/>
  <c r="C178" i="6"/>
  <c r="C179" i="6" l="1"/>
  <c r="E179" i="6"/>
  <c r="C180" i="6" l="1"/>
  <c r="E180" i="6"/>
  <c r="C181" i="6" l="1"/>
  <c r="E181" i="6"/>
  <c r="C182" i="6" l="1"/>
  <c r="E182" i="6"/>
  <c r="C183" i="6" l="1"/>
  <c r="E183" i="6"/>
  <c r="E184" i="6" l="1"/>
  <c r="C184" i="6"/>
  <c r="E185" i="6" l="1"/>
  <c r="C185" i="6"/>
  <c r="E186" i="6" l="1"/>
  <c r="C186" i="6"/>
  <c r="C187" i="6" l="1"/>
  <c r="E187" i="6"/>
  <c r="C188" i="6" l="1"/>
  <c r="E188" i="6"/>
  <c r="E189" i="6" l="1"/>
  <c r="C189" i="6"/>
  <c r="C190" i="6" l="1"/>
  <c r="E190" i="6"/>
  <c r="C191" i="6" l="1"/>
  <c r="E191" i="6"/>
  <c r="C192" i="6" l="1"/>
  <c r="E192" i="6"/>
  <c r="C193" i="6" l="1"/>
  <c r="E193" i="6"/>
  <c r="E194" i="6" l="1"/>
  <c r="C194" i="6"/>
  <c r="C195" i="6" l="1"/>
  <c r="E195" i="6"/>
  <c r="E196" i="6" l="1"/>
  <c r="C196" i="6"/>
  <c r="C197" i="6" l="1"/>
  <c r="E197" i="6"/>
  <c r="E198" i="6" l="1"/>
  <c r="C198" i="6"/>
  <c r="E199" i="6" l="1"/>
  <c r="C199" i="6"/>
  <c r="C200" i="6" l="1"/>
  <c r="E200" i="6"/>
  <c r="C201" i="6" l="1"/>
  <c r="E201" i="6"/>
  <c r="E202" i="6" l="1"/>
  <c r="C202" i="6"/>
  <c r="C203" i="6" l="1"/>
  <c r="E203" i="6"/>
  <c r="E204" i="6" l="1"/>
  <c r="C204" i="6"/>
  <c r="C205" i="6" l="1"/>
  <c r="E205" i="6"/>
  <c r="E206" i="6" l="1"/>
  <c r="C206" i="6"/>
  <c r="C207" i="6" l="1"/>
  <c r="E207" i="6"/>
  <c r="C208" i="6" l="1"/>
  <c r="E208" i="6"/>
  <c r="C209" i="6" l="1"/>
  <c r="E209" i="6"/>
  <c r="C210" i="6" l="1"/>
  <c r="E210" i="6"/>
  <c r="E211" i="6" l="1"/>
  <c r="C211" i="6"/>
  <c r="C212" i="6" l="1"/>
  <c r="E212" i="6"/>
  <c r="C213" i="6" l="1"/>
  <c r="E213" i="6"/>
  <c r="E214" i="6" l="1"/>
  <c r="C214" i="6"/>
  <c r="C215" i="6" l="1"/>
  <c r="E215" i="6"/>
  <c r="E216" i="6" l="1"/>
  <c r="C216" i="6"/>
  <c r="C217" i="6" l="1"/>
  <c r="E217" i="6"/>
  <c r="E218" i="6" l="1"/>
  <c r="C218" i="6"/>
  <c r="C219" i="6" l="1"/>
  <c r="E219" i="6"/>
  <c r="C220" i="6" l="1"/>
  <c r="E220" i="6"/>
  <c r="C221" i="6" l="1"/>
  <c r="E221" i="6"/>
  <c r="C222" i="6" l="1"/>
  <c r="E222" i="6"/>
  <c r="C223" i="6" l="1"/>
  <c r="E223" i="6"/>
  <c r="C224" i="6" l="1"/>
  <c r="E224" i="6"/>
  <c r="C225" i="6" l="1"/>
  <c r="E225" i="6"/>
  <c r="E226" i="6" l="1"/>
  <c r="C226" i="6"/>
  <c r="C227" i="6" l="1"/>
  <c r="E227" i="6"/>
  <c r="E228" i="6" l="1"/>
  <c r="C228" i="6"/>
  <c r="C229" i="6" l="1"/>
  <c r="E229" i="6"/>
  <c r="C230" i="6" l="1"/>
  <c r="E230" i="6"/>
  <c r="E231" i="6" l="1"/>
  <c r="C231" i="6"/>
  <c r="E232" i="6" l="1"/>
  <c r="C232" i="6"/>
  <c r="C233" i="6" l="1"/>
  <c r="E233" i="6"/>
  <c r="C234" i="6" l="1"/>
  <c r="E234" i="6"/>
  <c r="C235" i="6" l="1"/>
  <c r="E235" i="6"/>
  <c r="E236" i="6" l="1"/>
  <c r="C236" i="6"/>
  <c r="C237" i="6" l="1"/>
  <c r="E237" i="6"/>
  <c r="C238" i="6" l="1"/>
  <c r="E238" i="6"/>
  <c r="C239" i="6" l="1"/>
  <c r="E239" i="6"/>
  <c r="C240" i="6" l="1"/>
  <c r="E240" i="6"/>
  <c r="E241" i="6" l="1"/>
  <c r="C241" i="6"/>
  <c r="E242" i="6" l="1"/>
  <c r="C242" i="6"/>
  <c r="C243" i="6" l="1"/>
  <c r="E243" i="6"/>
  <c r="C244" i="6" l="1"/>
  <c r="E244" i="6"/>
  <c r="C245" i="6" l="1"/>
  <c r="E245" i="6"/>
  <c r="E246" i="6" l="1"/>
  <c r="C246" i="6"/>
  <c r="C247" i="6" l="1"/>
  <c r="E247" i="6"/>
  <c r="E248" i="6" l="1"/>
  <c r="C248" i="6"/>
  <c r="C249" i="6" l="1"/>
  <c r="E249" i="6"/>
  <c r="E250" i="6" l="1"/>
  <c r="C250" i="6"/>
  <c r="C251" i="6" l="1"/>
  <c r="E251" i="6"/>
  <c r="C252" i="6" l="1"/>
  <c r="E252" i="6"/>
  <c r="C253" i="6" l="1"/>
  <c r="E253" i="6"/>
  <c r="C254" i="6" l="1"/>
  <c r="E254" i="6"/>
  <c r="E255" i="6" l="1"/>
  <c r="C255" i="6"/>
  <c r="E256" i="6" l="1"/>
  <c r="C256" i="6"/>
  <c r="C257" i="6" l="1"/>
  <c r="E257" i="6"/>
  <c r="C258" i="6" l="1"/>
  <c r="E258" i="6"/>
  <c r="C259" i="6" l="1"/>
  <c r="E259" i="6"/>
  <c r="E260" i="6" l="1"/>
  <c r="C260" i="6"/>
  <c r="E261" i="6" l="1"/>
  <c r="C261" i="6"/>
  <c r="C262" i="6" l="1"/>
  <c r="E262" i="6"/>
  <c r="C263" i="6" l="1"/>
  <c r="E263" i="6"/>
  <c r="C264" i="6" l="1"/>
  <c r="E264" i="6"/>
  <c r="C265" i="6" l="1"/>
  <c r="E265" i="6"/>
  <c r="E266" i="6" l="1"/>
  <c r="C266" i="6"/>
  <c r="C267" i="6" l="1"/>
  <c r="E267" i="6"/>
  <c r="C268" i="6" l="1"/>
  <c r="E268" i="6"/>
  <c r="C269" i="6" l="1"/>
  <c r="E269" i="6"/>
  <c r="C270" i="6" l="1"/>
  <c r="E270" i="6"/>
  <c r="C271" i="6" l="1"/>
  <c r="E271" i="6"/>
  <c r="E272" i="6" l="1"/>
  <c r="C272" i="6"/>
  <c r="C273" i="6" l="1"/>
  <c r="E273" i="6"/>
  <c r="C274" i="6" l="1"/>
  <c r="E274" i="6"/>
  <c r="E275" i="6" l="1"/>
  <c r="C275" i="6"/>
  <c r="E276" i="6" l="1"/>
  <c r="C276" i="6"/>
  <c r="C277" i="6" l="1"/>
  <c r="E277" i="6"/>
  <c r="C278" i="6" l="1"/>
  <c r="E278" i="6"/>
  <c r="E279" i="6" l="1"/>
  <c r="C279" i="6"/>
  <c r="C280" i="6" l="1"/>
  <c r="E280" i="6"/>
  <c r="E281" i="6" l="1"/>
  <c r="C281" i="6"/>
  <c r="C282" i="6" l="1"/>
  <c r="E282" i="6"/>
  <c r="C283" i="6" l="1"/>
  <c r="E283" i="6"/>
  <c r="C284" i="6" l="1"/>
  <c r="E284" i="6"/>
  <c r="E285" i="6" l="1"/>
  <c r="C285" i="6"/>
  <c r="E286" i="6" l="1"/>
  <c r="C286" i="6"/>
  <c r="E287" i="6" l="1"/>
  <c r="C287" i="6"/>
  <c r="C288" i="6" l="1"/>
  <c r="E288" i="6"/>
  <c r="E289" i="6" l="1"/>
  <c r="C289" i="6"/>
  <c r="C290" i="6" l="1"/>
  <c r="E290" i="6"/>
  <c r="C291" i="6" l="1"/>
  <c r="E291" i="6"/>
  <c r="E292" i="6" l="1"/>
  <c r="C292" i="6"/>
  <c r="C293" i="6" l="1"/>
  <c r="E293" i="6"/>
  <c r="E294" i="6" l="1"/>
  <c r="C294" i="6"/>
  <c r="C295" i="6" l="1"/>
  <c r="E295" i="6"/>
  <c r="E296" i="6" l="1"/>
  <c r="C296" i="6"/>
  <c r="E297" i="6" l="1"/>
  <c r="C297" i="6"/>
  <c r="E298" i="6" l="1"/>
  <c r="C298" i="6"/>
  <c r="C299" i="6" l="1"/>
  <c r="E299" i="6"/>
  <c r="C300" i="6" l="1"/>
  <c r="E300" i="6"/>
  <c r="E301" i="6" l="1"/>
  <c r="C301" i="6"/>
  <c r="C302" i="6" l="1"/>
  <c r="E302" i="6"/>
  <c r="C303" i="6" l="1"/>
  <c r="E303" i="6"/>
  <c r="C304" i="6" l="1"/>
  <c r="E304" i="6"/>
  <c r="E305" i="6" l="1"/>
  <c r="C305" i="6"/>
  <c r="E306" i="6" l="1"/>
  <c r="C306" i="6"/>
  <c r="E307" i="6" l="1"/>
  <c r="C307" i="6"/>
  <c r="C308" i="6" l="1"/>
  <c r="E308" i="6"/>
  <c r="E309" i="6" l="1"/>
  <c r="C309" i="6"/>
  <c r="C310" i="6" l="1"/>
  <c r="E310" i="6"/>
  <c r="C311" i="6" l="1"/>
  <c r="E311" i="6"/>
  <c r="E312" i="6" l="1"/>
  <c r="C312" i="6"/>
  <c r="C313" i="6" l="1"/>
  <c r="E313" i="6"/>
  <c r="C314" i="6" l="1"/>
  <c r="E314" i="6"/>
  <c r="E315" i="6" l="1"/>
  <c r="C315" i="6"/>
  <c r="E316" i="6" l="1"/>
  <c r="C316" i="6"/>
  <c r="C317" i="6" l="1"/>
  <c r="E317" i="6"/>
  <c r="C318" i="6" l="1"/>
  <c r="E318" i="6"/>
  <c r="C319" i="6" l="1"/>
  <c r="E319" i="6"/>
  <c r="C320" i="6" l="1"/>
  <c r="E320" i="6"/>
  <c r="E321" i="6" l="1"/>
  <c r="C321" i="6"/>
  <c r="E322" i="6" l="1"/>
  <c r="C322" i="6"/>
  <c r="C323" i="6" l="1"/>
  <c r="E323" i="6"/>
  <c r="C324" i="6" l="1"/>
  <c r="E324" i="6"/>
  <c r="C325" i="6" l="1"/>
  <c r="E325" i="6"/>
  <c r="E326" i="6" l="1"/>
  <c r="C326" i="6"/>
  <c r="C327" i="6" l="1"/>
  <c r="E327" i="6"/>
  <c r="C328" i="6" l="1"/>
  <c r="E328" i="6"/>
  <c r="C329" i="6" l="1"/>
  <c r="E329" i="6"/>
  <c r="C330" i="6" l="1"/>
  <c r="E330" i="6"/>
  <c r="E331" i="6" l="1"/>
  <c r="C331" i="6"/>
  <c r="C332" i="6" l="1"/>
  <c r="E332" i="6"/>
  <c r="C333" i="6" l="1"/>
  <c r="E333" i="6"/>
  <c r="C334" i="6" l="1"/>
  <c r="E334" i="6"/>
  <c r="E335" i="6" l="1"/>
  <c r="C335" i="6"/>
  <c r="E336" i="6" l="1"/>
  <c r="C336" i="6"/>
  <c r="C337" i="6" l="1"/>
  <c r="E337" i="6"/>
  <c r="C338" i="6" l="1"/>
  <c r="E338" i="6"/>
  <c r="E339" i="6" l="1"/>
  <c r="C339" i="6"/>
  <c r="C340" i="6" l="1"/>
  <c r="E340" i="6"/>
  <c r="E341" i="6" l="1"/>
  <c r="C341" i="6"/>
  <c r="C342" i="6" l="1"/>
  <c r="E342" i="6"/>
  <c r="C343" i="6" l="1"/>
  <c r="E343" i="6"/>
  <c r="C344" i="6" l="1"/>
  <c r="E344" i="6"/>
  <c r="E345" i="6" l="1"/>
  <c r="C345" i="6"/>
  <c r="E346" i="6" l="1"/>
  <c r="C346" i="6"/>
  <c r="C347" i="6" l="1"/>
  <c r="E347" i="6"/>
  <c r="E348" i="6" l="1"/>
  <c r="C348" i="6"/>
  <c r="C349" i="6" l="1"/>
  <c r="E349" i="6"/>
  <c r="C350" i="6" l="1"/>
  <c r="E350" i="6"/>
  <c r="E351" i="6" l="1"/>
  <c r="C351" i="6"/>
  <c r="C352" i="6" l="1"/>
  <c r="E352" i="6"/>
  <c r="C353" i="6" l="1"/>
  <c r="E353" i="6"/>
  <c r="E354" i="6" l="1"/>
  <c r="C354" i="6"/>
  <c r="E355" i="6" l="1"/>
  <c r="C355" i="6"/>
  <c r="E356" i="6" l="1"/>
  <c r="C356" i="6"/>
  <c r="C357" i="6" l="1"/>
  <c r="E357" i="6"/>
  <c r="C358" i="6" l="1"/>
  <c r="E358" i="6"/>
  <c r="E359" i="6" l="1"/>
  <c r="C359" i="6"/>
  <c r="C360" i="6" l="1"/>
  <c r="E360" i="6"/>
  <c r="C361" i="6" l="1"/>
  <c r="E361" i="6"/>
  <c r="C362" i="6" l="1"/>
  <c r="E362" i="6"/>
  <c r="C363" i="6" l="1"/>
  <c r="E363" i="6"/>
  <c r="C364" i="6" l="1"/>
  <c r="E364" i="6"/>
  <c r="E365" i="6" l="1"/>
  <c r="C365" i="6"/>
  <c r="E366" i="6" l="1"/>
  <c r="C366" i="6"/>
  <c r="C367" i="6" l="1"/>
  <c r="E367" i="6"/>
  <c r="C368" i="6" l="1"/>
  <c r="E368" i="6"/>
  <c r="E369" i="6" l="1"/>
  <c r="C369" i="6"/>
  <c r="C370" i="6" l="1"/>
  <c r="E370" i="6"/>
  <c r="C371" i="6" l="1"/>
  <c r="E371" i="6"/>
  <c r="C372" i="6" l="1"/>
  <c r="E372" i="6"/>
  <c r="C373" i="6" l="1"/>
  <c r="E373" i="6"/>
  <c r="E374" i="6" l="1"/>
  <c r="C374" i="6"/>
  <c r="C375" i="6" l="1"/>
  <c r="E375" i="6"/>
  <c r="E376" i="6" l="1"/>
  <c r="C376" i="6"/>
  <c r="C377" i="6" l="1"/>
  <c r="E377" i="6"/>
  <c r="E378" i="6" l="1"/>
  <c r="C378" i="6"/>
  <c r="C379" i="6" l="1"/>
  <c r="E379" i="6"/>
  <c r="E380" i="6" l="1"/>
  <c r="C380" i="6"/>
  <c r="E381" i="6" l="1"/>
  <c r="C381" i="6"/>
  <c r="E382" i="6" l="1"/>
  <c r="C382" i="6"/>
  <c r="C383" i="6" l="1"/>
  <c r="E383" i="6"/>
  <c r="E384" i="6" l="1"/>
  <c r="C384" i="6"/>
  <c r="C385" i="6" l="1"/>
  <c r="E385" i="6"/>
  <c r="E386" i="6" l="1"/>
  <c r="C386" i="6"/>
  <c r="C387" i="6" l="1"/>
  <c r="E387" i="6"/>
  <c r="C388" i="6" l="1"/>
  <c r="E388" i="6"/>
  <c r="E389" i="6" l="1"/>
  <c r="C389" i="6"/>
  <c r="E390" i="6" l="1"/>
  <c r="C390" i="6"/>
  <c r="C391" i="6" l="1"/>
  <c r="E391" i="6"/>
  <c r="C392" i="6" l="1"/>
  <c r="E392" i="6"/>
  <c r="C393" i="6" l="1"/>
  <c r="E393" i="6"/>
  <c r="C394" i="6" l="1"/>
  <c r="E394" i="6"/>
  <c r="E395" i="6" l="1"/>
  <c r="C395" i="6"/>
  <c r="E396" i="6" l="1"/>
  <c r="C396" i="6"/>
  <c r="E397" i="6" l="1"/>
  <c r="C397" i="6"/>
  <c r="C398" i="6" l="1"/>
  <c r="E398" i="6"/>
  <c r="C399" i="6" l="1"/>
  <c r="E399" i="6"/>
  <c r="C400" i="6" l="1"/>
  <c r="E400" i="6"/>
  <c r="E401" i="6" l="1"/>
  <c r="C401" i="6"/>
  <c r="C402" i="6" l="1"/>
  <c r="E402" i="6"/>
  <c r="C403" i="6" l="1"/>
  <c r="E403" i="6"/>
  <c r="C404" i="6" l="1"/>
  <c r="E404" i="6"/>
  <c r="C405" i="6" l="1"/>
  <c r="E405" i="6"/>
  <c r="E406" i="6" l="1"/>
  <c r="C406" i="6"/>
  <c r="C407" i="6" l="1"/>
  <c r="E407" i="6"/>
  <c r="E408" i="6" l="1"/>
  <c r="C408" i="6"/>
  <c r="C409" i="6" l="1"/>
  <c r="E409" i="6"/>
  <c r="E410" i="6" l="1"/>
  <c r="C410" i="6"/>
  <c r="C411" i="6" l="1"/>
  <c r="E411" i="6"/>
  <c r="E412" i="6" l="1"/>
  <c r="C412" i="6"/>
  <c r="C413" i="6" l="1"/>
  <c r="E413" i="6"/>
  <c r="C414" i="6" l="1"/>
  <c r="E414" i="6"/>
  <c r="E415" i="6" l="1"/>
  <c r="C415" i="6"/>
  <c r="E416" i="6" l="1"/>
  <c r="C416" i="6"/>
  <c r="C417" i="6" l="1"/>
  <c r="E417" i="6"/>
  <c r="C418" i="6" l="1"/>
  <c r="E418" i="6"/>
  <c r="E419" i="6" l="1"/>
  <c r="C419" i="6"/>
  <c r="C420" i="6" l="1"/>
  <c r="E420" i="6"/>
  <c r="E421" i="6" l="1"/>
  <c r="C421" i="6"/>
  <c r="C422" i="6" l="1"/>
  <c r="E422" i="6"/>
  <c r="C423" i="6" l="1"/>
  <c r="E423" i="6"/>
  <c r="C424" i="6" l="1"/>
  <c r="E424" i="6"/>
  <c r="C425" i="6" l="1"/>
  <c r="E425" i="6"/>
  <c r="E426" i="6" l="1"/>
  <c r="C426" i="6"/>
  <c r="E427" i="6" l="1"/>
  <c r="C427" i="6"/>
  <c r="C428" i="6" l="1"/>
  <c r="E428" i="6"/>
  <c r="C429" i="6" l="1"/>
  <c r="E429" i="6"/>
  <c r="C430" i="6" l="1"/>
  <c r="E430" i="6"/>
  <c r="C431" i="6" l="1"/>
  <c r="E431" i="6"/>
  <c r="E432" i="6" l="1"/>
  <c r="C432" i="6"/>
  <c r="C433" i="6" l="1"/>
  <c r="E433" i="6"/>
  <c r="E434" i="6" l="1"/>
  <c r="C434" i="6"/>
  <c r="C435" i="6" l="1"/>
  <c r="E435" i="6"/>
  <c r="E436" i="6" l="1"/>
  <c r="C436" i="6"/>
  <c r="E437" i="6" l="1"/>
  <c r="C437" i="6"/>
  <c r="E438" i="6" l="1"/>
  <c r="C438" i="6"/>
  <c r="C439" i="6" l="1"/>
  <c r="E439" i="6"/>
  <c r="E440" i="6" l="1"/>
  <c r="C440" i="6"/>
  <c r="C441" i="6" l="1"/>
  <c r="E441" i="6"/>
  <c r="C442" i="6" l="1"/>
  <c r="E442" i="6"/>
  <c r="C443" i="6" l="1"/>
  <c r="E443" i="6"/>
  <c r="E444" i="6" l="1"/>
  <c r="C444" i="6"/>
  <c r="C445" i="6" l="1"/>
  <c r="E445" i="6"/>
  <c r="E446" i="6" l="1"/>
  <c r="C446" i="6"/>
  <c r="C447" i="6" l="1"/>
  <c r="E447" i="6"/>
  <c r="C448" i="6" l="1"/>
  <c r="E448" i="6"/>
  <c r="E449" i="6" l="1"/>
  <c r="C449" i="6"/>
  <c r="C450" i="6" l="1"/>
  <c r="E450" i="6"/>
  <c r="C451" i="6" l="1"/>
  <c r="E451" i="6"/>
  <c r="C452" i="6" l="1"/>
  <c r="E452" i="6"/>
  <c r="C453" i="6" l="1"/>
  <c r="E453" i="6"/>
  <c r="C454" i="6" l="1"/>
  <c r="E454" i="6"/>
  <c r="C455" i="6" l="1"/>
  <c r="E455" i="6"/>
  <c r="E456" i="6" l="1"/>
  <c r="C456" i="6"/>
  <c r="C457" i="6" l="1"/>
  <c r="E457" i="6"/>
  <c r="C458" i="6" l="1"/>
  <c r="E458" i="6"/>
  <c r="E459" i="6" l="1"/>
  <c r="C459" i="6"/>
  <c r="C460" i="6" l="1"/>
  <c r="E460" i="6"/>
  <c r="C461" i="6" l="1"/>
  <c r="E461" i="6"/>
  <c r="C462" i="6" l="1"/>
  <c r="E462" i="6"/>
  <c r="C463" i="6" l="1"/>
  <c r="E463" i="6"/>
  <c r="E464" i="6" l="1"/>
  <c r="C464" i="6"/>
  <c r="C465" i="6" l="1"/>
  <c r="E465" i="6"/>
  <c r="E466" i="6" l="1"/>
  <c r="C466" i="6"/>
  <c r="C467" i="6" l="1"/>
  <c r="E467" i="6"/>
  <c r="C468" i="6" l="1"/>
  <c r="E468" i="6"/>
  <c r="C469" i="6" l="1"/>
  <c r="E469" i="6"/>
  <c r="C470" i="6" l="1"/>
  <c r="E470" i="6"/>
  <c r="E471" i="6" l="1"/>
  <c r="C471" i="6"/>
  <c r="E472" i="6" l="1"/>
  <c r="C472" i="6"/>
  <c r="C473" i="6" l="1"/>
  <c r="E473" i="6"/>
  <c r="C474" i="6" l="1"/>
  <c r="E474" i="6"/>
  <c r="C475" i="6" l="1"/>
  <c r="E475" i="6"/>
  <c r="C476" i="6" l="1"/>
  <c r="E476" i="6"/>
  <c r="C477" i="6" l="1"/>
  <c r="E477" i="6"/>
  <c r="C478" i="6" l="1"/>
  <c r="E478" i="6"/>
  <c r="C479" i="6" l="1"/>
  <c r="E479" i="6"/>
  <c r="E480" i="6" l="1"/>
  <c r="C480" i="6"/>
  <c r="E481" i="6" l="1"/>
  <c r="C481" i="6"/>
  <c r="C482" i="6" l="1"/>
  <c r="E482" i="6"/>
  <c r="E483" i="6" l="1"/>
  <c r="C483" i="6"/>
  <c r="C484" i="6" l="1"/>
  <c r="E484" i="6"/>
  <c r="C485" i="6" l="1"/>
  <c r="E485" i="6"/>
  <c r="C486" i="6" l="1"/>
  <c r="E486" i="6"/>
  <c r="C487" i="6" l="1"/>
  <c r="E487" i="6"/>
  <c r="C488" i="6" l="1"/>
  <c r="E488" i="6"/>
  <c r="E489" i="6" l="1"/>
  <c r="C489" i="6"/>
  <c r="C490" i="6" l="1"/>
  <c r="E490" i="6"/>
  <c r="E491" i="6" l="1"/>
  <c r="C491" i="6"/>
  <c r="C492" i="6" l="1"/>
  <c r="E492" i="6"/>
  <c r="E493" i="6" l="1"/>
  <c r="C493" i="6"/>
  <c r="C494" i="6" l="1"/>
  <c r="E494" i="6"/>
  <c r="C495" i="6" l="1"/>
  <c r="E495" i="6"/>
  <c r="E496" i="6" l="1"/>
  <c r="C496" i="6"/>
  <c r="E497" i="6" l="1"/>
  <c r="C497" i="6"/>
  <c r="C498" i="6" l="1"/>
  <c r="E498" i="6"/>
  <c r="C499" i="6" l="1"/>
  <c r="E499" i="6"/>
  <c r="C500" i="6" l="1"/>
  <c r="E500" i="6"/>
  <c r="E501" i="6" l="1"/>
  <c r="C501" i="6"/>
  <c r="C502" i="6" l="1"/>
  <c r="E502" i="6"/>
  <c r="C503" i="6" l="1"/>
  <c r="E503" i="6"/>
  <c r="E504" i="6" l="1"/>
  <c r="C504" i="6"/>
  <c r="C505" i="6" l="1"/>
  <c r="E505" i="6"/>
  <c r="C506" i="6" l="1"/>
  <c r="E506" i="6"/>
  <c r="E507" i="6" l="1"/>
  <c r="C507" i="6"/>
  <c r="C508" i="6" l="1"/>
  <c r="E508" i="6"/>
  <c r="C509" i="6" l="1"/>
  <c r="E509" i="6"/>
  <c r="C510" i="6" l="1"/>
  <c r="E510" i="6"/>
  <c r="E511" i="6" l="1"/>
  <c r="C511" i="6"/>
  <c r="E512" i="6" l="1"/>
  <c r="C512" i="6"/>
  <c r="C513" i="6" l="1"/>
  <c r="E513" i="6"/>
  <c r="E514" i="6" l="1"/>
  <c r="C514" i="6"/>
  <c r="C515" i="6" l="1"/>
  <c r="E515" i="6"/>
  <c r="C516" i="6" l="1"/>
  <c r="E516" i="6"/>
  <c r="C517" i="6" l="1"/>
  <c r="E517" i="6"/>
  <c r="C518" i="6" l="1"/>
  <c r="E518" i="6"/>
  <c r="E519" i="6" l="1"/>
  <c r="C519" i="6"/>
  <c r="C520" i="6" l="1"/>
  <c r="E520" i="6"/>
  <c r="E521" i="6" l="1"/>
  <c r="C521" i="6"/>
  <c r="C522" i="6" l="1"/>
  <c r="E522" i="6"/>
  <c r="E523" i="6" l="1"/>
  <c r="C523" i="6"/>
  <c r="C524" i="6" l="1"/>
  <c r="E524" i="6"/>
  <c r="C525" i="6" l="1"/>
  <c r="E525" i="6"/>
  <c r="E526" i="6" l="1"/>
  <c r="C526" i="6"/>
  <c r="C527" i="6" l="1"/>
  <c r="E527" i="6"/>
  <c r="C528" i="6" l="1"/>
  <c r="E528" i="6"/>
  <c r="C529" i="6" l="1"/>
  <c r="E529" i="6"/>
  <c r="E530" i="6" l="1"/>
  <c r="C530" i="6"/>
  <c r="E531" i="6" l="1"/>
  <c r="C531" i="6"/>
  <c r="E532" i="6" l="1"/>
  <c r="C532" i="6"/>
  <c r="E533" i="6" l="1"/>
  <c r="C533" i="6"/>
  <c r="E534" i="6" l="1"/>
  <c r="C534" i="6"/>
  <c r="C535" i="6" l="1"/>
  <c r="E535" i="6"/>
  <c r="C536" i="6" l="1"/>
  <c r="E536" i="6"/>
  <c r="C537" i="6" l="1"/>
  <c r="E537" i="6"/>
  <c r="C538" i="6" l="1"/>
  <c r="E538" i="6"/>
  <c r="C539" i="6" l="1"/>
  <c r="E539" i="6"/>
  <c r="C540" i="6" l="1"/>
  <c r="E540" i="6"/>
  <c r="E541" i="6" l="1"/>
  <c r="C541" i="6"/>
  <c r="C542" i="6" l="1"/>
  <c r="E542" i="6"/>
  <c r="E543" i="6" l="1"/>
  <c r="C543" i="6"/>
  <c r="C544" i="6" l="1"/>
  <c r="E544" i="6"/>
  <c r="E545" i="6" l="1"/>
  <c r="C545" i="6"/>
  <c r="C546" i="6" l="1"/>
  <c r="E546" i="6"/>
  <c r="C547" i="6" l="1"/>
  <c r="E547" i="6"/>
  <c r="C548" i="6" l="1"/>
  <c r="E548" i="6"/>
  <c r="E549" i="6" l="1"/>
  <c r="C549" i="6"/>
  <c r="C550" i="6" l="1"/>
  <c r="E550" i="6"/>
  <c r="E551" i="6" l="1"/>
  <c r="C551" i="6"/>
  <c r="C552" i="6" l="1"/>
  <c r="E552" i="6"/>
  <c r="C553" i="6" l="1"/>
  <c r="E553" i="6"/>
  <c r="C554" i="6" l="1"/>
  <c r="E554" i="6"/>
  <c r="C555" i="6" l="1"/>
  <c r="E555" i="6"/>
  <c r="E556" i="6" l="1"/>
  <c r="C556" i="6"/>
  <c r="C557" i="6" l="1"/>
  <c r="E557" i="6"/>
  <c r="C558" i="6" l="1"/>
  <c r="E558" i="6"/>
  <c r="C559" i="6" l="1"/>
  <c r="E559" i="6"/>
  <c r="E560" i="6" l="1"/>
  <c r="C560" i="6"/>
  <c r="E561" i="6" l="1"/>
  <c r="C561" i="6"/>
  <c r="E562" i="6" l="1"/>
  <c r="C562" i="6"/>
  <c r="E563" i="6" l="1"/>
  <c r="C563" i="6"/>
  <c r="C564" i="6" l="1"/>
  <c r="E564" i="6"/>
  <c r="C565" i="6" l="1"/>
  <c r="E565" i="6"/>
  <c r="C566" i="6" l="1"/>
  <c r="E566" i="6"/>
  <c r="E567" i="6" l="1"/>
  <c r="C567" i="6"/>
  <c r="C568" i="6" l="1"/>
  <c r="E568" i="6"/>
  <c r="E569" i="6" l="1"/>
  <c r="C569" i="6"/>
  <c r="E570" i="6" l="1"/>
  <c r="C570" i="6"/>
  <c r="E571" i="6" l="1"/>
  <c r="C571" i="6"/>
  <c r="C572" i="6" l="1"/>
  <c r="E572" i="6"/>
  <c r="E573" i="6" l="1"/>
  <c r="C573" i="6"/>
  <c r="C574" i="6" l="1"/>
  <c r="E574" i="6"/>
  <c r="E575" i="6" l="1"/>
  <c r="C575" i="6"/>
  <c r="C576" i="6" l="1"/>
  <c r="E576" i="6"/>
  <c r="C577" i="6" l="1"/>
  <c r="E577" i="6"/>
  <c r="C578" i="6" l="1"/>
  <c r="E578" i="6"/>
  <c r="C579" i="6" l="1"/>
  <c r="E579" i="6"/>
  <c r="C580" i="6" l="1"/>
  <c r="E580" i="6"/>
  <c r="E581" i="6" l="1"/>
  <c r="C581" i="6"/>
  <c r="E582" i="6" l="1"/>
  <c r="C582" i="6"/>
  <c r="C583" i="6" l="1"/>
  <c r="E583" i="6"/>
  <c r="C584" i="6" l="1"/>
  <c r="E584" i="6"/>
  <c r="E585" i="6" l="1"/>
  <c r="C585" i="6"/>
  <c r="C586" i="6" l="1"/>
  <c r="E586" i="6"/>
  <c r="C587" i="6" l="1"/>
  <c r="E587" i="6"/>
  <c r="C588" i="6" l="1"/>
  <c r="E588" i="6"/>
  <c r="C589" i="6" l="1"/>
  <c r="E589" i="6"/>
  <c r="C590" i="6" l="1"/>
  <c r="E590" i="6"/>
  <c r="E591" i="6" l="1"/>
  <c r="C591" i="6"/>
  <c r="E592" i="6" l="1"/>
  <c r="C592" i="6"/>
  <c r="C593" i="6" l="1"/>
  <c r="E593" i="6"/>
  <c r="C594" i="6" l="1"/>
  <c r="E594" i="6"/>
  <c r="E595" i="6" l="1"/>
  <c r="C595" i="6"/>
  <c r="C596" i="6" l="1"/>
  <c r="E596" i="6"/>
  <c r="E597" i="6" l="1"/>
  <c r="C597" i="6"/>
  <c r="E598" i="6" l="1"/>
  <c r="C598" i="6"/>
  <c r="C599" i="6" l="1"/>
  <c r="E599" i="6"/>
  <c r="C600" i="6" l="1"/>
  <c r="E600" i="6"/>
  <c r="E601" i="6" l="1"/>
  <c r="C601" i="6"/>
  <c r="E602" i="6" l="1"/>
  <c r="C602" i="6"/>
  <c r="C603" i="6" l="1"/>
  <c r="E603" i="6"/>
  <c r="E604" i="6" l="1"/>
  <c r="C604" i="6"/>
  <c r="E605" i="6" l="1"/>
  <c r="C605" i="6"/>
  <c r="C606" i="6" l="1"/>
  <c r="E606" i="6"/>
  <c r="C607" i="6" l="1"/>
  <c r="E607" i="6"/>
  <c r="E608" i="6" l="1"/>
  <c r="C608" i="6"/>
  <c r="C609" i="6" l="1"/>
  <c r="E609" i="6"/>
  <c r="E610" i="6" l="1"/>
  <c r="C610" i="6"/>
  <c r="C611" i="6" l="1"/>
  <c r="E611" i="6"/>
  <c r="E612" i="6" l="1"/>
  <c r="C612" i="6"/>
  <c r="C613" i="6" l="1"/>
  <c r="E613" i="6"/>
  <c r="E614" i="6" l="1"/>
  <c r="C614" i="6"/>
  <c r="C615" i="6" l="1"/>
  <c r="E615" i="6"/>
  <c r="C616" i="6" l="1"/>
  <c r="E616" i="6"/>
  <c r="C617" i="6" l="1"/>
  <c r="E617" i="6"/>
  <c r="C618" i="6" l="1"/>
  <c r="E618" i="6"/>
  <c r="C619" i="6" l="1"/>
  <c r="E619" i="6"/>
  <c r="C620" i="6" l="1"/>
  <c r="E620" i="6"/>
  <c r="C621" i="6" l="1"/>
  <c r="E621" i="6"/>
  <c r="E622" i="6" l="1"/>
  <c r="C622" i="6"/>
  <c r="C623" i="6" l="1"/>
  <c r="E623" i="6"/>
  <c r="E624" i="6" l="1"/>
  <c r="C624" i="6"/>
  <c r="C625" i="6" l="1"/>
  <c r="E625" i="6"/>
  <c r="C626" i="6" l="1"/>
  <c r="E626" i="6"/>
  <c r="C627" i="6" l="1"/>
  <c r="E627" i="6"/>
  <c r="E628" i="6" l="1"/>
  <c r="C628" i="6"/>
  <c r="C629" i="6" l="1"/>
  <c r="E629" i="6"/>
  <c r="C630" i="6" l="1"/>
  <c r="E630" i="6"/>
  <c r="C631" i="6" l="1"/>
  <c r="E631" i="6"/>
  <c r="E632" i="6" l="1"/>
  <c r="C632" i="6"/>
  <c r="C633" i="6" l="1"/>
  <c r="E633" i="6"/>
  <c r="C634" i="6" l="1"/>
  <c r="E634" i="6"/>
  <c r="C635" i="6" l="1"/>
  <c r="E635" i="6"/>
  <c r="C636" i="6" l="1"/>
  <c r="E636" i="6"/>
  <c r="C637" i="6" l="1"/>
  <c r="E637" i="6"/>
  <c r="E638" i="6" l="1"/>
  <c r="C638" i="6"/>
  <c r="C639" i="6" l="1"/>
  <c r="E639" i="6"/>
  <c r="C640" i="6" l="1"/>
  <c r="E640" i="6"/>
  <c r="E641" i="6" l="1"/>
  <c r="C641" i="6"/>
  <c r="E642" i="6" l="1"/>
  <c r="C642" i="6"/>
  <c r="C643" i="6" l="1"/>
  <c r="E643" i="6"/>
  <c r="C644" i="6" l="1"/>
  <c r="E644" i="6"/>
  <c r="C645" i="6" l="1"/>
  <c r="E645" i="6"/>
  <c r="C646" i="6" l="1"/>
  <c r="E646" i="6"/>
  <c r="C647" i="6" l="1"/>
  <c r="E647" i="6"/>
  <c r="C648" i="6" l="1"/>
  <c r="E648" i="6"/>
  <c r="C649" i="6" l="1"/>
  <c r="E649" i="6"/>
  <c r="E650" i="6" l="1"/>
  <c r="C650" i="6"/>
  <c r="C651" i="6" l="1"/>
  <c r="E651" i="6"/>
  <c r="E652" i="6" l="1"/>
  <c r="C652" i="6"/>
  <c r="C653" i="6" l="1"/>
  <c r="E653" i="6"/>
  <c r="C654" i="6" l="1"/>
  <c r="E654" i="6"/>
  <c r="C655" i="6" l="1"/>
  <c r="E655" i="6"/>
  <c r="C656" i="6" l="1"/>
  <c r="E656" i="6"/>
  <c r="E657" i="6" l="1"/>
  <c r="C657" i="6"/>
  <c r="C658" i="6" l="1"/>
  <c r="E658" i="6"/>
  <c r="C659" i="6" l="1"/>
  <c r="E659" i="6"/>
  <c r="C660" i="6" l="1"/>
  <c r="E660" i="6"/>
  <c r="E661" i="6" l="1"/>
  <c r="C661" i="6"/>
  <c r="E662" i="6" l="1"/>
  <c r="C662" i="6"/>
  <c r="C663" i="6" l="1"/>
  <c r="E663" i="6"/>
  <c r="C664" i="6" l="1"/>
  <c r="E664" i="6"/>
  <c r="E665" i="6" l="1"/>
  <c r="C665" i="6"/>
  <c r="C666" i="6" l="1"/>
  <c r="E666" i="6"/>
  <c r="E667" i="6" l="1"/>
  <c r="C667" i="6"/>
  <c r="C668" i="6" l="1"/>
  <c r="E668" i="6"/>
  <c r="C669" i="6" l="1"/>
  <c r="E669" i="6"/>
  <c r="C670" i="6" l="1"/>
  <c r="E670" i="6"/>
  <c r="E671" i="6" l="1"/>
  <c r="C671" i="6"/>
  <c r="E672" i="6" l="1"/>
  <c r="C672" i="6"/>
  <c r="C673" i="6" l="1"/>
  <c r="E673" i="6"/>
  <c r="E674" i="6" l="1"/>
  <c r="C674" i="6"/>
  <c r="C675" i="6" l="1"/>
  <c r="E675" i="6"/>
  <c r="C676" i="6" l="1"/>
  <c r="E676" i="6"/>
  <c r="C677" i="6" l="1"/>
  <c r="E677" i="6"/>
  <c r="E678" i="6" l="1"/>
  <c r="C678" i="6"/>
  <c r="C679" i="6" l="1"/>
  <c r="E679" i="6"/>
  <c r="C680" i="6" l="1"/>
  <c r="E680" i="6"/>
  <c r="E681" i="6" l="1"/>
  <c r="C681" i="6"/>
  <c r="E682" i="6" l="1"/>
  <c r="C682" i="6"/>
  <c r="C683" i="6" l="1"/>
  <c r="E683" i="6"/>
  <c r="C684" i="6" l="1"/>
  <c r="E684" i="6"/>
  <c r="E685" i="6" l="1"/>
  <c r="C685" i="6"/>
  <c r="C686" i="6" l="1"/>
  <c r="E686" i="6"/>
  <c r="C687" i="6" l="1"/>
  <c r="E687" i="6"/>
  <c r="E688" i="6" l="1"/>
  <c r="C688" i="6"/>
  <c r="C689" i="6" l="1"/>
  <c r="E689" i="6"/>
  <c r="C690" i="6" l="1"/>
  <c r="E690" i="6"/>
  <c r="C691" i="6" l="1"/>
  <c r="E691" i="6"/>
  <c r="E692" i="6" l="1"/>
  <c r="C692" i="6"/>
  <c r="C693" i="6" l="1"/>
  <c r="E693" i="6"/>
  <c r="C694" i="6" l="1"/>
  <c r="E694" i="6"/>
  <c r="E695" i="6" l="1"/>
  <c r="C695" i="6"/>
  <c r="C696" i="6" l="1"/>
  <c r="E696" i="6"/>
  <c r="C697" i="6" l="1"/>
  <c r="E697" i="6"/>
  <c r="C698" i="6" l="1"/>
  <c r="E698" i="6"/>
  <c r="C699" i="6" l="1"/>
  <c r="E699" i="6"/>
  <c r="E700" i="6" l="1"/>
  <c r="C700" i="6"/>
  <c r="C701" i="6" l="1"/>
  <c r="E701" i="6"/>
  <c r="E702" i="6" l="1"/>
  <c r="C702" i="6"/>
  <c r="C703" i="6" l="1"/>
  <c r="E703" i="6"/>
  <c r="E704" i="6" l="1"/>
  <c r="C704" i="6"/>
  <c r="C705" i="6" l="1"/>
  <c r="E705" i="6"/>
  <c r="C706" i="6" l="1"/>
  <c r="E706" i="6"/>
  <c r="C707" i="6" l="1"/>
  <c r="E707" i="6"/>
  <c r="C708" i="6" l="1"/>
  <c r="E708" i="6"/>
  <c r="C709" i="6" l="1"/>
  <c r="E709" i="6"/>
  <c r="E710" i="6" l="1"/>
  <c r="C710" i="6"/>
  <c r="C711" i="6" l="1"/>
  <c r="E711" i="6"/>
  <c r="E712" i="6" l="1"/>
  <c r="C712" i="6"/>
  <c r="C713" i="6" l="1"/>
  <c r="E713" i="6"/>
  <c r="E714" i="6" l="1"/>
  <c r="C714" i="6"/>
  <c r="C715" i="6" l="1"/>
  <c r="E715" i="6"/>
  <c r="C716" i="6" l="1"/>
  <c r="E716" i="6"/>
  <c r="C717" i="6" l="1"/>
  <c r="E717" i="6"/>
  <c r="C718" i="6" l="1"/>
  <c r="E718" i="6"/>
  <c r="C719" i="6" l="1"/>
  <c r="E719" i="6"/>
  <c r="C720" i="6" l="1"/>
  <c r="E720" i="6"/>
  <c r="E721" i="6" l="1"/>
  <c r="C721" i="6"/>
  <c r="E722" i="6" l="1"/>
  <c r="C722" i="6"/>
  <c r="E723" i="6" l="1"/>
  <c r="C723" i="6"/>
  <c r="C724" i="6" l="1"/>
  <c r="E724" i="6"/>
  <c r="C725" i="6" l="1"/>
  <c r="E725" i="6"/>
  <c r="C726" i="6" l="1"/>
  <c r="E726" i="6"/>
  <c r="E727" i="6" l="1"/>
  <c r="C727" i="6"/>
  <c r="C728" i="6" l="1"/>
  <c r="E728" i="6"/>
  <c r="C729" i="6" l="1"/>
  <c r="E729" i="6"/>
  <c r="C730" i="6" l="1"/>
  <c r="E730" i="6"/>
  <c r="E731" i="6" l="1"/>
  <c r="C731" i="6"/>
  <c r="E732" i="6" l="1"/>
  <c r="C732" i="6"/>
  <c r="C733" i="6" l="1"/>
  <c r="E733" i="6"/>
  <c r="E734" i="6" l="1"/>
  <c r="C734" i="6"/>
  <c r="E735" i="6" l="1"/>
  <c r="C735" i="6"/>
  <c r="C736" i="6" l="1"/>
  <c r="E736" i="6"/>
  <c r="C737" i="6" l="1"/>
  <c r="E737" i="6"/>
  <c r="E738" i="6" l="1"/>
  <c r="C738" i="6"/>
  <c r="C739" i="6" l="1"/>
  <c r="E739" i="6"/>
  <c r="E740" i="6" l="1"/>
  <c r="C740" i="6"/>
  <c r="C741" i="6" l="1"/>
  <c r="E741" i="6"/>
  <c r="E742" i="6" l="1"/>
  <c r="C742" i="6"/>
  <c r="C743" i="6" l="1"/>
  <c r="E743" i="6"/>
  <c r="C744" i="6" l="1"/>
  <c r="E744" i="6"/>
  <c r="E745" i="6" l="1"/>
  <c r="C745" i="6"/>
  <c r="C746" i="6" l="1"/>
  <c r="E746" i="6"/>
  <c r="E747" i="6" l="1"/>
  <c r="C747" i="6"/>
  <c r="C748" i="6" l="1"/>
  <c r="E748" i="6"/>
  <c r="C749" i="6" l="1"/>
  <c r="E749" i="6"/>
  <c r="C750" i="6" l="1"/>
  <c r="E750" i="6"/>
  <c r="E751" i="6" l="1"/>
  <c r="C751" i="6"/>
  <c r="E752" i="6" l="1"/>
  <c r="C752" i="6"/>
  <c r="E753" i="6" l="1"/>
  <c r="C753" i="6"/>
  <c r="C754" i="6" l="1"/>
  <c r="E754" i="6"/>
  <c r="C755" i="6" l="1"/>
  <c r="E755" i="6"/>
  <c r="C756" i="6" l="1"/>
  <c r="E756" i="6"/>
  <c r="C757" i="6" l="1"/>
  <c r="E757" i="6"/>
  <c r="E758" i="6" l="1"/>
  <c r="C758" i="6"/>
  <c r="C759" i="6" l="1"/>
  <c r="E759" i="6"/>
  <c r="E760" i="6" l="1"/>
  <c r="C760" i="6"/>
  <c r="C761" i="6" l="1"/>
  <c r="E761" i="6"/>
  <c r="E762" i="6" l="1"/>
  <c r="C762" i="6"/>
  <c r="C763" i="6" l="1"/>
  <c r="E763" i="6"/>
  <c r="E764" i="6" l="1"/>
  <c r="C764" i="6"/>
  <c r="E765" i="6" l="1"/>
  <c r="C765" i="6"/>
  <c r="E766" i="6" l="1"/>
  <c r="C766" i="6"/>
  <c r="C767" i="6" l="1"/>
  <c r="E767" i="6"/>
  <c r="C768" i="6" l="1"/>
  <c r="E768" i="6"/>
  <c r="C769" i="6" l="1"/>
  <c r="E769" i="6"/>
  <c r="C770" i="6" l="1"/>
  <c r="E770" i="6"/>
  <c r="E771" i="6" l="1"/>
  <c r="C771" i="6"/>
  <c r="E772" i="6" l="1"/>
  <c r="C772" i="6"/>
  <c r="E773" i="6" l="1"/>
  <c r="C773" i="6"/>
  <c r="C774" i="6" l="1"/>
  <c r="E774" i="6"/>
  <c r="E775" i="6" l="1"/>
  <c r="C775" i="6"/>
  <c r="C776" i="6" l="1"/>
  <c r="E776" i="6"/>
  <c r="E777" i="6" l="1"/>
  <c r="C777" i="6"/>
  <c r="C778" i="6" l="1"/>
  <c r="E778" i="6"/>
  <c r="C779" i="6" l="1"/>
  <c r="E779" i="6"/>
  <c r="C780" i="6" l="1"/>
  <c r="E780" i="6"/>
  <c r="C781" i="6" l="1"/>
  <c r="E781" i="6"/>
  <c r="E782" i="6" l="1"/>
  <c r="C782" i="6"/>
  <c r="E783" i="6" l="1"/>
  <c r="C783" i="6"/>
  <c r="E784" i="6" l="1"/>
  <c r="C784" i="6"/>
  <c r="C785" i="6" l="1"/>
  <c r="E785" i="6"/>
  <c r="C786" i="6" l="1"/>
  <c r="E786" i="6"/>
  <c r="E787" i="6" l="1"/>
  <c r="C787" i="6"/>
  <c r="C788" i="6" l="1"/>
  <c r="E788" i="6"/>
  <c r="C789" i="6" l="1"/>
  <c r="E789" i="6"/>
  <c r="C790" i="6" l="1"/>
  <c r="E790" i="6"/>
  <c r="C791" i="6" l="1"/>
  <c r="E791" i="6"/>
  <c r="C792" i="6" l="1"/>
  <c r="E792" i="6"/>
  <c r="E793" i="6" l="1"/>
  <c r="C793" i="6"/>
  <c r="E794" i="6" l="1"/>
  <c r="C794" i="6"/>
  <c r="C795" i="6" l="1"/>
  <c r="E795" i="6"/>
  <c r="C796" i="6" l="1"/>
  <c r="E796" i="6"/>
  <c r="E797" i="6" l="1"/>
  <c r="C797" i="6"/>
  <c r="C798" i="6" l="1"/>
  <c r="E798" i="6"/>
  <c r="C799" i="6" l="1"/>
  <c r="E799" i="6"/>
  <c r="E800" i="6" l="1"/>
  <c r="C800" i="6"/>
  <c r="C801" i="6" l="1"/>
  <c r="E801" i="6"/>
  <c r="C802" i="6" l="1"/>
  <c r="E802" i="6"/>
  <c r="E803" i="6" l="1"/>
  <c r="C803" i="6"/>
  <c r="E804" i="6" l="1"/>
  <c r="C804" i="6"/>
  <c r="C805" i="6" l="1"/>
  <c r="E805" i="6"/>
  <c r="E806" i="6" l="1"/>
  <c r="C806" i="6"/>
  <c r="E807" i="6" l="1"/>
  <c r="C807" i="6"/>
  <c r="C808" i="6" l="1"/>
  <c r="E808" i="6"/>
  <c r="C809" i="6" l="1"/>
  <c r="E809" i="6"/>
  <c r="E810" i="6" l="1"/>
  <c r="C810" i="6"/>
  <c r="C811" i="6" l="1"/>
  <c r="E811" i="6"/>
  <c r="E812" i="6" l="1"/>
  <c r="C812" i="6"/>
  <c r="C813" i="6" l="1"/>
  <c r="E813" i="6"/>
  <c r="E814" i="6" l="1"/>
  <c r="C814" i="6"/>
  <c r="C815" i="6" l="1"/>
  <c r="E815" i="6"/>
  <c r="C816" i="6" l="1"/>
  <c r="E816" i="6"/>
  <c r="E817" i="6" l="1"/>
  <c r="C817" i="6"/>
  <c r="C818" i="6" l="1"/>
  <c r="E818" i="6"/>
  <c r="C819" i="6" l="1"/>
  <c r="E819" i="6"/>
  <c r="C820" i="6" l="1"/>
  <c r="E820" i="6"/>
  <c r="C821" i="6" l="1"/>
  <c r="E821" i="6"/>
  <c r="E822" i="6" l="1"/>
  <c r="C822" i="6"/>
  <c r="E823" i="6" l="1"/>
  <c r="C823" i="6"/>
  <c r="E824" i="6" l="1"/>
  <c r="C824" i="6"/>
  <c r="C825" i="6" l="1"/>
  <c r="E825" i="6"/>
  <c r="C826" i="6" l="1"/>
  <c r="E826" i="6"/>
  <c r="E827" i="6" l="1"/>
  <c r="C827" i="6"/>
  <c r="C828" i="6" l="1"/>
  <c r="E828" i="6"/>
  <c r="E829" i="6" l="1"/>
  <c r="C829" i="6"/>
  <c r="C830" i="6" l="1"/>
  <c r="E830" i="6"/>
  <c r="C831" i="6" l="1"/>
  <c r="E831" i="6"/>
  <c r="E832" i="6" l="1"/>
  <c r="C832" i="6"/>
  <c r="C833" i="6" l="1"/>
  <c r="E833" i="6"/>
  <c r="E834" i="6" l="1"/>
  <c r="C834" i="6"/>
  <c r="C835" i="6" l="1"/>
  <c r="E835" i="6"/>
  <c r="C836" i="6" l="1"/>
  <c r="E836" i="6"/>
  <c r="E837" i="6" l="1"/>
  <c r="C837" i="6"/>
  <c r="C838" i="6" l="1"/>
  <c r="E838" i="6"/>
  <c r="E839" i="6" l="1"/>
  <c r="C839" i="6"/>
  <c r="C840" i="6" l="1"/>
  <c r="E840" i="6"/>
  <c r="C841" i="6" l="1"/>
  <c r="E841" i="6"/>
  <c r="C842" i="6" l="1"/>
  <c r="E842" i="6"/>
  <c r="C843" i="6" l="1"/>
  <c r="E843" i="6"/>
  <c r="E844" i="6" l="1"/>
  <c r="C844" i="6"/>
  <c r="C845" i="6" l="1"/>
  <c r="E845" i="6"/>
  <c r="C846" i="6" l="1"/>
  <c r="E846" i="6"/>
  <c r="E847" i="6" l="1"/>
  <c r="C847" i="6"/>
  <c r="C848" i="6" l="1"/>
  <c r="E848" i="6"/>
  <c r="E849" i="6" l="1"/>
  <c r="C849" i="6"/>
  <c r="E850" i="6" l="1"/>
  <c r="C850" i="6"/>
  <c r="C851" i="6" l="1"/>
  <c r="E851" i="6"/>
  <c r="C852" i="6" l="1"/>
  <c r="E852" i="6"/>
  <c r="C853" i="6" l="1"/>
  <c r="E853" i="6"/>
  <c r="E854" i="6" l="1"/>
  <c r="C854" i="6"/>
  <c r="C855" i="6" l="1"/>
  <c r="E855" i="6"/>
  <c r="E856" i="6" l="1"/>
  <c r="C856" i="6"/>
  <c r="E857" i="6" l="1"/>
  <c r="C857" i="6"/>
  <c r="C858" i="6" l="1"/>
  <c r="E858" i="6"/>
  <c r="E859" i="6" l="1"/>
  <c r="C859" i="6"/>
  <c r="C860" i="6" l="1"/>
  <c r="E860" i="6"/>
  <c r="C861" i="6" l="1"/>
  <c r="E861" i="6"/>
  <c r="E862" i="6" l="1"/>
  <c r="C862" i="6"/>
  <c r="C863" i="6" l="1"/>
  <c r="E863" i="6"/>
  <c r="E864" i="6" l="1"/>
  <c r="C864" i="6"/>
  <c r="C865" i="6" l="1"/>
  <c r="E865" i="6"/>
  <c r="C866" i="6" l="1"/>
  <c r="E866" i="6"/>
  <c r="E867" i="6" l="1"/>
  <c r="C867" i="6"/>
  <c r="C868" i="6" l="1"/>
  <c r="E868" i="6"/>
  <c r="C869" i="6" l="1"/>
  <c r="E869" i="6"/>
  <c r="C870" i="6" l="1"/>
  <c r="E870" i="6"/>
  <c r="C871" i="6" l="1"/>
  <c r="E871" i="6"/>
  <c r="E872" i="6" l="1"/>
  <c r="C872" i="6"/>
  <c r="E873" i="6" l="1"/>
  <c r="C873" i="6"/>
  <c r="E874" i="6" l="1"/>
  <c r="C874" i="6"/>
  <c r="C875" i="6" l="1"/>
  <c r="E875" i="6"/>
  <c r="C876" i="6" l="1"/>
  <c r="E876" i="6"/>
  <c r="E877" i="6" l="1"/>
  <c r="C877" i="6"/>
  <c r="C878" i="6" l="1"/>
  <c r="E878" i="6"/>
  <c r="E879" i="6" l="1"/>
  <c r="C879" i="6"/>
  <c r="C880" i="6" l="1"/>
  <c r="E880" i="6"/>
  <c r="C881" i="6" l="1"/>
  <c r="E881" i="6"/>
  <c r="C882" i="6" l="1"/>
  <c r="E882" i="6"/>
  <c r="C883" i="6" l="1"/>
  <c r="E883" i="6"/>
  <c r="E884" i="6" l="1"/>
  <c r="C884" i="6"/>
  <c r="C885" i="6" l="1"/>
  <c r="E885" i="6"/>
  <c r="C886" i="6" l="1"/>
  <c r="E886" i="6"/>
  <c r="E887" i="6" l="1"/>
  <c r="C887" i="6"/>
  <c r="C888" i="6" l="1"/>
  <c r="E888" i="6"/>
  <c r="C889" i="6" l="1"/>
  <c r="E889" i="6"/>
  <c r="C890" i="6" l="1"/>
  <c r="E890" i="6"/>
  <c r="C891" i="6" l="1"/>
  <c r="E891" i="6"/>
  <c r="C892" i="6" l="1"/>
  <c r="E892" i="6"/>
  <c r="C893" i="6" l="1"/>
  <c r="E893" i="6"/>
  <c r="E894" i="6" l="1"/>
  <c r="C894" i="6"/>
  <c r="C895" i="6" l="1"/>
  <c r="E895" i="6"/>
  <c r="C896" i="6" l="1"/>
  <c r="E896" i="6"/>
  <c r="E897" i="6" l="1"/>
  <c r="C897" i="6"/>
  <c r="C898" i="6" l="1"/>
  <c r="E898" i="6"/>
  <c r="C899" i="6" l="1"/>
  <c r="E899" i="6"/>
  <c r="E900" i="6" l="1"/>
  <c r="C900" i="6"/>
  <c r="C901" i="6" l="1"/>
  <c r="E901" i="6"/>
  <c r="C902" i="6" l="1"/>
  <c r="E902" i="6"/>
  <c r="C903" i="6" l="1"/>
  <c r="E903" i="6"/>
  <c r="E904" i="6" l="1"/>
  <c r="C904" i="6"/>
  <c r="C905" i="6" l="1"/>
  <c r="E905" i="6"/>
  <c r="E906" i="6" l="1"/>
  <c r="C906" i="6"/>
  <c r="E907" i="6" l="1"/>
  <c r="C907" i="6"/>
  <c r="C908" i="6" l="1"/>
  <c r="E908" i="6"/>
  <c r="C909" i="6" l="1"/>
  <c r="E909" i="6"/>
  <c r="E910" i="6" l="1"/>
  <c r="C910" i="6"/>
  <c r="C911" i="6" l="1"/>
  <c r="E911" i="6"/>
  <c r="E912" i="6" l="1"/>
  <c r="C912" i="6"/>
  <c r="C913" i="6" l="1"/>
  <c r="E913" i="6"/>
  <c r="E914" i="6" l="1"/>
  <c r="C914" i="6"/>
  <c r="C915" i="6" l="1"/>
  <c r="E915" i="6"/>
  <c r="C916" i="6" l="1"/>
  <c r="E916" i="6"/>
  <c r="E917" i="6" l="1"/>
  <c r="C917" i="6"/>
  <c r="C918" i="6" l="1"/>
  <c r="E918" i="6"/>
  <c r="C919" i="6" l="1"/>
  <c r="E919" i="6"/>
  <c r="E920" i="6" l="1"/>
  <c r="C920" i="6"/>
  <c r="C921" i="6" l="1"/>
  <c r="E921" i="6"/>
  <c r="C922" i="6" l="1"/>
  <c r="E922" i="6"/>
  <c r="E923" i="6" l="1"/>
  <c r="C923" i="6"/>
  <c r="E924" i="6" l="1"/>
  <c r="C924" i="6"/>
  <c r="C925" i="6" l="1"/>
  <c r="E925" i="6"/>
  <c r="C926" i="6" l="1"/>
  <c r="E926" i="6"/>
  <c r="E927" i="6" l="1"/>
  <c r="C927" i="6"/>
  <c r="C928" i="6" l="1"/>
  <c r="E928" i="6"/>
  <c r="E929" i="6" l="1"/>
  <c r="C929" i="6"/>
  <c r="C930" i="6" l="1"/>
  <c r="E930" i="6"/>
  <c r="C931" i="6" l="1"/>
  <c r="E931" i="6"/>
  <c r="E932" i="6" l="1"/>
  <c r="C932" i="6"/>
  <c r="C933" i="6" l="1"/>
  <c r="E933" i="6"/>
  <c r="E934" i="6" l="1"/>
  <c r="C934" i="6"/>
  <c r="C935" i="6" l="1"/>
  <c r="E935" i="6"/>
  <c r="C936" i="6" l="1"/>
  <c r="E936" i="6"/>
  <c r="E937" i="6" l="1"/>
  <c r="C937" i="6"/>
  <c r="C938" i="6" l="1"/>
  <c r="E938" i="6"/>
  <c r="C939" i="6" l="1"/>
  <c r="E939" i="6"/>
  <c r="C940" i="6" l="1"/>
  <c r="E940" i="6"/>
  <c r="C941" i="6" l="1"/>
  <c r="E941" i="6"/>
  <c r="E942" i="6" l="1"/>
  <c r="C942" i="6"/>
  <c r="C943" i="6" l="1"/>
  <c r="E943" i="6"/>
  <c r="E944" i="6" l="1"/>
  <c r="C944" i="6"/>
  <c r="C945" i="6" l="1"/>
  <c r="E945" i="6"/>
  <c r="C946" i="6" l="1"/>
  <c r="E946" i="6"/>
  <c r="C947" i="6" l="1"/>
  <c r="E947" i="6"/>
  <c r="C948" i="6" l="1"/>
  <c r="E948" i="6"/>
  <c r="E949" i="6" l="1"/>
  <c r="C949" i="6"/>
  <c r="C950" i="6" l="1"/>
  <c r="E950" i="6"/>
  <c r="C951" i="6" l="1"/>
  <c r="E951" i="6"/>
  <c r="C952" i="6" l="1"/>
  <c r="E952" i="6"/>
  <c r="C953" i="6" l="1"/>
  <c r="E953" i="6"/>
  <c r="E954" i="6" l="1"/>
  <c r="C954" i="6"/>
  <c r="C955" i="6" l="1"/>
  <c r="E955" i="6"/>
  <c r="C956" i="6" l="1"/>
  <c r="E956" i="6"/>
  <c r="C957" i="6" l="1"/>
  <c r="E957" i="6"/>
  <c r="E958" i="6" l="1"/>
  <c r="C958" i="6"/>
  <c r="C959" i="6" l="1"/>
  <c r="E959" i="6"/>
  <c r="C960" i="6" l="1"/>
  <c r="E960" i="6"/>
  <c r="C961" i="6" l="1"/>
  <c r="E961" i="6"/>
  <c r="C962" i="6" l="1"/>
  <c r="E962" i="6"/>
  <c r="E963" i="6" l="1"/>
  <c r="C963" i="6"/>
  <c r="E964" i="6" l="1"/>
  <c r="C964" i="6"/>
  <c r="E965" i="6" l="1"/>
  <c r="C965" i="6"/>
  <c r="C966" i="6" l="1"/>
  <c r="E966" i="6"/>
  <c r="E967" i="6" l="1"/>
  <c r="C967" i="6"/>
  <c r="E968" i="6" l="1"/>
  <c r="C968" i="6"/>
  <c r="E969" i="6" l="1"/>
  <c r="C969" i="6"/>
  <c r="C970" i="6" l="1"/>
  <c r="E970" i="6"/>
  <c r="C971" i="6" l="1"/>
  <c r="E971" i="6"/>
  <c r="C972" i="6" l="1"/>
  <c r="E972" i="6"/>
  <c r="C973" i="6" l="1"/>
  <c r="E973" i="6"/>
  <c r="E974" i="6" l="1"/>
  <c r="C974" i="6"/>
  <c r="E975" i="6" l="1"/>
  <c r="C975" i="6"/>
  <c r="E976" i="6" l="1"/>
  <c r="C976" i="6"/>
  <c r="C977" i="6" l="1"/>
  <c r="E977" i="6"/>
  <c r="C978" i="6" l="1"/>
  <c r="E978" i="6"/>
  <c r="C979" i="6" l="1"/>
  <c r="E979" i="6"/>
  <c r="E980" i="6" l="1"/>
  <c r="C980" i="6"/>
  <c r="C981" i="6" l="1"/>
  <c r="E981" i="6"/>
  <c r="E982" i="6" l="1"/>
  <c r="C982" i="6"/>
  <c r="E983" i="6" l="1"/>
  <c r="C983" i="6"/>
  <c r="E984" i="6" l="1"/>
  <c r="C984" i="6"/>
  <c r="C985" i="6" l="1"/>
  <c r="E985" i="6"/>
  <c r="C986" i="6" l="1"/>
  <c r="E986" i="6"/>
  <c r="E987" i="6" l="1"/>
  <c r="C987" i="6"/>
  <c r="C988" i="6" l="1"/>
  <c r="E988" i="6"/>
  <c r="C989" i="6" l="1"/>
  <c r="E989" i="6"/>
  <c r="E990" i="6" l="1"/>
  <c r="C990" i="6"/>
  <c r="C991" i="6" l="1"/>
  <c r="E991" i="6"/>
  <c r="C992" i="6" l="1"/>
  <c r="E992" i="6"/>
  <c r="C993" i="6" l="1"/>
  <c r="E993" i="6"/>
  <c r="E994" i="6" l="1"/>
  <c r="C994" i="6"/>
  <c r="E995" i="6" l="1"/>
  <c r="C995" i="6"/>
  <c r="C996" i="6" l="1"/>
  <c r="E996" i="6"/>
  <c r="C997" i="6" l="1"/>
  <c r="E997" i="6"/>
  <c r="C998" i="6" l="1"/>
  <c r="E998" i="6"/>
  <c r="C999" i="6" l="1"/>
  <c r="E999" i="6"/>
  <c r="E1000" i="6" l="1"/>
  <c r="C1000" i="6"/>
  <c r="C1001" i="6" l="1"/>
  <c r="E1001" i="6"/>
  <c r="E1002" i="6" l="1"/>
  <c r="C1002" i="6"/>
  <c r="C1003" i="6" l="1"/>
  <c r="E1003" i="6"/>
  <c r="E1004" i="6" l="1"/>
  <c r="C1004" i="6"/>
  <c r="E1005" i="6" l="1"/>
  <c r="C1005" i="6"/>
  <c r="E1006" i="6" l="1"/>
  <c r="C1006" i="6"/>
  <c r="C1007" i="6" l="1"/>
  <c r="E1007" i="6"/>
  <c r="C1008" i="6" l="1"/>
  <c r="E1008" i="6"/>
  <c r="C1009" i="6" l="1"/>
  <c r="E1009" i="6"/>
  <c r="C1010" i="6" l="1"/>
  <c r="E1010" i="6"/>
  <c r="C1011" i="6" l="1"/>
  <c r="E1011" i="6"/>
  <c r="E1012" i="6" l="1"/>
  <c r="C1012" i="6"/>
  <c r="E1013" i="6" l="1"/>
  <c r="C1013" i="6"/>
  <c r="E1014" i="6" l="1"/>
  <c r="C1014" i="6"/>
  <c r="C1015" i="6" l="1"/>
  <c r="E1015" i="6"/>
  <c r="E1016" i="6" l="1"/>
  <c r="C1016" i="6"/>
  <c r="E1017" i="6" l="1"/>
  <c r="C1017" i="6"/>
  <c r="C1018" i="6" l="1"/>
  <c r="E1018" i="6"/>
  <c r="E1019" i="6" l="1"/>
  <c r="C1019" i="6"/>
  <c r="C1020" i="6" l="1"/>
  <c r="E1020" i="6"/>
  <c r="C1021" i="6" l="1"/>
  <c r="E1021" i="6"/>
  <c r="C1022" i="6" l="1"/>
  <c r="E1022" i="6"/>
  <c r="C1023" i="6" l="1"/>
  <c r="E1023" i="6"/>
  <c r="E1024" i="6" l="1"/>
  <c r="C1024" i="6"/>
  <c r="C1025" i="6" l="1"/>
  <c r="E1025" i="6"/>
  <c r="C1026" i="6" l="1"/>
  <c r="E1026" i="6"/>
  <c r="E1027" i="6" l="1"/>
  <c r="C1027" i="6"/>
  <c r="E1028" i="6" l="1"/>
  <c r="C1028" i="6"/>
  <c r="C1029" i="6" l="1"/>
  <c r="E1029" i="6"/>
  <c r="E1030" i="6" l="1"/>
  <c r="C1030" i="6"/>
  <c r="C1031" i="6" l="1"/>
  <c r="E1031" i="6"/>
  <c r="E1032" i="6" l="1"/>
  <c r="C1032" i="6"/>
  <c r="C1033" i="6" l="1"/>
  <c r="E1033" i="6"/>
  <c r="E1034" i="6" l="1"/>
  <c r="C1034" i="6"/>
  <c r="E1035" i="6" l="1"/>
  <c r="C1035" i="6"/>
  <c r="C1036" i="6" l="1"/>
  <c r="E1036" i="6"/>
  <c r="E1037" i="6" l="1"/>
  <c r="C1037" i="6"/>
  <c r="C1038" i="6" l="1"/>
  <c r="E1038" i="6"/>
  <c r="E1039" i="6" l="1"/>
  <c r="C1039" i="6"/>
  <c r="C1040" i="6" l="1"/>
  <c r="E1040" i="6"/>
  <c r="C1041" i="6" l="1"/>
  <c r="E1041" i="6"/>
  <c r="E1042" i="6" l="1"/>
  <c r="C1042" i="6"/>
  <c r="E1043" i="6" l="1"/>
  <c r="C1043" i="6"/>
  <c r="E1044" i="6" l="1"/>
  <c r="C1044" i="6"/>
  <c r="C1045" i="6" l="1"/>
  <c r="E1045" i="6"/>
  <c r="C1046" i="6" l="1"/>
  <c r="E1046" i="6"/>
  <c r="C1047" i="6" l="1"/>
  <c r="E1047" i="6"/>
  <c r="C1048" i="6" l="1"/>
  <c r="E1048" i="6"/>
  <c r="E1049" i="6" l="1"/>
  <c r="C1049" i="6"/>
  <c r="E1050" i="6" l="1"/>
  <c r="C1050" i="6"/>
  <c r="C1051" i="6" l="1"/>
  <c r="E1051" i="6"/>
  <c r="C1052" i="6" l="1"/>
  <c r="E1052" i="6"/>
  <c r="E1053" i="6" l="1"/>
  <c r="C1053" i="6"/>
  <c r="E1054" i="6" l="1"/>
  <c r="C1054" i="6"/>
  <c r="C1055" i="6" l="1"/>
  <c r="E1055" i="6"/>
  <c r="C1056" i="6" l="1"/>
  <c r="E1056" i="6"/>
  <c r="E1057" i="6" l="1"/>
  <c r="C1057" i="6"/>
  <c r="C1058" i="6" l="1"/>
  <c r="E1058" i="6"/>
  <c r="C1059" i="6" l="1"/>
  <c r="E1059" i="6"/>
  <c r="E1060" i="6" l="1"/>
  <c r="C1060" i="6"/>
  <c r="C1061" i="6" l="1"/>
  <c r="E1061" i="6"/>
  <c r="C1062" i="6" l="1"/>
  <c r="E1062" i="6"/>
  <c r="C1063" i="6" l="1"/>
  <c r="E1063" i="6"/>
  <c r="E1064" i="6" l="1"/>
  <c r="C1064" i="6"/>
  <c r="C1065" i="6" l="1"/>
  <c r="E1065" i="6"/>
  <c r="E1066" i="6" l="1"/>
  <c r="C1066" i="6"/>
  <c r="E1067" i="6" l="1"/>
  <c r="C1067" i="6"/>
  <c r="C1068" i="6" l="1"/>
  <c r="E1068" i="6"/>
  <c r="C1069" i="6" l="1"/>
  <c r="E1069" i="6"/>
  <c r="E1070" i="6" l="1"/>
  <c r="C1070" i="6"/>
  <c r="C1071" i="6" l="1"/>
  <c r="E1071" i="6"/>
  <c r="E1072" i="6" l="1"/>
  <c r="C1072" i="6"/>
  <c r="C1073" i="6" l="1"/>
  <c r="E1073" i="6"/>
  <c r="E1074" i="6" l="1"/>
  <c r="C1074" i="6"/>
  <c r="C1075" i="6" l="1"/>
  <c r="E1075" i="6"/>
  <c r="E1076" i="6" l="1"/>
  <c r="C1076" i="6"/>
  <c r="E1077" i="6" l="1"/>
  <c r="C1077" i="6"/>
  <c r="C1078" i="6" l="1"/>
  <c r="E1078" i="6"/>
  <c r="C1079" i="6" l="1"/>
  <c r="E1079" i="6"/>
  <c r="C1080" i="6" l="1"/>
  <c r="E1080" i="6"/>
  <c r="C1081" i="6" l="1"/>
  <c r="E1081" i="6"/>
  <c r="E1082" i="6" l="1"/>
  <c r="C1082" i="6"/>
  <c r="E1083" i="6" l="1"/>
  <c r="C1083" i="6"/>
  <c r="E1084" i="6" l="1"/>
  <c r="C1084" i="6"/>
  <c r="C1085" i="6" l="1"/>
  <c r="E1085" i="6"/>
  <c r="C1086" i="6" l="1"/>
  <c r="E1086" i="6"/>
  <c r="E1087" i="6" l="1"/>
  <c r="C1087" i="6"/>
  <c r="C1088" i="6" l="1"/>
  <c r="E1088" i="6"/>
  <c r="E1089" i="6" l="1"/>
  <c r="C1089" i="6"/>
  <c r="C1090" i="6" l="1"/>
  <c r="E1090" i="6"/>
  <c r="C1091" i="6" l="1"/>
  <c r="E1091" i="6"/>
  <c r="C1092" i="6" l="1"/>
  <c r="E1092" i="6"/>
  <c r="C1093" i="6" l="1"/>
  <c r="E1093" i="6"/>
  <c r="E1094" i="6" l="1"/>
  <c r="C1094" i="6"/>
  <c r="C1095" i="6" l="1"/>
  <c r="E1095" i="6"/>
  <c r="C1096" i="6" l="1"/>
  <c r="E1096" i="6"/>
  <c r="E1097" i="6" l="1"/>
  <c r="C1097" i="6"/>
  <c r="C1098" i="6" l="1"/>
  <c r="E1098" i="6"/>
  <c r="C1099" i="6" l="1"/>
  <c r="E1099" i="6"/>
  <c r="C1100" i="6" l="1"/>
  <c r="E1100" i="6"/>
  <c r="C1101" i="6" l="1"/>
  <c r="E1101" i="6"/>
  <c r="C1102" i="6" l="1"/>
  <c r="E1102" i="6"/>
  <c r="C1103" i="6" l="1"/>
  <c r="E1103" i="6"/>
  <c r="E1104" i="6" l="1"/>
  <c r="C1104" i="6"/>
  <c r="C1105" i="6" l="1"/>
  <c r="E1105" i="6"/>
  <c r="C1106" i="6" l="1"/>
  <c r="E1106" i="6"/>
  <c r="E1107" i="6" l="1"/>
  <c r="C1107" i="6"/>
  <c r="C1108" i="6" l="1"/>
  <c r="E1108" i="6"/>
  <c r="C1109" i="6" l="1"/>
  <c r="E1109" i="6"/>
  <c r="E1110" i="6" l="1"/>
  <c r="C1110" i="6"/>
  <c r="C1111" i="6" l="1"/>
  <c r="E1111" i="6"/>
  <c r="C1112" i="6" l="1"/>
  <c r="E1112" i="6"/>
  <c r="C1113" i="6" l="1"/>
  <c r="E1113" i="6"/>
  <c r="E1114" i="6" l="1"/>
  <c r="C1114" i="6"/>
  <c r="C1115" i="6" l="1"/>
  <c r="E1115" i="6"/>
  <c r="E1116" i="6" l="1"/>
  <c r="C1116" i="6"/>
  <c r="E1117" i="6" l="1"/>
  <c r="C1117" i="6"/>
  <c r="C1118" i="6" l="1"/>
  <c r="E1118" i="6"/>
  <c r="C1119" i="6" l="1"/>
  <c r="E1119" i="6"/>
  <c r="E1120" i="6" l="1"/>
  <c r="C1120" i="6"/>
  <c r="C1121" i="6" l="1"/>
  <c r="E1121" i="6"/>
  <c r="E1122" i="6" l="1"/>
  <c r="C1122" i="6"/>
  <c r="C1123" i="6" l="1"/>
  <c r="E1123" i="6"/>
  <c r="E1124" i="6" l="1"/>
  <c r="C1124" i="6"/>
  <c r="C1125" i="6" l="1"/>
  <c r="E1125" i="6"/>
  <c r="E1126" i="6" l="1"/>
  <c r="C1126" i="6"/>
  <c r="E1127" i="6" l="1"/>
  <c r="C1127" i="6"/>
  <c r="C1128" i="6" l="1"/>
  <c r="E1128" i="6"/>
  <c r="C1129" i="6" l="1"/>
  <c r="E1129" i="6"/>
  <c r="C1130" i="6" l="1"/>
  <c r="E1130" i="6"/>
  <c r="C1131" i="6" l="1"/>
  <c r="E1131" i="6"/>
  <c r="C1132" i="6" l="1"/>
  <c r="E1132" i="6"/>
  <c r="E1133" i="6" l="1"/>
  <c r="C1133" i="6"/>
  <c r="E1134" i="6" l="1"/>
  <c r="C1134" i="6"/>
  <c r="C1135" i="6" l="1"/>
  <c r="E1135" i="6"/>
  <c r="C1136" i="6" l="1"/>
  <c r="E1136" i="6"/>
  <c r="E1137" i="6" l="1"/>
  <c r="C1137" i="6"/>
  <c r="C1138" i="6" l="1"/>
  <c r="E1138" i="6"/>
  <c r="E1139" i="6" l="1"/>
  <c r="C1139" i="6"/>
  <c r="E1140" i="6" l="1"/>
  <c r="C1140" i="6"/>
  <c r="C1141" i="6" l="1"/>
  <c r="E1141" i="6"/>
  <c r="C1142" i="6" l="1"/>
  <c r="E1142" i="6"/>
  <c r="E1143" i="6" l="1"/>
  <c r="C1143" i="6"/>
  <c r="E1144" i="6" l="1"/>
  <c r="C1144" i="6"/>
  <c r="C1145" i="6" l="1"/>
  <c r="E1145" i="6"/>
  <c r="C1146" i="6" l="1"/>
  <c r="E1146" i="6"/>
  <c r="E1147" i="6" l="1"/>
  <c r="C1147" i="6"/>
  <c r="C1148" i="6" l="1"/>
  <c r="E1148" i="6"/>
  <c r="C1149" i="6" l="1"/>
  <c r="E1149" i="6"/>
  <c r="C1150" i="6" l="1"/>
  <c r="E1150" i="6"/>
  <c r="C1151" i="6" l="1"/>
  <c r="E1151" i="6"/>
  <c r="E1152" i="6" l="1"/>
  <c r="C1152" i="6"/>
  <c r="C1153" i="6" l="1"/>
  <c r="E1153" i="6"/>
  <c r="E1154" i="6" l="1"/>
  <c r="C1154" i="6"/>
  <c r="C1155" i="6" l="1"/>
  <c r="E1155" i="6"/>
  <c r="C1156" i="6" l="1"/>
  <c r="E1156" i="6"/>
  <c r="E1157" i="6" l="1"/>
  <c r="C1157" i="6"/>
  <c r="C1158" i="6" l="1"/>
  <c r="E1158" i="6"/>
  <c r="C1159" i="6" l="1"/>
  <c r="E1159" i="6"/>
  <c r="E1160" i="6" l="1"/>
  <c r="C1160" i="6"/>
  <c r="C1161" i="6" l="1"/>
  <c r="E1161" i="6"/>
  <c r="C1162" i="6" l="1"/>
  <c r="E1162" i="6"/>
  <c r="C1163" i="6" l="1"/>
  <c r="E1163" i="6"/>
  <c r="E1164" i="6" l="1"/>
  <c r="C1164" i="6"/>
  <c r="C1165" i="6" l="1"/>
  <c r="E1165" i="6"/>
  <c r="E1166" i="6" l="1"/>
  <c r="C1166" i="6"/>
  <c r="E1167" i="6" l="1"/>
  <c r="C1167" i="6"/>
  <c r="C1168" i="6" l="1"/>
  <c r="E1168" i="6"/>
  <c r="C1169" i="6" l="1"/>
  <c r="E1169" i="6"/>
  <c r="E1170" i="6" l="1"/>
  <c r="C1170" i="6"/>
  <c r="C1171" i="6" l="1"/>
  <c r="E1171" i="6"/>
  <c r="E1172" i="6" l="1"/>
  <c r="C1172" i="6"/>
  <c r="C1173" i="6" l="1"/>
  <c r="E1173" i="6"/>
  <c r="E1174" i="6" l="1"/>
  <c r="C1174" i="6"/>
  <c r="C1175" i="6" l="1"/>
  <c r="E1175" i="6"/>
  <c r="C1176" i="6" l="1"/>
  <c r="E1176" i="6"/>
  <c r="E1177" i="6" l="1"/>
  <c r="C1177" i="6"/>
  <c r="C1178" i="6" l="1"/>
  <c r="E1178" i="6"/>
  <c r="C1179" i="6" l="1"/>
  <c r="E1179" i="6"/>
  <c r="C1180" i="6" l="1"/>
  <c r="E1180" i="6"/>
  <c r="C1181" i="6" l="1"/>
  <c r="E1181" i="6"/>
  <c r="E1182" i="6" l="1"/>
  <c r="C1182" i="6"/>
  <c r="E1183" i="6" l="1"/>
  <c r="C1183" i="6"/>
  <c r="E1184" i="6" l="1"/>
  <c r="C1184" i="6"/>
  <c r="C1185" i="6" l="1"/>
  <c r="E1185" i="6"/>
  <c r="C1186" i="6" l="1"/>
  <c r="E1186" i="6"/>
  <c r="E1187" i="6" l="1"/>
  <c r="C1187" i="6"/>
  <c r="C1188" i="6" l="1"/>
  <c r="E1188" i="6"/>
  <c r="E1189" i="6" l="1"/>
  <c r="C1189" i="6"/>
  <c r="E1190" i="6" l="1"/>
  <c r="C1190" i="6"/>
  <c r="C1191" i="6" l="1"/>
  <c r="E1191" i="6"/>
  <c r="C1192" i="6" l="1"/>
  <c r="E1192" i="6"/>
  <c r="C1193" i="6" l="1"/>
  <c r="E1193" i="6"/>
  <c r="E1194" i="6" l="1"/>
  <c r="C1194" i="6"/>
  <c r="C1195" i="6" l="1"/>
  <c r="E1195" i="6"/>
  <c r="C1196" i="6" l="1"/>
  <c r="E1196" i="6"/>
  <c r="E1197" i="6" l="1"/>
  <c r="C1197" i="6"/>
  <c r="C1198" i="6" l="1"/>
  <c r="E1198" i="6"/>
  <c r="C1199" i="6" l="1"/>
  <c r="E1199" i="6"/>
  <c r="C1200" i="6" l="1"/>
  <c r="E1200" i="6"/>
  <c r="C1201" i="6" l="1"/>
  <c r="E1201" i="6"/>
  <c r="E1202" i="6" l="1"/>
  <c r="C1202" i="6"/>
  <c r="C1203" i="6" l="1"/>
  <c r="E1203" i="6"/>
  <c r="E1204" i="6" l="1"/>
  <c r="C1204" i="6"/>
  <c r="C1205" i="6" l="1"/>
  <c r="E1205" i="6"/>
  <c r="C1206" i="6" l="1"/>
  <c r="E1206" i="6"/>
  <c r="E1207" i="6" l="1"/>
  <c r="C1207" i="6"/>
  <c r="C1208" i="6" l="1"/>
  <c r="E1208" i="6"/>
  <c r="C1209" i="6" l="1"/>
  <c r="E1209" i="6"/>
  <c r="E1210" i="6" l="1"/>
  <c r="C1210" i="6"/>
  <c r="C1211" i="6" l="1"/>
  <c r="E1211" i="6"/>
  <c r="C1212" i="6" l="1"/>
  <c r="E1212" i="6"/>
  <c r="C1213" i="6" l="1"/>
  <c r="E1213" i="6"/>
  <c r="E1214" i="6" l="1"/>
  <c r="C1214" i="6"/>
  <c r="C1215" i="6" l="1"/>
  <c r="E1215" i="6"/>
  <c r="E1216" i="6" l="1"/>
  <c r="C1216" i="6"/>
  <c r="E1217" i="6" l="1"/>
  <c r="C1217" i="6"/>
  <c r="C1218" i="6" l="1"/>
  <c r="E1218" i="6"/>
  <c r="C1219" i="6" l="1"/>
  <c r="E1219" i="6"/>
  <c r="C1220" i="6" l="1"/>
  <c r="E1220" i="6"/>
  <c r="C1221" i="6" l="1"/>
  <c r="E1221" i="6"/>
  <c r="E1222" i="6" l="1"/>
  <c r="C1222" i="6"/>
  <c r="C1223" i="6" l="1"/>
  <c r="E1223" i="6"/>
  <c r="E1224" i="6" l="1"/>
  <c r="C1224" i="6"/>
  <c r="C1225" i="6" l="1"/>
  <c r="E1225" i="6"/>
  <c r="E1226" i="6" l="1"/>
  <c r="C1226" i="6"/>
  <c r="E1227" i="6" l="1"/>
  <c r="C1227" i="6"/>
  <c r="C1228" i="6" l="1"/>
  <c r="E1228" i="6"/>
  <c r="C1229" i="6" l="1"/>
  <c r="E1229" i="6"/>
  <c r="E1230" i="6" l="1"/>
  <c r="C1230" i="6"/>
  <c r="C1231" i="6" l="1"/>
  <c r="E1231" i="6"/>
  <c r="E1232" i="6" l="1"/>
  <c r="C1232" i="6"/>
  <c r="E1233" i="6" l="1"/>
  <c r="C1233" i="6"/>
  <c r="E1234" i="6" l="1"/>
  <c r="C1234" i="6"/>
  <c r="C1235" i="6" l="1"/>
  <c r="E1235" i="6"/>
  <c r="C1236" i="6" l="1"/>
  <c r="E1236" i="6"/>
  <c r="C1237" i="6" l="1"/>
  <c r="E1237" i="6"/>
  <c r="C1238" i="6" l="1"/>
  <c r="E1238" i="6"/>
  <c r="C1239" i="6" l="1"/>
  <c r="E1239" i="6"/>
  <c r="C1240" i="6" l="1"/>
  <c r="E1240" i="6"/>
  <c r="C1241" i="6" l="1"/>
  <c r="E1241" i="6"/>
  <c r="C1242" i="6" l="1"/>
  <c r="E1242" i="6"/>
  <c r="E1243" i="6" l="1"/>
  <c r="C1243" i="6"/>
  <c r="E1244" i="6" l="1"/>
  <c r="C1244" i="6"/>
  <c r="C1245" i="6" l="1"/>
  <c r="E1245" i="6"/>
  <c r="C1246" i="6" l="1"/>
  <c r="E1246" i="6"/>
  <c r="E1247" i="6" l="1"/>
  <c r="C1247" i="6"/>
  <c r="C1248" i="6" l="1"/>
  <c r="E1248" i="6"/>
  <c r="C1249" i="6" l="1"/>
  <c r="E1249" i="6"/>
  <c r="E1250" i="6" l="1"/>
  <c r="C1250" i="6"/>
  <c r="C1251" i="6" l="1"/>
  <c r="E1251" i="6"/>
  <c r="C1252" i="6" l="1"/>
  <c r="E1252" i="6"/>
  <c r="C1253" i="6" l="1"/>
  <c r="E1253" i="6"/>
  <c r="E1254" i="6" l="1"/>
  <c r="C1254" i="6"/>
  <c r="C1255" i="6" l="1"/>
  <c r="E1255" i="6"/>
  <c r="E1256" i="6" l="1"/>
  <c r="C1256" i="6"/>
  <c r="E1257" i="6" l="1"/>
  <c r="C1257" i="6"/>
  <c r="C1258" i="6" l="1"/>
  <c r="E1258" i="6"/>
  <c r="C1259" i="6" l="1"/>
  <c r="E1259" i="6"/>
  <c r="C1260" i="6" l="1"/>
  <c r="E1260" i="6"/>
  <c r="C1261" i="6" l="1"/>
  <c r="E1261" i="6"/>
  <c r="C1262" i="6" l="1"/>
  <c r="E1262" i="6"/>
  <c r="C1263" i="6" l="1"/>
  <c r="E1263" i="6"/>
  <c r="E1264" i="6" l="1"/>
  <c r="C1264" i="6"/>
  <c r="E1265" i="6" l="1"/>
  <c r="C1265" i="6"/>
  <c r="E1266" i="6" l="1"/>
  <c r="C1266" i="6"/>
  <c r="E1267" i="6" l="1"/>
  <c r="C1267" i="6"/>
  <c r="C1268" i="6" l="1"/>
  <c r="E1268" i="6"/>
  <c r="C1269" i="6" l="1"/>
  <c r="E1269" i="6"/>
  <c r="C1270" i="6" l="1"/>
  <c r="E1270" i="6"/>
  <c r="C1271" i="6" l="1"/>
  <c r="E1271" i="6"/>
  <c r="E1272" i="6" l="1"/>
  <c r="C1272" i="6"/>
  <c r="C1273" i="6" l="1"/>
  <c r="E1273" i="6"/>
  <c r="E1274" i="6" l="1"/>
  <c r="C1274" i="6"/>
  <c r="C1275" i="6" l="1"/>
  <c r="E1275" i="6"/>
  <c r="E1276" i="6" l="1"/>
  <c r="C1276" i="6"/>
  <c r="C1277" i="6" l="1"/>
  <c r="E1277" i="6"/>
  <c r="C1278" i="6" l="1"/>
  <c r="E1278" i="6"/>
  <c r="C1279" i="6" l="1"/>
  <c r="E1279" i="6"/>
  <c r="C1280" i="6" l="1"/>
  <c r="E1280" i="6"/>
  <c r="C1281" i="6" l="1"/>
  <c r="E1281" i="6"/>
  <c r="C1282" i="6" l="1"/>
  <c r="E1282" i="6"/>
  <c r="E1283" i="6" l="1"/>
  <c r="C1283" i="6"/>
  <c r="E1284" i="6" l="1"/>
  <c r="C1284" i="6"/>
  <c r="C1285" i="6" l="1"/>
  <c r="E1285" i="6"/>
  <c r="E1286" i="6" l="1"/>
  <c r="C1286" i="6"/>
  <c r="E1287" i="6" l="1"/>
  <c r="C1287" i="6"/>
  <c r="C1288" i="6" l="1"/>
  <c r="E1288" i="6"/>
  <c r="E1289" i="6" l="1"/>
  <c r="C1289" i="6"/>
  <c r="C1290" i="6" l="1"/>
  <c r="E1290" i="6"/>
  <c r="C1291" i="6" l="1"/>
  <c r="E1291" i="6"/>
  <c r="C1292" i="6" l="1"/>
  <c r="E1292" i="6"/>
  <c r="C1293" i="6" l="1"/>
  <c r="E1293" i="6"/>
  <c r="E1294" i="6" l="1"/>
  <c r="C1294" i="6"/>
  <c r="C1295" i="6" l="1"/>
  <c r="E1295" i="6"/>
  <c r="C1296" i="6" l="1"/>
  <c r="E1296" i="6"/>
  <c r="C1297" i="6" l="1"/>
  <c r="E1297" i="6"/>
  <c r="E1298" i="6" l="1"/>
  <c r="C1298" i="6"/>
  <c r="C1299" i="6" l="1"/>
  <c r="E1299" i="6"/>
  <c r="C1300" i="6" l="1"/>
  <c r="E1300" i="6"/>
  <c r="C1301" i="6" l="1"/>
  <c r="E1301" i="6"/>
  <c r="E1302" i="6" l="1"/>
  <c r="C1302" i="6"/>
  <c r="C1303" i="6" l="1"/>
  <c r="E1303" i="6"/>
  <c r="E1304" i="6" l="1"/>
  <c r="C1304" i="6"/>
  <c r="C1305" i="6" l="1"/>
  <c r="E1305" i="6"/>
  <c r="C1306" i="6" l="1"/>
  <c r="E1306" i="6"/>
  <c r="C1307" i="6" l="1"/>
  <c r="E1307" i="6"/>
  <c r="C1308" i="6" l="1"/>
  <c r="E1308" i="6"/>
  <c r="E1309" i="6" l="1"/>
  <c r="C1309" i="6"/>
  <c r="C1310" i="6" l="1"/>
  <c r="E1310" i="6"/>
  <c r="C1311" i="6" l="1"/>
  <c r="E1311" i="6"/>
  <c r="E1312" i="6" l="1"/>
  <c r="C1312" i="6"/>
  <c r="C1313" i="6" l="1"/>
  <c r="E1313" i="6"/>
  <c r="C1314" i="6" l="1"/>
  <c r="E1314" i="6"/>
  <c r="E1315" i="6" l="1"/>
  <c r="C1315" i="6"/>
  <c r="E1316" i="6" l="1"/>
  <c r="C1316" i="6"/>
  <c r="C1317" i="6" l="1"/>
  <c r="E1317" i="6"/>
  <c r="C1318" i="6" l="1"/>
  <c r="E1318" i="6"/>
  <c r="E1319" i="6" l="1"/>
  <c r="C1319" i="6"/>
  <c r="C1320" i="6" l="1"/>
  <c r="E1320" i="6"/>
  <c r="C1321" i="6" l="1"/>
  <c r="E1321" i="6"/>
  <c r="C1322" i="6" l="1"/>
  <c r="E1322" i="6"/>
  <c r="C1323" i="6" l="1"/>
  <c r="E1323" i="6"/>
  <c r="C1324" i="6" l="1"/>
  <c r="E1324" i="6"/>
  <c r="C1325" i="6" l="1"/>
  <c r="E1325" i="6"/>
  <c r="E1326" i="6" l="1"/>
  <c r="C1326" i="6"/>
  <c r="E1327" i="6" l="1"/>
  <c r="C1327" i="6"/>
  <c r="C1328" i="6" l="1"/>
  <c r="E1328" i="6"/>
  <c r="E1329" i="6" l="1"/>
  <c r="C1329" i="6"/>
  <c r="C1330" i="6" l="1"/>
  <c r="E1330" i="6"/>
  <c r="C1331" i="6" l="1"/>
  <c r="E1331" i="6"/>
  <c r="E1332" i="6" l="1"/>
  <c r="C1332" i="6"/>
  <c r="C1333" i="6" l="1"/>
  <c r="E1333" i="6"/>
  <c r="C1334" i="6" l="1"/>
  <c r="E1334" i="6"/>
  <c r="E1335" i="6" l="1"/>
  <c r="C1335" i="6"/>
  <c r="E1336" i="6" l="1"/>
  <c r="C1336" i="6"/>
  <c r="E1337" i="6" l="1"/>
  <c r="C1337" i="6"/>
  <c r="C1338" i="6" l="1"/>
  <c r="E1338" i="6"/>
  <c r="E1339" i="6" l="1"/>
  <c r="C1339" i="6"/>
  <c r="C1340" i="6" l="1"/>
  <c r="E1340" i="6"/>
  <c r="C1341" i="6" l="1"/>
  <c r="E1341" i="6"/>
  <c r="C1342" i="6" l="1"/>
  <c r="E1342" i="6"/>
  <c r="C1343" i="6" l="1"/>
  <c r="E1343" i="6"/>
  <c r="C1344" i="6" l="1"/>
  <c r="E1344" i="6"/>
  <c r="E1345" i="6" l="1"/>
  <c r="C1345" i="6"/>
  <c r="E1346" i="6" l="1"/>
  <c r="C1346" i="6"/>
  <c r="C1347" i="6" l="1"/>
  <c r="E1347" i="6"/>
  <c r="C1348" i="6" l="1"/>
  <c r="E1348" i="6"/>
  <c r="E1349" i="6" l="1"/>
  <c r="C1349" i="6"/>
  <c r="C1350" i="6" l="1"/>
  <c r="E1350" i="6"/>
  <c r="E1351" i="6" l="1"/>
  <c r="C1351" i="6"/>
  <c r="C1352" i="6" l="1"/>
  <c r="E1352" i="6"/>
  <c r="C1353" i="6" l="1"/>
  <c r="E1353" i="6"/>
  <c r="C1354" i="6" l="1"/>
  <c r="E1354" i="6"/>
  <c r="E1355" i="6" l="1"/>
  <c r="C1355" i="6"/>
  <c r="E1356" i="6" l="1"/>
  <c r="C1356" i="6"/>
  <c r="E1357" i="6" l="1"/>
  <c r="C1357" i="6"/>
  <c r="C1358" i="6" l="1"/>
  <c r="E1358" i="6"/>
  <c r="E1359" i="6" l="1"/>
  <c r="C1359" i="6"/>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2">
    <bk>
      <extLst>
        <ext uri="{3e2802c4-a4d2-4d8b-9148-e3be6c30e623}">
          <xlrd:rvb i="2"/>
        </ext>
      </extLst>
    </bk>
    <bk>
      <extLst>
        <ext uri="{3e2802c4-a4d2-4d8b-9148-e3be6c30e623}">
          <xlrd:rvb i="5"/>
        </ext>
      </extLst>
    </bk>
  </futureMetadata>
  <cellMetadata count="1">
    <bk>
      <rc t="1" v="0"/>
    </bk>
  </cellMetadata>
  <valueMetadata count="2">
    <bk>
      <rc t="2" v="0"/>
    </bk>
    <bk>
      <rc t="2" v="1"/>
    </bk>
  </valueMetadata>
</metadata>
</file>

<file path=xl/sharedStrings.xml><?xml version="1.0" encoding="utf-8"?>
<sst xmlns="http://schemas.openxmlformats.org/spreadsheetml/2006/main" count="83" uniqueCount="53">
  <si>
    <t>Date</t>
  </si>
  <si>
    <t>Company</t>
  </si>
  <si>
    <t># of Shares</t>
  </si>
  <si>
    <t>Monthly</t>
  </si>
  <si>
    <t>Forcast</t>
  </si>
  <si>
    <t>12 Months</t>
  </si>
  <si>
    <t xml:space="preserve">Date </t>
  </si>
  <si>
    <t>October, 2026</t>
  </si>
  <si>
    <t>24 Months</t>
  </si>
  <si>
    <t>October, 2027</t>
  </si>
  <si>
    <t>60 Months</t>
  </si>
  <si>
    <t>October, 2030</t>
  </si>
  <si>
    <t>Input</t>
  </si>
  <si>
    <t>Multiplier = 2/ (Number of Periods) + 1</t>
  </si>
  <si>
    <t>Multiplier</t>
  </si>
  <si>
    <t>EMA = (Close - Previuos EMA) * Multiplier + Previous EMA</t>
  </si>
  <si>
    <t>May Change</t>
  </si>
  <si>
    <t>Period (Short-Term)</t>
  </si>
  <si>
    <t>EMA</t>
  </si>
  <si>
    <t>long term moving average 200</t>
  </si>
  <si>
    <t>short term moving average 50</t>
  </si>
  <si>
    <t>if MA50&lt;MA200</t>
  </si>
  <si>
    <t>if MA50 &gt;MA200</t>
  </si>
  <si>
    <t>Sell</t>
  </si>
  <si>
    <t>Buy</t>
  </si>
  <si>
    <t>MA 200</t>
  </si>
  <si>
    <t>MA 50</t>
  </si>
  <si>
    <t>Adj Close JP Morgan</t>
  </si>
  <si>
    <t>Adj Close NVDA</t>
  </si>
  <si>
    <t>JP Morgan</t>
  </si>
  <si>
    <t>NVDA</t>
  </si>
  <si>
    <t>EMA NVDA</t>
  </si>
  <si>
    <t>EMA JPM</t>
  </si>
  <si>
    <t>Total Return with Golden Cross Strategy</t>
  </si>
  <si>
    <t>Previous Close</t>
  </si>
  <si>
    <t>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t>
  </si>
  <si>
    <t>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t>
  </si>
  <si>
    <t xml:space="preserve">P/E </t>
  </si>
  <si>
    <t>Beta</t>
  </si>
  <si>
    <t>P/E &gt; 20 = Growth Stock</t>
  </si>
  <si>
    <t>P/E &lt; 20 = Value Stock</t>
  </si>
  <si>
    <t>Adj Close NVDA </t>
  </si>
  <si>
    <t>Adj Close JPM </t>
  </si>
  <si>
    <t>Value Portfolio Allocation (100 Shares)</t>
  </si>
  <si>
    <t>JPM</t>
  </si>
  <si>
    <t>Growth Portfolio 60% NVDA 40% JPM</t>
  </si>
  <si>
    <t>Value Portfolio  40% NVDA 60% JPM</t>
  </si>
  <si>
    <t>Value Portfolio Forcast</t>
  </si>
  <si>
    <t xml:space="preserve">Projected Portfolio Value </t>
  </si>
  <si>
    <t>Growth  Portfolio Allocation (100 Shares)</t>
  </si>
  <si>
    <t>Growth Portfolio Forcast</t>
  </si>
  <si>
    <t>Adj Close JPM</t>
  </si>
  <si>
    <t>Total Return with EMA Strategy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</si>
</sst>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4" formatCode="_(&quot;$&quot;* #,##0.00_);_(&quot;$&quot;* \(#,##0.00\);_(&quot;$&quot;* &quot;-&quot;??_);_(@_)"/>
    <numFmt numFmtId="164" formatCode="0;[Red]0"/>
    <numFmt numFmtId="165" formatCode="_(&quot;$&quot;* #,##0_);_(&quot;$&quot;* \(#,##0\);_(&quot;$&quot;* &quot;-&quot;??_);_(@_)"/>
    <numFmt numFmtId="166" formatCode="_(&quot;$&quot;* #,##0.0_);_(&quot;$&quot;* \(#,##0.0\);_(&quot;$&quot;* &quot;-&quot;??_);_(@_)"/>
    <numFmt numFmtId="167" formatCode="_([$$-409]* #,##0.00_);_([$$-409]* \(#,##0.00\);_([$$-409]* &quot;-&quot;??_);_(@_)"/>
  </numFmts>
  <fonts count="7" x14ac:knownFonts="1">
    <font>
      <sz val="12"/>
      <color theme="1"/>
      <name val="Aptos Narrow"/>
      <family val="2"/>
      <scheme val="minor"/>
    </font>
    <font>
      <sz val="12"/>
      <color theme="1"/>
      <name val="Aptos Narrow"/>
      <family val="2"/>
      <scheme val="minor"/>
    </font>
    <font>
      <sz val="12"/>
      <color rgb="FF232A31"/>
      <name val="Arial"/>
      <family val="2"/>
    </font>
    <font>
      <sz val="14"/>
      <color rgb="FF232A31"/>
      <name val="Arial"/>
      <family val="2"/>
    </font>
    <font>
      <b/>
      <sz val="12"/>
      <color theme="1"/>
      <name val="Aptos Narrow"/>
      <scheme val="minor"/>
    </font>
    <font>
      <b/>
      <sz val="12"/>
      <color theme="1"/>
      <name val="Aptos Narrow"/>
      <family val="2"/>
      <scheme val="minor"/>
    </font>
    <font>
      <b/>
      <sz val="12"/>
      <color rgb="FF232A31"/>
      <name val="Arial"/>
      <family val="2"/>
    </font>
  </fonts>
  <fills count="5">
    <fill>
      <patternFill patternType="none"/>
    </fill>
    <fill>
      <patternFill patternType="gray125"/>
    </fill>
    <fill>
      <patternFill patternType="solid">
        <fgColor theme="9" tint="0.79998168889431442"/>
        <bgColor indexed="64"/>
      </patternFill>
    </fill>
    <fill>
      <patternFill patternType="solid">
        <fgColor theme="8" tint="0.39997558519241921"/>
        <bgColor indexed="64"/>
      </patternFill>
    </fill>
    <fill>
      <patternFill patternType="solid">
        <fgColor theme="1"/>
        <bgColor indexed="64"/>
      </patternFill>
    </fill>
  </fills>
  <borders count="23">
    <border>
      <left/>
      <right/>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right/>
      <top style="medium">
        <color indexed="64"/>
      </top>
      <bottom style="medium">
        <color indexed="64"/>
      </bottom>
      <diagonal/>
    </border>
    <border>
      <left/>
      <right style="thin">
        <color indexed="64"/>
      </right>
      <top/>
      <bottom style="thin">
        <color indexed="64"/>
      </bottom>
      <diagonal/>
    </border>
    <border>
      <left style="thin">
        <color indexed="64"/>
      </left>
      <right/>
      <top/>
      <bottom style="thin">
        <color indexed="64"/>
      </bottom>
      <diagonal/>
    </border>
    <border>
      <left/>
      <right style="thin">
        <color indexed="64"/>
      </right>
      <top/>
      <bottom/>
      <diagonal/>
    </border>
    <border>
      <left style="thin">
        <color indexed="64"/>
      </left>
      <right/>
      <top/>
      <bottom/>
      <diagonal/>
    </border>
    <border>
      <left/>
      <right style="thin">
        <color indexed="64"/>
      </right>
      <top style="thin">
        <color indexed="64"/>
      </top>
      <bottom/>
      <diagonal/>
    </border>
    <border>
      <left style="thin">
        <color indexed="64"/>
      </left>
      <right/>
      <top style="thin">
        <color indexed="64"/>
      </top>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right style="medium">
        <color indexed="64"/>
      </right>
      <top style="thin">
        <color indexed="64"/>
      </top>
      <bottom style="medium">
        <color indexed="64"/>
      </bottom>
      <diagonal/>
    </border>
    <border>
      <left/>
      <right style="medium">
        <color indexed="64"/>
      </right>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bottom style="thin">
        <color indexed="64"/>
      </bottom>
      <diagonal/>
    </border>
  </borders>
  <cellStyleXfs count="4">
    <xf numFmtId="0" fontId="0" fillId="0" borderId="0"/>
    <xf numFmtId="44" fontId="1" fillId="0" borderId="0" applyFont="0" applyFill="0" applyBorder="0" applyAlignment="0" applyProtection="0"/>
    <xf numFmtId="0" fontId="1" fillId="0" borderId="0"/>
    <xf numFmtId="44" fontId="1" fillId="0" borderId="0" applyFont="0" applyFill="0" applyBorder="0" applyAlignment="0" applyProtection="0"/>
  </cellStyleXfs>
  <cellXfs count="77">
    <xf numFmtId="0" fontId="0" fillId="0" borderId="0" xfId="0"/>
    <xf numFmtId="0" fontId="2" fillId="0" borderId="0" xfId="0" applyFont="1"/>
    <xf numFmtId="15" fontId="3" fillId="0" borderId="0" xfId="0" applyNumberFormat="1" applyFont="1"/>
    <xf numFmtId="0" fontId="3" fillId="0" borderId="0" xfId="0" applyFont="1"/>
    <xf numFmtId="0" fontId="0" fillId="0" borderId="2" xfId="0" applyBorder="1"/>
    <xf numFmtId="0" fontId="0" fillId="0" borderId="4" xfId="0" applyBorder="1"/>
    <xf numFmtId="0" fontId="2" fillId="0" borderId="0" xfId="0" applyFont="1" applyAlignment="1">
      <alignment horizontal="center"/>
    </xf>
    <xf numFmtId="0" fontId="0" fillId="0" borderId="0" xfId="0" applyAlignment="1">
      <alignment horizontal="center"/>
    </xf>
    <xf numFmtId="49" fontId="0" fillId="0" borderId="0" xfId="0" applyNumberFormat="1" applyAlignment="1">
      <alignment horizontal="center"/>
    </xf>
    <xf numFmtId="164" fontId="3" fillId="0" borderId="0" xfId="0" applyNumberFormat="1" applyFont="1" applyAlignment="1">
      <alignment horizontal="center"/>
    </xf>
    <xf numFmtId="164" fontId="0" fillId="0" borderId="0" xfId="0" applyNumberFormat="1" applyAlignment="1">
      <alignment horizontal="center"/>
    </xf>
    <xf numFmtId="0" fontId="0" fillId="0" borderId="1" xfId="0" applyBorder="1"/>
    <xf numFmtId="0" fontId="0" fillId="0" borderId="3" xfId="0" applyBorder="1"/>
    <xf numFmtId="0" fontId="0" fillId="0" borderId="7" xfId="0" applyBorder="1"/>
    <xf numFmtId="0" fontId="4" fillId="0" borderId="5" xfId="0" applyFont="1" applyBorder="1"/>
    <xf numFmtId="0" fontId="4" fillId="0" borderId="8" xfId="0" applyFont="1" applyBorder="1"/>
    <xf numFmtId="0" fontId="4" fillId="0" borderId="6" xfId="0" applyFont="1" applyBorder="1"/>
    <xf numFmtId="44" fontId="0" fillId="0" borderId="0" xfId="1" applyFont="1"/>
    <xf numFmtId="0" fontId="0" fillId="2" borderId="0" xfId="0" applyFill="1"/>
    <xf numFmtId="0" fontId="4" fillId="0" borderId="0" xfId="0" applyFont="1"/>
    <xf numFmtId="0" fontId="0" fillId="0" borderId="9" xfId="0" applyBorder="1"/>
    <xf numFmtId="0" fontId="4" fillId="0" borderId="10" xfId="0" applyFont="1" applyBorder="1"/>
    <xf numFmtId="166" fontId="0" fillId="2" borderId="0" xfId="1" applyNumberFormat="1" applyFont="1" applyFill="1"/>
    <xf numFmtId="0" fontId="0" fillId="0" borderId="11" xfId="0" applyBorder="1"/>
    <xf numFmtId="0" fontId="4" fillId="0" borderId="12" xfId="0" applyFont="1" applyBorder="1"/>
    <xf numFmtId="0" fontId="0" fillId="0" borderId="13" xfId="0" applyBorder="1"/>
    <xf numFmtId="0" fontId="4" fillId="0" borderId="14" xfId="0" applyFont="1" applyBorder="1"/>
    <xf numFmtId="0" fontId="4" fillId="2" borderId="0" xfId="0" applyFont="1" applyFill="1"/>
    <xf numFmtId="0" fontId="6" fillId="0" borderId="0" xfId="0" applyFont="1"/>
    <xf numFmtId="0" fontId="1" fillId="0" borderId="0" xfId="2"/>
    <xf numFmtId="0" fontId="3" fillId="0" borderId="0" xfId="2" applyFont="1"/>
    <xf numFmtId="15" fontId="3" fillId="0" borderId="0" xfId="2" applyNumberFormat="1" applyFont="1"/>
    <xf numFmtId="165" fontId="0" fillId="0" borderId="0" xfId="3" applyNumberFormat="1" applyFont="1"/>
    <xf numFmtId="0" fontId="2" fillId="0" borderId="0" xfId="2" applyFont="1"/>
    <xf numFmtId="0" fontId="5" fillId="0" borderId="0" xfId="2" applyFont="1" applyAlignment="1">
      <alignment vertical="center"/>
    </xf>
    <xf numFmtId="0" fontId="6" fillId="0" borderId="0" xfId="2" applyFont="1" applyAlignment="1">
      <alignment vertical="center"/>
    </xf>
    <xf numFmtId="0" fontId="1" fillId="0" borderId="17" xfId="2" applyBorder="1"/>
    <xf numFmtId="0" fontId="1" fillId="0" borderId="18" xfId="2" applyBorder="1"/>
    <xf numFmtId="44" fontId="1" fillId="0" borderId="18" xfId="1" applyBorder="1"/>
    <xf numFmtId="44" fontId="0" fillId="3" borderId="0" xfId="1" applyFont="1" applyFill="1"/>
    <xf numFmtId="0" fontId="0" fillId="4" borderId="0" xfId="0" applyFill="1"/>
    <xf numFmtId="44" fontId="1" fillId="0" borderId="17" xfId="1" applyBorder="1"/>
    <xf numFmtId="44" fontId="1" fillId="0" borderId="0" xfId="1" applyBorder="1"/>
    <xf numFmtId="167" fontId="0" fillId="0" borderId="0" xfId="0" applyNumberFormat="1"/>
    <xf numFmtId="0" fontId="0" fillId="0" borderId="0" xfId="0" applyAlignment="1">
      <alignment wrapText="1"/>
    </xf>
    <xf numFmtId="0" fontId="0" fillId="0" borderId="0" xfId="0" applyAlignment="1">
      <alignment wrapText="1"/>
    </xf>
    <xf numFmtId="0" fontId="4" fillId="0" borderId="0" xfId="0" applyFont="1"/>
    <xf numFmtId="0" fontId="4" fillId="0" borderId="16" xfId="0" applyFont="1" applyBorder="1" applyAlignment="1">
      <alignment horizontal="center"/>
    </xf>
    <xf numFmtId="0" fontId="4" fillId="0" borderId="15" xfId="0" applyFont="1" applyBorder="1" applyAlignment="1">
      <alignment horizontal="center"/>
    </xf>
    <xf numFmtId="0" fontId="1" fillId="0" borderId="5" xfId="2" applyBorder="1"/>
    <xf numFmtId="0" fontId="1" fillId="0" borderId="6" xfId="2" applyBorder="1"/>
    <xf numFmtId="0" fontId="1" fillId="0" borderId="0" xfId="2"/>
    <xf numFmtId="4" fontId="0" fillId="0" borderId="0" xfId="0" applyNumberFormat="1"/>
    <xf numFmtId="4" fontId="0" fillId="0" borderId="0" xfId="0" applyNumberFormat="1" applyAlignment="1">
      <alignment horizontal="right"/>
    </xf>
    <xf numFmtId="0" fontId="4" fillId="0" borderId="0" xfId="0" applyFont="1" applyAlignment="1">
      <alignment horizontal="right"/>
    </xf>
    <xf numFmtId="44" fontId="0" fillId="2" borderId="0" xfId="1" applyFont="1" applyFill="1"/>
    <xf numFmtId="0" fontId="1" fillId="4" borderId="0" xfId="2" applyFill="1"/>
    <xf numFmtId="0" fontId="2" fillId="0" borderId="0" xfId="0" applyFont="1" applyFill="1" applyBorder="1"/>
    <xf numFmtId="0" fontId="0" fillId="0" borderId="0" xfId="0" applyBorder="1"/>
    <xf numFmtId="0" fontId="2" fillId="0" borderId="0" xfId="0" applyFont="1" applyBorder="1"/>
    <xf numFmtId="0" fontId="0" fillId="0" borderId="20" xfId="0" applyBorder="1"/>
    <xf numFmtId="44" fontId="6" fillId="0" borderId="0" xfId="1" applyFont="1"/>
    <xf numFmtId="0" fontId="6" fillId="0" borderId="0" xfId="0" applyFont="1" applyBorder="1"/>
    <xf numFmtId="0" fontId="2" fillId="0" borderId="21" xfId="0" applyFont="1" applyBorder="1"/>
    <xf numFmtId="0" fontId="0" fillId="0" borderId="19" xfId="0" applyBorder="1"/>
    <xf numFmtId="0" fontId="2" fillId="0" borderId="22" xfId="0" applyFont="1" applyBorder="1"/>
    <xf numFmtId="0" fontId="2" fillId="0" borderId="20" xfId="0" applyFont="1" applyBorder="1"/>
    <xf numFmtId="0" fontId="4" fillId="0" borderId="5" xfId="0" applyFont="1" applyBorder="1" applyAlignment="1">
      <alignment horizontal="center"/>
    </xf>
    <xf numFmtId="0" fontId="4" fillId="0" borderId="6" xfId="0" applyFont="1" applyBorder="1" applyAlignment="1">
      <alignment horizontal="center"/>
    </xf>
    <xf numFmtId="44" fontId="0" fillId="0" borderId="0" xfId="1" applyFont="1" applyBorder="1"/>
    <xf numFmtId="0" fontId="4" fillId="0" borderId="0" xfId="0" applyFont="1" applyBorder="1"/>
    <xf numFmtId="44" fontId="0" fillId="0" borderId="2" xfId="1" applyFont="1" applyBorder="1"/>
    <xf numFmtId="44" fontId="0" fillId="0" borderId="4" xfId="1" applyFont="1" applyBorder="1"/>
    <xf numFmtId="0" fontId="0" fillId="0" borderId="5" xfId="0" applyBorder="1"/>
    <xf numFmtId="0" fontId="0" fillId="0" borderId="8" xfId="0" applyBorder="1"/>
    <xf numFmtId="0" fontId="0" fillId="0" borderId="6" xfId="0" applyBorder="1"/>
    <xf numFmtId="44" fontId="0" fillId="0" borderId="18" xfId="1" applyFont="1" applyBorder="1"/>
  </cellXfs>
  <cellStyles count="4">
    <cellStyle name="Currency" xfId="1" builtinId="4"/>
    <cellStyle name="Currency 2" xfId="3" xr:uid="{FDD13A17-77AC-2445-9A6F-878801770ED6}"/>
    <cellStyle name="Normal" xfId="0" builtinId="0"/>
    <cellStyle name="Normal 2" xfId="2" xr:uid="{D2529D6E-4227-2246-A03F-DFAEFE1A3F1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microsoft.com/office/2017/06/relationships/richStyles" Target="richData/richStyles.xml"/><Relationship Id="rId1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theme" Target="theme/theme1.xml"/><Relationship Id="rId12" Type="http://schemas.microsoft.com/office/2017/06/relationships/rdRichValueStructure" Target="richData/rdrichvaluestructure.xml"/><Relationship Id="rId17" Type="http://schemas.microsoft.com/office/2017/10/relationships/person" Target="persons/person.xml"/><Relationship Id="rId2" Type="http://schemas.openxmlformats.org/officeDocument/2006/relationships/worksheet" Target="worksheets/sheet2.xml"/><Relationship Id="rId16" Type="http://schemas.microsoft.com/office/2017/06/relationships/rdRichValueTypes" Target="richData/rdRichValueTypes.xml"/><Relationship Id="rId1" Type="http://schemas.openxmlformats.org/officeDocument/2006/relationships/worksheet" Target="worksheets/sheet1.xml"/><Relationship Id="rId6" Type="http://schemas.openxmlformats.org/officeDocument/2006/relationships/externalLink" Target="externalLinks/externalLink1.xml"/><Relationship Id="rId11" Type="http://schemas.microsoft.com/office/2017/06/relationships/rdRichValue" Target="richData/rdrichvalue.xml"/><Relationship Id="rId5" Type="http://schemas.openxmlformats.org/officeDocument/2006/relationships/worksheet" Target="worksheets/sheet5.xml"/><Relationship Id="rId15" Type="http://schemas.microsoft.com/office/2017/06/relationships/rdSupportingPropertyBag" Target="richData/rdsupportingpropertybag.xml"/><Relationship Id="rId10"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sharedStrings" Target="sharedStrings.xml"/><Relationship Id="rId14" Type="http://schemas.microsoft.com/office/2017/06/relationships/rdSupportingPropertyBagStructure" Target="richData/rdsupportingpropertybagstructure.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25400</xdr:colOff>
      <xdr:row>28</xdr:row>
      <xdr:rowOff>190500</xdr:rowOff>
    </xdr:from>
    <xdr:to>
      <xdr:col>12</xdr:col>
      <xdr:colOff>457200</xdr:colOff>
      <xdr:row>38</xdr:row>
      <xdr:rowOff>177800</xdr:rowOff>
    </xdr:to>
    <xdr:pic>
      <xdr:nvPicPr>
        <xdr:cNvPr id="3" name="Picture 2">
          <a:extLst>
            <a:ext uri="{FF2B5EF4-FFF2-40B4-BE49-F238E27FC236}">
              <a16:creationId xmlns:a16="http://schemas.microsoft.com/office/drawing/2014/main" id="{0CEF66E8-DC98-B6F4-C191-CC70D2A5E1DE}"/>
            </a:ext>
          </a:extLst>
        </xdr:cNvPr>
        <xdr:cNvPicPr>
          <a:picLocks noChangeAspect="1"/>
        </xdr:cNvPicPr>
      </xdr:nvPicPr>
      <xdr:blipFill>
        <a:blip xmlns:r="http://schemas.openxmlformats.org/officeDocument/2006/relationships" r:embed="rId1"/>
        <a:stretch>
          <a:fillRect/>
        </a:stretch>
      </xdr:blipFill>
      <xdr:spPr>
        <a:xfrm>
          <a:off x="8788400" y="5092700"/>
          <a:ext cx="4559300" cy="2019300"/>
        </a:xfrm>
        <a:prstGeom prst="rect">
          <a:avLst/>
        </a:prstGeom>
      </xdr:spPr>
    </xdr:pic>
    <xdr:clientData/>
  </xdr:twoCellAnchor>
  <xdr:twoCellAnchor editAs="oneCell">
    <xdr:from>
      <xdr:col>7</xdr:col>
      <xdr:colOff>15486</xdr:colOff>
      <xdr:row>2</xdr:row>
      <xdr:rowOff>0</xdr:rowOff>
    </xdr:from>
    <xdr:to>
      <xdr:col>12</xdr:col>
      <xdr:colOff>495300</xdr:colOff>
      <xdr:row>9</xdr:row>
      <xdr:rowOff>76200</xdr:rowOff>
    </xdr:to>
    <xdr:pic>
      <xdr:nvPicPr>
        <xdr:cNvPr id="5" name="Picture 4">
          <a:extLst>
            <a:ext uri="{FF2B5EF4-FFF2-40B4-BE49-F238E27FC236}">
              <a16:creationId xmlns:a16="http://schemas.microsoft.com/office/drawing/2014/main" id="{00C9A224-F5F0-DD03-60A4-75380D49E223}"/>
            </a:ext>
          </a:extLst>
        </xdr:cNvPr>
        <xdr:cNvPicPr>
          <a:picLocks noChangeAspect="1"/>
        </xdr:cNvPicPr>
      </xdr:nvPicPr>
      <xdr:blipFill>
        <a:blip xmlns:r="http://schemas.openxmlformats.org/officeDocument/2006/relationships" r:embed="rId2"/>
        <a:stretch>
          <a:fillRect/>
        </a:stretch>
      </xdr:blipFill>
      <xdr:spPr>
        <a:xfrm>
          <a:off x="8778486" y="406400"/>
          <a:ext cx="4607314" cy="14986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olucdenver-my.sharepoint.com/Applications/Microsoft%20Excel.app/Contents/Frameworks/ATP.framework/Resources/en.lproj/FUNCRES.XLAM" TargetMode="External"/><Relationship Id="rId1" Type="http://schemas.openxmlformats.org/officeDocument/2006/relationships/externalLinkPath" Target="/Applications/Microsoft%20Excel.app/Contents/Frameworks/ATP.framework/Resources/en.lproj/FUNCRES.XLAM"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S"/>
    </sheetNames>
    <sheetDataSet>
      <sheetData sheetId="0">
        <row r="59">
          <cell r="B59" t="str">
            <v>Engineering</v>
          </cell>
        </row>
        <row r="63">
          <cell r="B63" t="str">
            <v>Statistical</v>
          </cell>
        </row>
      </sheetData>
    </sheetDataSet>
  </externalBook>
</externalLink>
</file>

<file path=xl/persons/person.xml><?xml version="1.0" encoding="utf-8"?>
<personList xmlns="http://schemas.microsoft.com/office/spreadsheetml/2018/threadedcomments" xmlns:x="http://schemas.openxmlformats.org/spreadsheetml/2006/main"/>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6">
  <rv s="0">
    <v>https://www.bing.com/financeapi/forcetrigger?t=a1yv52&amp;q=XNAS%3aNVDA&amp;form=skydnc</v>
    <v>Learn more on Bing</v>
  </rv>
  <rv s="1">
    <v>0</v>
    <v>NVIDIA CORPORATION (XNAS:NVDA)</v>
    <v>2</v>
    <v>3</v>
    <v>Finance</v>
    <v>4</v>
    <v>en-US</v>
    <v>a1yv52</v>
    <v>268435456</v>
    <v>1</v>
    <v>Powered by Refinitiv</v>
    <v>195.62</v>
    <v>86.62</v>
    <v>2.109</v>
    <v>-9.41</v>
    <v>-4.8864999999999999E-2</v>
    <v>3.9899999999999998E-2</v>
    <v>2.1780000000000001E-4</v>
    <v>USD</v>
    <v>NVIDIA Corporation is a full-stack computing infrastructure company. The Company is engaged in accelerated computing to help solve the challenging computational problems. The Company’s segments include Compute &amp; Networking and Graphics. The Compute &amp; Networking segment includes its Data Center accelerated computing platforms and artificial intelligence (AI) solutions and software; networking; automotive platforms and autonomous and electric vehicle solutions; Jetson for robotics and other embedded platforms, and DGX Cloud computing services. The Graphics segment includes GeForce GPUs for gaming and PCs, the GeForce NOW game streaming service and related infrastructure, and solutions for gaming platforms; Quadro/NVIDIA RTX GPUs for enterprise workstation graphics; virtual GPU software for cloud-based visual and virtual computing; automotive platforms for infotainment systems, and Omniverse Enterprise software for building and operating industrial AI and digital twin applications.</v>
    <v>36000</v>
    <v>Nasdaq Stock Market</v>
    <v>XNAS</v>
    <v>XNAS</v>
    <v>2788 San Tomas Expressway, SANTA CLARA, CA, 95051 US</v>
    <v>195.62</v>
    <v>Semiconductors &amp; Semiconductor Equipment</v>
    <v>Stock</v>
    <v>45940.999999085157</v>
    <v>0</v>
    <v>182.05</v>
    <v>4450788000000</v>
    <v>NVIDIA CORPORATION</v>
    <v>NVIDIA CORPORATION</v>
    <v>193.505</v>
    <v>54.808399999999999</v>
    <v>192.57</v>
    <v>183.16</v>
    <v>183.19990000000001</v>
    <v>24300000000</v>
    <v>NVDA</v>
    <v>NVIDIA CORPORATION (XNAS:NVDA)</v>
    <v>268774359</v>
    <v>176496613</v>
    <v>1998</v>
  </rv>
  <rv s="2">
    <v>1</v>
  </rv>
  <rv s="0">
    <v>https://www.bing.com/financeapi/forcetrigger?t=a1waa2&amp;q=XNYS%3aJPM&amp;form=skydnc</v>
    <v>Learn more on Bing</v>
  </rv>
  <rv s="1">
    <v>0</v>
    <v>JPMORGAN CHASE &amp; CO. (XNYS:JPM)</v>
    <v>2</v>
    <v>3</v>
    <v>Finance</v>
    <v>4</v>
    <v>en-US</v>
    <v>a1waa2</v>
    <v>268435456</v>
    <v>1</v>
    <v>Powered by Refinitiv</v>
    <v>318.01</v>
    <v>202.16</v>
    <v>1.1437999999999999</v>
    <v>-4.6399999999999997</v>
    <v>-1.5186999999999999E-2</v>
    <v>-0.77</v>
    <v>-2.5590000000000001E-3</v>
    <v>USD</v>
    <v>JPMorgan Chase &amp; Co. is a financial holding company. The Company is engaged in investment banking, financial services for consumers and small businesses, commercial banking, financial transaction processing and asset management. The Company operates through three segments: Consumer &amp; Community Banking (CCB), Commercial &amp; Investment Bank (CIB), and Asset &amp; Wealth Management (AWM). Its CCB segment offers products and services to consumers and small businesses through bank branches, ATMs, digital and telephone banking. Its CIB segment consists of banking and payments and markets and securities services, and offers a suite of investment banking, lending, payments, market-making, financing, custody and securities products and services to a global base of corporate and institutional clients. AWM segment offers investment and wealth management solutions. It offers multi-asset investment management solutions, retirement products and services, brokerage, custody, estate planning, and others.</v>
    <v>317160</v>
    <v>New York Stock Exchange</v>
    <v>XNYS</v>
    <v>XNYS</v>
    <v>383 Madison Avenue, NEW YORK, NY, 10179-0001 US</v>
    <v>310.47000000000003</v>
    <v>Banking Services</v>
    <v>Stock</v>
    <v>45940.999928251564</v>
    <v>3</v>
    <v>300.81</v>
    <v>827373481060</v>
    <v>JPMORGAN CHASE &amp; CO.</v>
    <v>JPMORGAN CHASE &amp; CO.</v>
    <v>305.66000000000003</v>
    <v>15.676</v>
    <v>305.52999999999997</v>
    <v>300.89</v>
    <v>300.12</v>
    <v>2749754000</v>
    <v>JPM</v>
    <v>JPMORGAN CHASE &amp; CO. (XNYS:JPM)</v>
    <v>8597384</v>
    <v>8580066</v>
    <v>1968</v>
  </rv>
  <rv s="2">
    <v>4</v>
  </rv>
</rvData>
</file>

<file path=xl/richData/rdrichvaluestructure.xml><?xml version="1.0" encoding="utf-8"?>
<rvStructures xmlns="http://schemas.microsoft.com/office/spreadsheetml/2017/richdata" count="3">
  <s t="_hyperlink">
    <k n="Address" t="s"/>
    <k n="Text" t="s"/>
  </s>
  <s t="_linkedentitycore">
    <k n="_Display" t="spb"/>
    <k n="_DisplayString" t="s"/>
    <k n="_Flags" t="spb"/>
    <k n="_Format" t="spb"/>
    <k n="_Icon" t="s"/>
    <k n="_SubLabel" t="spb"/>
    <k n="%EntityCulture" t="s"/>
    <k n="%EntityId" t="s"/>
    <k n="%EntityServiceId"/>
    <k n="%IsRefreshable" t="b"/>
    <k n="%ProviderInfo" t="s"/>
    <k n="52 week high"/>
    <k n="52 week low"/>
    <k n="Beta"/>
    <k n="Change"/>
    <k n="Change (%)"/>
    <k n="Change (Extended hours)"/>
    <k n="Change % (Extended hours)"/>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Price (Extended hours)"/>
    <k n="Shares outstanding"/>
    <k n="Ticker symbol" t="s"/>
    <k n="UniqueName" t="s"/>
    <k n="Volume"/>
    <k n="Volume average"/>
    <k n="Year incorporated"/>
  </s>
  <s t="_linkedentity">
    <k n="%cvi" t="r"/>
  </s>
</rvStructures>
</file>

<file path=xl/richData/rdsupportingpropertybag.xml><?xml version="1.0" encoding="utf-8"?>
<supportingPropertyBags xmlns="http://schemas.microsoft.com/office/spreadsheetml/2017/richdata2">
  <spbArrays count="1">
    <a count="45">
      <v t="s">%EntityServiceId</v>
      <v t="s">_Format</v>
      <v t="s">%IsRefreshable</v>
      <v t="s">%EntityCulture</v>
      <v t="s">%EntityId</v>
      <v t="s">_Icon</v>
      <v t="s">_Display</v>
      <v t="s">Name</v>
      <v t="s">_SubLabel</v>
      <v t="s">Price</v>
      <v t="s">Price (Extended hours)</v>
      <v t="s">Exchange</v>
      <v t="s">Official name</v>
      <v t="s">Last trade time</v>
      <v t="s">Ticker symbol</v>
      <v t="s">Exchange abbreviation</v>
      <v t="s">Change</v>
      <v t="s">Change (Extended hours)</v>
      <v t="s">Change (%)</v>
      <v t="s">Change % (Extended hours)</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5">
    <spb s="0">
      <v>0</v>
      <v>Name</v>
      <v>LearnMoreOnLink</v>
    </spb>
    <spb s="1">
      <v>0</v>
      <v>0</v>
      <v>0</v>
    </spb>
    <spb s="2">
      <v>1</v>
      <v>1</v>
      <v>1</v>
      <v>1</v>
    </spb>
    <spb s="3">
      <v>1</v>
      <v>2</v>
      <v>2</v>
      <v>1</v>
      <v>3</v>
      <v>1</v>
      <v>1</v>
      <v>1</v>
      <v>4</v>
      <v>4</v>
      <v>5</v>
      <v>6</v>
      <v>1</v>
      <v>1</v>
      <v>1</v>
      <v>4</v>
      <v>7</v>
      <v>8</v>
      <v>9</v>
      <v>4</v>
      <v>1</v>
      <v>1</v>
      <v>5</v>
    </spb>
    <spb s="4">
      <v>at close</v>
      <v>from previous close</v>
      <v>from previous close</v>
      <v>Source: Nasdaq</v>
      <v>GMT</v>
      <v>Delayed 15 minutes</v>
      <v>from close</v>
      <v>from close</v>
    </spb>
  </spbData>
</supportingPropertyBags>
</file>

<file path=xl/richData/rdsupportingpropertybagstructure.xml><?xml version="1.0" encoding="utf-8"?>
<spbStructures xmlns="http://schemas.microsoft.com/office/spreadsheetml/2017/richdata2" count="5">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k n="Price (Extended hours)" t="i"/>
    <k n="Change (Extended hours)" t="i"/>
    <k n="Change % (Extended hours)" t="i"/>
  </s>
  <s>
    <k n="Price" t="s"/>
    <k n="Change" t="s"/>
    <k n="Change (%)" t="s"/>
    <k n="ExchangeID" t="s"/>
    <k n="Last trade time" t="s"/>
    <k n="Price (Extended hours)" t="s"/>
    <k n="Change (Extended hours)" t="s"/>
    <k n="Change % (Extended hours)" t="s"/>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7">
    <x:dxf>
      <x:numFmt numFmtId="2" formatCode="0.00"/>
    </x:dxf>
    <x:dxf>
      <x:numFmt numFmtId="0" formatCode="General"/>
    </x:dxf>
    <x:dxf>
      <x:numFmt numFmtId="27" formatCode="m/d/yy\ h:mm"/>
    </x:dxf>
    <x:dxf>
      <x:numFmt numFmtId="14" formatCode="0.00%"/>
    </x:dxf>
    <x:dxf>
      <x:numFmt numFmtId="3" formatCode="#,##0"/>
    </x:dxf>
    <x:dxf>
      <x:numFmt numFmtId="4" formatCode="#,##0.00"/>
    </x:dxf>
    <x:dxf>
      <x:numFmt numFmtId="1" formatCode="0"/>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47B767-8910-B947-9822-87AC4E9BCE7C}">
  <dimension ref="A2:J55"/>
  <sheetViews>
    <sheetView tabSelected="1" workbookViewId="0">
      <selection activeCell="F32" sqref="F32:J39"/>
    </sheetView>
  </sheetViews>
  <sheetFormatPr baseColWidth="10" defaultRowHeight="16" x14ac:dyDescent="0.2"/>
  <cols>
    <col min="1" max="1" width="42.83203125" customWidth="1"/>
    <col min="2" max="2" width="13.5" customWidth="1"/>
    <col min="3" max="3" width="7.6640625" customWidth="1"/>
    <col min="4" max="5" width="14.6640625" customWidth="1"/>
  </cols>
  <sheetData>
    <row r="2" spans="1:10" s="19" customFormat="1" x14ac:dyDescent="0.2">
      <c r="B2" s="19" t="s">
        <v>34</v>
      </c>
      <c r="C2" s="54" t="s">
        <v>37</v>
      </c>
      <c r="D2" s="54" t="s">
        <v>38</v>
      </c>
      <c r="F2" s="46" t="s">
        <v>39</v>
      </c>
      <c r="G2" s="46"/>
      <c r="H2" s="46"/>
      <c r="I2" s="46"/>
      <c r="J2" s="46"/>
    </row>
    <row r="3" spans="1:10" x14ac:dyDescent="0.2">
      <c r="A3" t="e" vm="1">
        <v>#VALUE!</v>
      </c>
      <c r="B3" s="43" cm="1">
        <f t="array" aca="1" ref="B3" ca="1">_FV(A3,"Previous close",TRUE)</f>
        <v>192.57</v>
      </c>
      <c r="C3" s="53" cm="1">
        <f t="array" aca="1" ref="C3" ca="1">_FV(A3,"P/E",TRUE)</f>
        <v>54.808399999999999</v>
      </c>
      <c r="D3" s="52" cm="1">
        <f t="array" aca="1" ref="D3" ca="1">_FV(A3,"Beta")</f>
        <v>2.109</v>
      </c>
      <c r="E3" s="43"/>
    </row>
    <row r="4" spans="1:10" x14ac:dyDescent="0.2">
      <c r="A4" s="45" t="s">
        <v>35</v>
      </c>
      <c r="C4" s="44"/>
      <c r="E4" s="43"/>
    </row>
    <row r="5" spans="1:10" x14ac:dyDescent="0.2">
      <c r="A5" s="45"/>
      <c r="C5" s="44"/>
      <c r="E5" s="43"/>
    </row>
    <row r="6" spans="1:10" x14ac:dyDescent="0.2">
      <c r="A6" s="45"/>
      <c r="C6" s="44"/>
    </row>
    <row r="7" spans="1:10" x14ac:dyDescent="0.2">
      <c r="A7" s="45"/>
      <c r="C7" s="44"/>
    </row>
    <row r="8" spans="1:10" x14ac:dyDescent="0.2">
      <c r="A8" s="45"/>
      <c r="C8" s="44"/>
    </row>
    <row r="9" spans="1:10" x14ac:dyDescent="0.2">
      <c r="A9" s="45"/>
      <c r="C9" s="44"/>
    </row>
    <row r="10" spans="1:10" x14ac:dyDescent="0.2">
      <c r="A10" s="45"/>
      <c r="C10" s="44"/>
    </row>
    <row r="11" spans="1:10" x14ac:dyDescent="0.2">
      <c r="A11" s="45"/>
      <c r="C11" s="44"/>
    </row>
    <row r="12" spans="1:10" x14ac:dyDescent="0.2">
      <c r="A12" s="45"/>
      <c r="C12" s="44"/>
    </row>
    <row r="13" spans="1:10" x14ac:dyDescent="0.2">
      <c r="A13" s="45"/>
      <c r="C13" s="44"/>
    </row>
    <row r="14" spans="1:10" x14ac:dyDescent="0.2">
      <c r="A14" s="45"/>
      <c r="C14" s="44"/>
    </row>
    <row r="15" spans="1:10" x14ac:dyDescent="0.2">
      <c r="A15" s="45"/>
      <c r="C15" s="44"/>
    </row>
    <row r="16" spans="1:10" x14ac:dyDescent="0.2">
      <c r="A16" s="45"/>
      <c r="C16" s="44"/>
    </row>
    <row r="17" spans="1:10" x14ac:dyDescent="0.2">
      <c r="A17" s="45"/>
      <c r="C17" s="44"/>
    </row>
    <row r="18" spans="1:10" x14ac:dyDescent="0.2">
      <c r="A18" s="45"/>
      <c r="C18" s="44"/>
    </row>
    <row r="19" spans="1:10" x14ac:dyDescent="0.2">
      <c r="A19" s="45"/>
      <c r="C19" s="44"/>
    </row>
    <row r="20" spans="1:10" x14ac:dyDescent="0.2">
      <c r="A20" s="45"/>
      <c r="C20" s="44"/>
    </row>
    <row r="21" spans="1:10" x14ac:dyDescent="0.2">
      <c r="A21" s="45"/>
      <c r="C21" s="44"/>
    </row>
    <row r="22" spans="1:10" x14ac:dyDescent="0.2">
      <c r="A22" s="45"/>
      <c r="C22" s="44"/>
    </row>
    <row r="23" spans="1:10" x14ac:dyDescent="0.2">
      <c r="A23" s="45"/>
      <c r="C23" s="44"/>
    </row>
    <row r="24" spans="1:10" ht="17" customHeight="1" x14ac:dyDescent="0.2">
      <c r="A24" s="45"/>
      <c r="C24" s="44"/>
    </row>
    <row r="25" spans="1:10" ht="1" customHeight="1" x14ac:dyDescent="0.2">
      <c r="A25" s="45"/>
      <c r="C25" s="44"/>
    </row>
    <row r="26" spans="1:10" hidden="1" x14ac:dyDescent="0.2">
      <c r="A26" s="45"/>
      <c r="C26" s="44"/>
    </row>
    <row r="27" spans="1:10" hidden="1" x14ac:dyDescent="0.2">
      <c r="A27" s="45"/>
      <c r="C27" s="44"/>
    </row>
    <row r="28" spans="1:10" hidden="1" x14ac:dyDescent="0.2">
      <c r="A28" s="45"/>
      <c r="C28" s="44"/>
    </row>
    <row r="29" spans="1:10" s="19" customFormat="1" x14ac:dyDescent="0.2">
      <c r="B29" s="19" t="s">
        <v>34</v>
      </c>
      <c r="C29" s="54" t="s">
        <v>37</v>
      </c>
      <c r="D29" s="54" t="s">
        <v>38</v>
      </c>
      <c r="F29" s="46" t="s">
        <v>40</v>
      </c>
      <c r="G29" s="46"/>
      <c r="H29" s="46"/>
      <c r="I29" s="46"/>
      <c r="J29" s="46"/>
    </row>
    <row r="30" spans="1:10" x14ac:dyDescent="0.2">
      <c r="A30" t="e" vm="2">
        <v>#VALUE!</v>
      </c>
      <c r="B30" s="43" cm="1">
        <f t="array" aca="1" ref="B30" ca="1">_FV(A30,"Previous close",TRUE)</f>
        <v>305.52999999999997</v>
      </c>
      <c r="C30" s="52" cm="1">
        <f t="array" aca="1" ref="C30" ca="1">_FV(A30,"P/E",TRUE)</f>
        <v>15.676</v>
      </c>
      <c r="D30" s="52" cm="1">
        <f t="array" aca="1" ref="D30" ca="1">_FV(A30,"Beta")</f>
        <v>1.1437999999999999</v>
      </c>
    </row>
    <row r="31" spans="1:10" x14ac:dyDescent="0.2">
      <c r="A31" s="45" t="s">
        <v>36</v>
      </c>
    </row>
    <row r="32" spans="1:10" x14ac:dyDescent="0.2">
      <c r="A32" s="45"/>
    </row>
    <row r="33" spans="1:1" x14ac:dyDescent="0.2">
      <c r="A33" s="45"/>
    </row>
    <row r="34" spans="1:1" x14ac:dyDescent="0.2">
      <c r="A34" s="45"/>
    </row>
    <row r="35" spans="1:1" x14ac:dyDescent="0.2">
      <c r="A35" s="45"/>
    </row>
    <row r="36" spans="1:1" x14ac:dyDescent="0.2">
      <c r="A36" s="45"/>
    </row>
    <row r="37" spans="1:1" x14ac:dyDescent="0.2">
      <c r="A37" s="45"/>
    </row>
    <row r="38" spans="1:1" x14ac:dyDescent="0.2">
      <c r="A38" s="45"/>
    </row>
    <row r="39" spans="1:1" x14ac:dyDescent="0.2">
      <c r="A39" s="45"/>
    </row>
    <row r="40" spans="1:1" x14ac:dyDescent="0.2">
      <c r="A40" s="45"/>
    </row>
    <row r="41" spans="1:1" x14ac:dyDescent="0.2">
      <c r="A41" s="45"/>
    </row>
    <row r="42" spans="1:1" x14ac:dyDescent="0.2">
      <c r="A42" s="45"/>
    </row>
    <row r="43" spans="1:1" x14ac:dyDescent="0.2">
      <c r="A43" s="45"/>
    </row>
    <row r="44" spans="1:1" x14ac:dyDescent="0.2">
      <c r="A44" s="45"/>
    </row>
    <row r="45" spans="1:1" x14ac:dyDescent="0.2">
      <c r="A45" s="45"/>
    </row>
    <row r="46" spans="1:1" x14ac:dyDescent="0.2">
      <c r="A46" s="45"/>
    </row>
    <row r="47" spans="1:1" ht="65" customHeight="1" x14ac:dyDescent="0.2">
      <c r="A47" s="45"/>
    </row>
    <row r="48" spans="1:1" hidden="1" x14ac:dyDescent="0.2">
      <c r="A48" s="45"/>
    </row>
    <row r="49" spans="1:1" hidden="1" x14ac:dyDescent="0.2">
      <c r="A49" s="45"/>
    </row>
    <row r="50" spans="1:1" hidden="1" x14ac:dyDescent="0.2">
      <c r="A50" s="45"/>
    </row>
    <row r="51" spans="1:1" hidden="1" x14ac:dyDescent="0.2">
      <c r="A51" s="45"/>
    </row>
    <row r="52" spans="1:1" hidden="1" x14ac:dyDescent="0.2">
      <c r="A52" s="45"/>
    </row>
    <row r="53" spans="1:1" hidden="1" x14ac:dyDescent="0.2">
      <c r="A53" s="45"/>
    </row>
    <row r="54" spans="1:1" ht="26" customHeight="1" x14ac:dyDescent="0.2">
      <c r="A54" s="45"/>
    </row>
    <row r="55" spans="1:1" ht="14" customHeight="1" x14ac:dyDescent="0.2">
      <c r="A55" s="45"/>
    </row>
  </sheetData>
  <mergeCells count="4">
    <mergeCell ref="A31:A55"/>
    <mergeCell ref="A4:A28"/>
    <mergeCell ref="F2:J2"/>
    <mergeCell ref="F29:J29"/>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2EFB4A-199E-564E-90B9-3B22288FF92D}">
  <dimension ref="A1:N67"/>
  <sheetViews>
    <sheetView topLeftCell="C1" workbookViewId="0">
      <selection activeCell="N3" sqref="N3"/>
    </sheetView>
  </sheetViews>
  <sheetFormatPr baseColWidth="10" defaultRowHeight="16" x14ac:dyDescent="0.2"/>
  <cols>
    <col min="1" max="1" width="16.83203125" customWidth="1"/>
    <col min="2" max="2" width="16.83203125" style="7" customWidth="1"/>
    <col min="3" max="3" width="18.33203125" customWidth="1"/>
    <col min="4" max="4" width="19.5" customWidth="1"/>
    <col min="5" max="5" width="39.5" style="17" customWidth="1"/>
    <col min="6" max="6" width="38.1640625" customWidth="1"/>
    <col min="7" max="7" width="13" customWidth="1"/>
    <col min="9" max="9" width="22.5" customWidth="1"/>
    <col min="10" max="10" width="13.6640625" customWidth="1"/>
    <col min="11" max="11" width="13.33203125" customWidth="1"/>
    <col min="12" max="12" width="21.6640625" customWidth="1"/>
    <col min="13" max="13" width="14" customWidth="1"/>
    <col min="14" max="14" width="24.33203125" customWidth="1"/>
  </cols>
  <sheetData>
    <row r="1" spans="1:14" ht="17" thickBot="1" x14ac:dyDescent="0.25">
      <c r="A1" s="1" t="s">
        <v>0</v>
      </c>
      <c r="B1" s="6" t="s">
        <v>3</v>
      </c>
      <c r="C1" s="1" t="s">
        <v>41</v>
      </c>
      <c r="D1" s="1" t="s">
        <v>42</v>
      </c>
      <c r="E1" s="61" t="s">
        <v>45</v>
      </c>
      <c r="F1" s="62" t="s">
        <v>46</v>
      </c>
      <c r="G1" s="59"/>
      <c r="H1" s="59"/>
      <c r="I1" s="58"/>
      <c r="J1" s="59"/>
      <c r="K1" s="59"/>
      <c r="L1" s="57"/>
    </row>
    <row r="2" spans="1:14" ht="19" thickBot="1" x14ac:dyDescent="0.25">
      <c r="A2" s="2">
        <v>44136</v>
      </c>
      <c r="B2" s="9">
        <v>1</v>
      </c>
      <c r="C2" s="3">
        <v>13.36</v>
      </c>
      <c r="D2" s="3">
        <v>103.53</v>
      </c>
      <c r="E2" s="17">
        <f>C2*$J$4+D2*$J$5</f>
        <v>4942.7999999999993</v>
      </c>
      <c r="F2" s="69">
        <f>C2*$J$9+D2*$J$10</f>
        <v>6746.2</v>
      </c>
      <c r="G2" s="59"/>
      <c r="H2" s="58"/>
      <c r="I2" s="67" t="s">
        <v>49</v>
      </c>
      <c r="J2" s="68"/>
      <c r="K2" s="58"/>
      <c r="L2" s="73" t="s">
        <v>50</v>
      </c>
      <c r="M2" s="74" t="s">
        <v>0</v>
      </c>
      <c r="N2" s="75" t="s">
        <v>48</v>
      </c>
    </row>
    <row r="3" spans="1:14" ht="18" x14ac:dyDescent="0.2">
      <c r="A3" s="2">
        <v>44166</v>
      </c>
      <c r="B3" s="9">
        <v>2</v>
      </c>
      <c r="C3" s="3">
        <v>13.02</v>
      </c>
      <c r="D3" s="3">
        <v>111.6</v>
      </c>
      <c r="E3" s="17">
        <f t="shared" ref="E3:E61" si="0">C3*$J$4+D3*$J$5</f>
        <v>5245.2</v>
      </c>
      <c r="F3" s="69">
        <f t="shared" ref="F3:F61" si="1">C3*$J$9+D3*$J$10</f>
        <v>7216.8</v>
      </c>
      <c r="G3" s="59"/>
      <c r="H3" s="58"/>
      <c r="I3" s="65" t="s">
        <v>1</v>
      </c>
      <c r="J3" s="66" t="s">
        <v>2</v>
      </c>
      <c r="K3" s="58"/>
      <c r="L3" s="11" t="s">
        <v>5</v>
      </c>
      <c r="M3" s="4" t="s">
        <v>7</v>
      </c>
      <c r="N3" s="71">
        <f>_xlfn.FORECAST.LINEAR(J14,E2:E61,B2:B61)</f>
        <v>22244.098614429931</v>
      </c>
    </row>
    <row r="4" spans="1:14" ht="18" x14ac:dyDescent="0.2">
      <c r="A4" s="2">
        <v>44197</v>
      </c>
      <c r="B4" s="9">
        <v>3</v>
      </c>
      <c r="C4" s="3">
        <v>12.95</v>
      </c>
      <c r="D4" s="3">
        <v>113.01</v>
      </c>
      <c r="E4" s="17">
        <f t="shared" si="0"/>
        <v>5297.4000000000005</v>
      </c>
      <c r="F4" s="69">
        <f t="shared" si="1"/>
        <v>7298.6</v>
      </c>
      <c r="G4" s="59"/>
      <c r="H4" s="58"/>
      <c r="I4" s="65" t="s">
        <v>30</v>
      </c>
      <c r="J4" s="60">
        <v>60</v>
      </c>
      <c r="K4" s="58"/>
      <c r="L4" s="11" t="s">
        <v>8</v>
      </c>
      <c r="M4" s="4" t="s">
        <v>9</v>
      </c>
      <c r="N4" s="71">
        <f>_xlfn.FORECAST.LINEAR(J15,E2:E61,B2:B61)</f>
        <v>25643.207611373531</v>
      </c>
    </row>
    <row r="5" spans="1:14" ht="19" thickBot="1" x14ac:dyDescent="0.25">
      <c r="A5" s="2">
        <v>44228</v>
      </c>
      <c r="B5" s="9">
        <v>4</v>
      </c>
      <c r="C5" s="3">
        <v>13.68</v>
      </c>
      <c r="D5" s="3">
        <v>130.19</v>
      </c>
      <c r="E5" s="17">
        <f t="shared" si="0"/>
        <v>6028.4000000000005</v>
      </c>
      <c r="F5" s="69">
        <f t="shared" si="1"/>
        <v>8358.6</v>
      </c>
      <c r="G5" s="59"/>
      <c r="H5" s="58"/>
      <c r="I5" s="63" t="s">
        <v>44</v>
      </c>
      <c r="J5" s="64">
        <v>40</v>
      </c>
      <c r="K5" s="58"/>
      <c r="L5" s="12" t="s">
        <v>10</v>
      </c>
      <c r="M5" s="5" t="s">
        <v>11</v>
      </c>
      <c r="N5" s="76">
        <f>_xlfn.FORECAST.LINEAR(J16,E2:E61,B2:B61)</f>
        <v>35840.534602204316</v>
      </c>
    </row>
    <row r="6" spans="1:14" ht="19" thickBot="1" x14ac:dyDescent="0.25">
      <c r="A6" s="2">
        <v>44256</v>
      </c>
      <c r="B6" s="9">
        <v>5</v>
      </c>
      <c r="C6" s="3">
        <v>13.31</v>
      </c>
      <c r="D6" s="3">
        <v>134.66</v>
      </c>
      <c r="E6" s="17">
        <f t="shared" si="0"/>
        <v>6185</v>
      </c>
      <c r="F6" s="69">
        <f t="shared" si="1"/>
        <v>8612</v>
      </c>
      <c r="G6" s="59"/>
      <c r="H6" s="58"/>
      <c r="I6" s="59"/>
      <c r="J6" s="58"/>
      <c r="K6" s="58"/>
      <c r="L6" s="58"/>
    </row>
    <row r="7" spans="1:14" ht="19" thickBot="1" x14ac:dyDescent="0.25">
      <c r="A7" s="2">
        <v>44287</v>
      </c>
      <c r="B7" s="9">
        <v>6</v>
      </c>
      <c r="C7" s="3">
        <v>14.97</v>
      </c>
      <c r="D7" s="3">
        <v>136.06</v>
      </c>
      <c r="E7" s="17">
        <f t="shared" si="0"/>
        <v>6340.5999999999995</v>
      </c>
      <c r="F7" s="69">
        <f t="shared" si="1"/>
        <v>8762.4</v>
      </c>
      <c r="G7" s="58"/>
      <c r="H7" s="58"/>
      <c r="I7" s="67" t="s">
        <v>43</v>
      </c>
      <c r="J7" s="68"/>
      <c r="K7" s="58"/>
      <c r="L7" s="73" t="s">
        <v>47</v>
      </c>
      <c r="M7" s="74" t="s">
        <v>0</v>
      </c>
      <c r="N7" s="75" t="s">
        <v>48</v>
      </c>
    </row>
    <row r="8" spans="1:14" ht="18" x14ac:dyDescent="0.2">
      <c r="A8" s="2">
        <v>44317</v>
      </c>
      <c r="B8" s="9">
        <v>7</v>
      </c>
      <c r="C8" s="3">
        <v>16.21</v>
      </c>
      <c r="D8" s="3">
        <v>146.13999999999999</v>
      </c>
      <c r="E8" s="17">
        <f t="shared" si="0"/>
        <v>6818.2</v>
      </c>
      <c r="F8" s="69">
        <f t="shared" si="1"/>
        <v>9416.7999999999993</v>
      </c>
      <c r="I8" s="65" t="s">
        <v>1</v>
      </c>
      <c r="J8" s="66" t="s">
        <v>2</v>
      </c>
      <c r="L8" s="11" t="s">
        <v>5</v>
      </c>
      <c r="M8" s="4" t="s">
        <v>7</v>
      </c>
      <c r="N8" s="71">
        <f>_xlfn.FORECAST.LINEAR(J14,F2:F61,B2:B61)</f>
        <v>24437.810851162365</v>
      </c>
    </row>
    <row r="9" spans="1:14" ht="18" x14ac:dyDescent="0.2">
      <c r="A9" s="2">
        <v>44348</v>
      </c>
      <c r="B9" s="9">
        <v>8</v>
      </c>
      <c r="C9" s="3">
        <v>19.95</v>
      </c>
      <c r="D9" s="3">
        <v>138.4</v>
      </c>
      <c r="E9" s="17">
        <f t="shared" si="0"/>
        <v>6733</v>
      </c>
      <c r="F9" s="69">
        <f t="shared" si="1"/>
        <v>9102</v>
      </c>
      <c r="I9" s="65" t="s">
        <v>30</v>
      </c>
      <c r="J9" s="60">
        <v>40</v>
      </c>
      <c r="L9" s="11" t="s">
        <v>8</v>
      </c>
      <c r="M9" s="4" t="s">
        <v>9</v>
      </c>
      <c r="N9" s="71">
        <f>_xlfn.FORECAST.LINEAR(J15,F2:F61,B2:B61)</f>
        <v>27856.082904510513</v>
      </c>
    </row>
    <row r="10" spans="1:14" ht="19" thickBot="1" x14ac:dyDescent="0.25">
      <c r="A10" s="2">
        <v>44378</v>
      </c>
      <c r="B10" s="9">
        <v>9</v>
      </c>
      <c r="C10" s="3">
        <v>19.46</v>
      </c>
      <c r="D10" s="3">
        <v>135.06</v>
      </c>
      <c r="E10" s="17">
        <f t="shared" si="0"/>
        <v>6570</v>
      </c>
      <c r="F10" s="69">
        <f t="shared" si="1"/>
        <v>8882</v>
      </c>
      <c r="I10" s="63" t="s">
        <v>44</v>
      </c>
      <c r="J10" s="64">
        <v>60</v>
      </c>
      <c r="L10" s="12" t="s">
        <v>10</v>
      </c>
      <c r="M10" s="5" t="s">
        <v>11</v>
      </c>
      <c r="N10" s="72">
        <f>_xlfn.FORECAST.LINEAR(J16,F2:F61,B2:B61)</f>
        <v>38110.899064554971</v>
      </c>
    </row>
    <row r="11" spans="1:14" ht="18" x14ac:dyDescent="0.2">
      <c r="A11" s="2">
        <v>44409</v>
      </c>
      <c r="B11" s="9">
        <v>10</v>
      </c>
      <c r="C11" s="3">
        <v>22.34</v>
      </c>
      <c r="D11" s="3">
        <v>143.15</v>
      </c>
      <c r="E11" s="17">
        <f t="shared" si="0"/>
        <v>7066.4</v>
      </c>
      <c r="F11" s="69">
        <f t="shared" si="1"/>
        <v>9482.6</v>
      </c>
      <c r="I11" s="59"/>
      <c r="J11" s="58"/>
    </row>
    <row r="12" spans="1:14" ht="19" thickBot="1" x14ac:dyDescent="0.25">
      <c r="A12" s="2">
        <v>44440</v>
      </c>
      <c r="B12" s="9">
        <v>11</v>
      </c>
      <c r="C12" s="3">
        <v>20.67</v>
      </c>
      <c r="D12" s="3">
        <v>146.49</v>
      </c>
      <c r="E12" s="17">
        <f t="shared" si="0"/>
        <v>7099.8</v>
      </c>
      <c r="F12" s="69">
        <f t="shared" si="1"/>
        <v>9616.2000000000007</v>
      </c>
      <c r="I12" s="59"/>
      <c r="J12" s="58"/>
    </row>
    <row r="13" spans="1:14" ht="19" thickBot="1" x14ac:dyDescent="0.25">
      <c r="A13" s="2">
        <v>44470</v>
      </c>
      <c r="B13" s="9">
        <v>12</v>
      </c>
      <c r="C13" s="3">
        <v>25.52</v>
      </c>
      <c r="D13" s="3">
        <v>152.04</v>
      </c>
      <c r="E13" s="17">
        <f t="shared" si="0"/>
        <v>7612.7999999999993</v>
      </c>
      <c r="F13" s="69">
        <f t="shared" si="1"/>
        <v>10143.199999999999</v>
      </c>
      <c r="I13" s="14" t="s">
        <v>4</v>
      </c>
      <c r="J13" s="15" t="s">
        <v>12</v>
      </c>
      <c r="K13" s="16" t="s">
        <v>6</v>
      </c>
    </row>
    <row r="14" spans="1:14" ht="18" x14ac:dyDescent="0.2">
      <c r="A14" s="2">
        <v>44501</v>
      </c>
      <c r="B14" s="9">
        <v>13</v>
      </c>
      <c r="C14" s="3">
        <v>32.61</v>
      </c>
      <c r="D14" s="3">
        <v>143</v>
      </c>
      <c r="E14" s="17">
        <f t="shared" si="0"/>
        <v>7676.6</v>
      </c>
      <c r="F14" s="69">
        <f t="shared" si="1"/>
        <v>9884.4</v>
      </c>
      <c r="I14" s="11" t="s">
        <v>5</v>
      </c>
      <c r="J14">
        <v>72</v>
      </c>
      <c r="K14" s="4" t="s">
        <v>7</v>
      </c>
    </row>
    <row r="15" spans="1:14" ht="18" x14ac:dyDescent="0.2">
      <c r="A15" s="2">
        <v>44531</v>
      </c>
      <c r="B15" s="9">
        <v>14</v>
      </c>
      <c r="C15" s="3">
        <v>29.35</v>
      </c>
      <c r="D15" s="3">
        <v>142.57</v>
      </c>
      <c r="E15" s="17">
        <f t="shared" si="0"/>
        <v>7463.7999999999993</v>
      </c>
      <c r="F15" s="69">
        <f t="shared" si="1"/>
        <v>9728.1999999999989</v>
      </c>
      <c r="I15" s="11" t="s">
        <v>8</v>
      </c>
      <c r="J15">
        <v>84</v>
      </c>
      <c r="K15" s="4" t="s">
        <v>9</v>
      </c>
    </row>
    <row r="16" spans="1:14" ht="19" thickBot="1" x14ac:dyDescent="0.25">
      <c r="A16" s="2">
        <v>44562</v>
      </c>
      <c r="B16" s="9">
        <v>15</v>
      </c>
      <c r="C16" s="3">
        <v>24.44</v>
      </c>
      <c r="D16" s="3">
        <v>133.79</v>
      </c>
      <c r="E16" s="17">
        <f t="shared" si="0"/>
        <v>6818</v>
      </c>
      <c r="F16" s="69">
        <f t="shared" si="1"/>
        <v>9005</v>
      </c>
      <c r="I16" s="12" t="s">
        <v>10</v>
      </c>
      <c r="J16" s="13">
        <v>120</v>
      </c>
      <c r="K16" s="5" t="s">
        <v>11</v>
      </c>
    </row>
    <row r="17" spans="1:6" ht="18" x14ac:dyDescent="0.2">
      <c r="A17" s="2">
        <v>44593</v>
      </c>
      <c r="B17" s="9">
        <v>16</v>
      </c>
      <c r="C17" s="3">
        <v>24.34</v>
      </c>
      <c r="D17" s="3">
        <v>128.43</v>
      </c>
      <c r="E17" s="17">
        <f t="shared" si="0"/>
        <v>6597.6</v>
      </c>
      <c r="F17" s="69">
        <f t="shared" si="1"/>
        <v>8679.4</v>
      </c>
    </row>
    <row r="18" spans="1:6" ht="18" x14ac:dyDescent="0.2">
      <c r="A18" s="2">
        <v>44621</v>
      </c>
      <c r="B18" s="9">
        <v>17</v>
      </c>
      <c r="C18" s="3">
        <v>27.23</v>
      </c>
      <c r="D18" s="3">
        <v>123.47</v>
      </c>
      <c r="E18" s="17">
        <f t="shared" si="0"/>
        <v>6572.6</v>
      </c>
      <c r="F18" s="69">
        <f t="shared" si="1"/>
        <v>8497.4</v>
      </c>
    </row>
    <row r="19" spans="1:6" ht="18" x14ac:dyDescent="0.2">
      <c r="A19" s="2">
        <v>44652</v>
      </c>
      <c r="B19" s="9">
        <v>18</v>
      </c>
      <c r="C19" s="3">
        <v>18.52</v>
      </c>
      <c r="D19" s="3">
        <v>108.11</v>
      </c>
      <c r="E19" s="17">
        <f t="shared" si="0"/>
        <v>5435.5999999999995</v>
      </c>
      <c r="F19" s="69">
        <f t="shared" si="1"/>
        <v>7227.4000000000005</v>
      </c>
    </row>
    <row r="20" spans="1:6" ht="18" x14ac:dyDescent="0.2">
      <c r="A20" s="2">
        <v>44682</v>
      </c>
      <c r="B20" s="9">
        <v>19</v>
      </c>
      <c r="C20" s="3">
        <v>18.64</v>
      </c>
      <c r="D20" s="3">
        <v>120.65</v>
      </c>
      <c r="E20" s="17">
        <f t="shared" si="0"/>
        <v>5944.4</v>
      </c>
      <c r="F20" s="69">
        <f t="shared" si="1"/>
        <v>7984.6</v>
      </c>
    </row>
    <row r="21" spans="1:6" ht="18" x14ac:dyDescent="0.2">
      <c r="A21" s="2">
        <v>44713</v>
      </c>
      <c r="B21" s="9">
        <v>20</v>
      </c>
      <c r="C21" s="3">
        <v>15.13</v>
      </c>
      <c r="D21" s="3">
        <v>102.75</v>
      </c>
      <c r="E21" s="17">
        <f t="shared" si="0"/>
        <v>5017.8</v>
      </c>
      <c r="F21" s="69">
        <f t="shared" si="1"/>
        <v>6770.2</v>
      </c>
    </row>
    <row r="22" spans="1:6" ht="18" x14ac:dyDescent="0.2">
      <c r="A22" s="2">
        <v>44743</v>
      </c>
      <c r="B22" s="9">
        <v>21</v>
      </c>
      <c r="C22" s="3">
        <v>18.14</v>
      </c>
      <c r="D22" s="3">
        <v>105.26</v>
      </c>
      <c r="E22" s="17">
        <f t="shared" si="0"/>
        <v>5298.8000000000011</v>
      </c>
      <c r="F22" s="69">
        <f t="shared" si="1"/>
        <v>7041.2000000000007</v>
      </c>
    </row>
    <row r="23" spans="1:6" ht="18" x14ac:dyDescent="0.2">
      <c r="A23" s="2">
        <v>44774</v>
      </c>
      <c r="B23" s="9">
        <v>22</v>
      </c>
      <c r="C23" s="3">
        <v>15.07</v>
      </c>
      <c r="D23" s="3">
        <v>104.69</v>
      </c>
      <c r="E23" s="17">
        <f t="shared" si="0"/>
        <v>5091.8</v>
      </c>
      <c r="F23" s="69">
        <f t="shared" si="1"/>
        <v>6884.2</v>
      </c>
    </row>
    <row r="24" spans="1:6" ht="18" x14ac:dyDescent="0.2">
      <c r="A24" s="2">
        <v>44805</v>
      </c>
      <c r="B24" s="9">
        <v>23</v>
      </c>
      <c r="C24" s="3">
        <v>12.12</v>
      </c>
      <c r="D24" s="3">
        <v>96.19</v>
      </c>
      <c r="E24" s="17">
        <f t="shared" si="0"/>
        <v>4574.8</v>
      </c>
      <c r="F24" s="69">
        <f t="shared" si="1"/>
        <v>6256.2</v>
      </c>
    </row>
    <row r="25" spans="1:6" ht="18" x14ac:dyDescent="0.2">
      <c r="A25" s="2">
        <v>44835</v>
      </c>
      <c r="B25" s="9">
        <v>24</v>
      </c>
      <c r="C25" s="3">
        <v>13.48</v>
      </c>
      <c r="D25" s="3">
        <v>115.87</v>
      </c>
      <c r="E25" s="17">
        <f t="shared" si="0"/>
        <v>5443.6</v>
      </c>
      <c r="F25" s="69">
        <f t="shared" si="1"/>
        <v>7491.4000000000005</v>
      </c>
    </row>
    <row r="26" spans="1:6" ht="18" x14ac:dyDescent="0.2">
      <c r="A26" s="2">
        <v>44866</v>
      </c>
      <c r="B26" s="9">
        <v>25</v>
      </c>
      <c r="C26" s="3">
        <v>16.899999999999999</v>
      </c>
      <c r="D26" s="3">
        <v>128.33000000000001</v>
      </c>
      <c r="E26" s="17">
        <f t="shared" si="0"/>
        <v>6147.2000000000007</v>
      </c>
      <c r="F26" s="69">
        <f t="shared" si="1"/>
        <v>8375.8000000000011</v>
      </c>
    </row>
    <row r="27" spans="1:6" ht="18" x14ac:dyDescent="0.2">
      <c r="A27" s="2">
        <v>44896</v>
      </c>
      <c r="B27" s="9">
        <v>26</v>
      </c>
      <c r="C27" s="3">
        <v>14.6</v>
      </c>
      <c r="D27" s="3">
        <v>124.54</v>
      </c>
      <c r="E27" s="17">
        <f t="shared" si="0"/>
        <v>5857.6</v>
      </c>
      <c r="F27" s="69">
        <f t="shared" si="1"/>
        <v>8056.4000000000005</v>
      </c>
    </row>
    <row r="28" spans="1:6" ht="18" x14ac:dyDescent="0.2">
      <c r="A28" s="2">
        <v>44927</v>
      </c>
      <c r="B28" s="9">
        <v>27</v>
      </c>
      <c r="C28" s="3">
        <v>19.52</v>
      </c>
      <c r="D28" s="3">
        <v>129.99</v>
      </c>
      <c r="E28" s="17">
        <f t="shared" si="0"/>
        <v>6370.8</v>
      </c>
      <c r="F28" s="69">
        <f t="shared" si="1"/>
        <v>8580.2000000000007</v>
      </c>
    </row>
    <row r="29" spans="1:6" ht="18" x14ac:dyDescent="0.2">
      <c r="A29" s="2">
        <v>44958</v>
      </c>
      <c r="B29" s="9">
        <v>28</v>
      </c>
      <c r="C29" s="3">
        <v>23.19</v>
      </c>
      <c r="D29" s="3">
        <v>134.12</v>
      </c>
      <c r="E29" s="17">
        <f t="shared" si="0"/>
        <v>6756.2000000000007</v>
      </c>
      <c r="F29" s="69">
        <f t="shared" si="1"/>
        <v>8974.8000000000011</v>
      </c>
    </row>
    <row r="30" spans="1:6" ht="18" x14ac:dyDescent="0.2">
      <c r="A30" s="2">
        <v>44986</v>
      </c>
      <c r="B30" s="9">
        <v>29</v>
      </c>
      <c r="C30" s="3">
        <v>27.75</v>
      </c>
      <c r="D30" s="3">
        <v>121.92</v>
      </c>
      <c r="E30" s="17">
        <f t="shared" si="0"/>
        <v>6541.8</v>
      </c>
      <c r="F30" s="69">
        <f t="shared" si="1"/>
        <v>8425.2000000000007</v>
      </c>
    </row>
    <row r="31" spans="1:6" ht="18" x14ac:dyDescent="0.2">
      <c r="A31" s="2">
        <v>45017</v>
      </c>
      <c r="B31" s="9">
        <v>30</v>
      </c>
      <c r="C31" s="3">
        <v>27.73</v>
      </c>
      <c r="D31" s="3">
        <v>129.34</v>
      </c>
      <c r="E31" s="17">
        <f t="shared" si="0"/>
        <v>6837.4000000000005</v>
      </c>
      <c r="F31" s="69">
        <f t="shared" si="1"/>
        <v>8869.6</v>
      </c>
    </row>
    <row r="32" spans="1:6" ht="18" x14ac:dyDescent="0.2">
      <c r="A32" s="2">
        <v>45047</v>
      </c>
      <c r="B32" s="9">
        <v>31</v>
      </c>
      <c r="C32" s="3">
        <v>37.799999999999997</v>
      </c>
      <c r="D32" s="3">
        <v>127.97</v>
      </c>
      <c r="E32" s="17">
        <f t="shared" si="0"/>
        <v>7386.8</v>
      </c>
      <c r="F32" s="69">
        <f t="shared" si="1"/>
        <v>9190.2000000000007</v>
      </c>
    </row>
    <row r="33" spans="1:6" ht="18" x14ac:dyDescent="0.2">
      <c r="A33" s="2">
        <v>45078</v>
      </c>
      <c r="B33" s="9">
        <v>32</v>
      </c>
      <c r="C33" s="3">
        <v>42.27</v>
      </c>
      <c r="D33" s="3">
        <v>137.13999999999999</v>
      </c>
      <c r="E33" s="17">
        <f t="shared" si="0"/>
        <v>8021.7999999999993</v>
      </c>
      <c r="F33" s="69">
        <f t="shared" si="1"/>
        <v>9919.2000000000007</v>
      </c>
    </row>
    <row r="34" spans="1:6" ht="18" x14ac:dyDescent="0.2">
      <c r="A34" s="2">
        <v>45108</v>
      </c>
      <c r="B34" s="9">
        <v>33</v>
      </c>
      <c r="C34" s="3">
        <v>46.7</v>
      </c>
      <c r="D34" s="3">
        <v>148.94999999999999</v>
      </c>
      <c r="E34" s="17">
        <f t="shared" si="0"/>
        <v>8760</v>
      </c>
      <c r="F34" s="69">
        <f t="shared" si="1"/>
        <v>10805</v>
      </c>
    </row>
    <row r="35" spans="1:6" ht="18" x14ac:dyDescent="0.2">
      <c r="A35" s="2">
        <v>45139</v>
      </c>
      <c r="B35" s="9">
        <v>34</v>
      </c>
      <c r="C35" s="3">
        <v>49.32</v>
      </c>
      <c r="D35" s="3">
        <v>138.93</v>
      </c>
      <c r="E35" s="17">
        <f t="shared" si="0"/>
        <v>8516.4000000000015</v>
      </c>
      <c r="F35" s="69">
        <f t="shared" si="1"/>
        <v>10308.6</v>
      </c>
    </row>
    <row r="36" spans="1:6" ht="18" x14ac:dyDescent="0.2">
      <c r="A36" s="2">
        <v>45170</v>
      </c>
      <c r="B36" s="9">
        <v>35</v>
      </c>
      <c r="C36" s="3">
        <v>43.47</v>
      </c>
      <c r="D36" s="3">
        <v>137.69</v>
      </c>
      <c r="E36" s="17">
        <f t="shared" si="0"/>
        <v>8115.8</v>
      </c>
      <c r="F36" s="69">
        <f t="shared" si="1"/>
        <v>10000.199999999999</v>
      </c>
    </row>
    <row r="37" spans="1:6" ht="18" x14ac:dyDescent="0.2">
      <c r="A37" s="2">
        <v>45200</v>
      </c>
      <c r="B37" s="9">
        <v>36</v>
      </c>
      <c r="C37" s="3">
        <v>40.76</v>
      </c>
      <c r="D37" s="3">
        <v>132.03</v>
      </c>
      <c r="E37" s="17">
        <f t="shared" si="0"/>
        <v>7726.7999999999993</v>
      </c>
      <c r="F37" s="69">
        <f t="shared" si="1"/>
        <v>9552.2000000000007</v>
      </c>
    </row>
    <row r="38" spans="1:6" ht="18" x14ac:dyDescent="0.2">
      <c r="A38" s="2">
        <v>45231</v>
      </c>
      <c r="B38" s="9">
        <v>37</v>
      </c>
      <c r="C38" s="3">
        <v>46.74</v>
      </c>
      <c r="D38" s="3">
        <v>149.28</v>
      </c>
      <c r="E38" s="17">
        <f t="shared" si="0"/>
        <v>8775.6</v>
      </c>
      <c r="F38" s="69">
        <f t="shared" si="1"/>
        <v>10826.4</v>
      </c>
    </row>
    <row r="39" spans="1:6" ht="18" x14ac:dyDescent="0.2">
      <c r="A39" s="2">
        <v>45261</v>
      </c>
      <c r="B39" s="9">
        <v>38</v>
      </c>
      <c r="C39" s="3">
        <v>49.49</v>
      </c>
      <c r="D39" s="3">
        <v>162.69</v>
      </c>
      <c r="E39" s="17">
        <f t="shared" si="0"/>
        <v>9477</v>
      </c>
      <c r="F39" s="69">
        <f t="shared" si="1"/>
        <v>11741</v>
      </c>
    </row>
    <row r="40" spans="1:6" ht="18" x14ac:dyDescent="0.2">
      <c r="A40" s="2">
        <v>45292</v>
      </c>
      <c r="B40" s="9">
        <v>39</v>
      </c>
      <c r="C40" s="3">
        <v>61.5</v>
      </c>
      <c r="D40" s="3">
        <v>166.76</v>
      </c>
      <c r="E40" s="17">
        <f t="shared" si="0"/>
        <v>10360.4</v>
      </c>
      <c r="F40" s="69">
        <f t="shared" si="1"/>
        <v>12465.599999999999</v>
      </c>
    </row>
    <row r="41" spans="1:6" ht="18" x14ac:dyDescent="0.2">
      <c r="A41" s="2">
        <v>45323</v>
      </c>
      <c r="B41" s="9">
        <v>40</v>
      </c>
      <c r="C41" s="3">
        <v>79.069999999999993</v>
      </c>
      <c r="D41" s="3">
        <v>179.05</v>
      </c>
      <c r="E41" s="17">
        <f t="shared" si="0"/>
        <v>11906.2</v>
      </c>
      <c r="F41" s="69">
        <f t="shared" si="1"/>
        <v>13905.8</v>
      </c>
    </row>
    <row r="42" spans="1:6" ht="18" x14ac:dyDescent="0.2">
      <c r="A42" s="2">
        <v>45352</v>
      </c>
      <c r="B42" s="9">
        <v>41</v>
      </c>
      <c r="C42" s="3">
        <v>90.31</v>
      </c>
      <c r="D42" s="3">
        <v>192.75</v>
      </c>
      <c r="E42" s="17">
        <f t="shared" si="0"/>
        <v>13128.6</v>
      </c>
      <c r="F42" s="69">
        <f t="shared" si="1"/>
        <v>15177.4</v>
      </c>
    </row>
    <row r="43" spans="1:6" ht="18" x14ac:dyDescent="0.2">
      <c r="A43" s="2">
        <v>45383</v>
      </c>
      <c r="B43" s="9">
        <v>42</v>
      </c>
      <c r="C43" s="3">
        <v>86.36</v>
      </c>
      <c r="D43" s="3">
        <v>184.52</v>
      </c>
      <c r="E43" s="17">
        <f t="shared" si="0"/>
        <v>12562.400000000001</v>
      </c>
      <c r="F43" s="69">
        <f t="shared" si="1"/>
        <v>14525.6</v>
      </c>
    </row>
    <row r="44" spans="1:6" ht="18" x14ac:dyDescent="0.2">
      <c r="A44" s="2">
        <v>45413</v>
      </c>
      <c r="B44" s="9">
        <v>43</v>
      </c>
      <c r="C44" s="3">
        <v>109.58</v>
      </c>
      <c r="D44" s="3">
        <v>196.13</v>
      </c>
      <c r="E44" s="17">
        <f t="shared" si="0"/>
        <v>14420</v>
      </c>
      <c r="F44" s="69">
        <f t="shared" si="1"/>
        <v>16151</v>
      </c>
    </row>
    <row r="45" spans="1:6" ht="18" x14ac:dyDescent="0.2">
      <c r="A45" s="2">
        <v>45444</v>
      </c>
      <c r="B45" s="9">
        <v>44</v>
      </c>
      <c r="C45" s="3">
        <v>123.48</v>
      </c>
      <c r="D45" s="3">
        <v>195.78</v>
      </c>
      <c r="E45" s="17">
        <f t="shared" si="0"/>
        <v>15240</v>
      </c>
      <c r="F45" s="69">
        <f t="shared" si="1"/>
        <v>16686</v>
      </c>
    </row>
    <row r="46" spans="1:6" ht="18" x14ac:dyDescent="0.2">
      <c r="A46" s="2">
        <v>45474</v>
      </c>
      <c r="B46" s="9">
        <v>45</v>
      </c>
      <c r="C46" s="3">
        <v>116.98</v>
      </c>
      <c r="D46" s="3">
        <v>205.98</v>
      </c>
      <c r="E46" s="17">
        <f t="shared" si="0"/>
        <v>15258</v>
      </c>
      <c r="F46" s="69">
        <f t="shared" si="1"/>
        <v>17038</v>
      </c>
    </row>
    <row r="47" spans="1:6" ht="18" x14ac:dyDescent="0.2">
      <c r="A47" s="2">
        <v>45505</v>
      </c>
      <c r="B47" s="9">
        <v>46</v>
      </c>
      <c r="C47" s="3">
        <v>119.33</v>
      </c>
      <c r="D47" s="3">
        <v>218.8</v>
      </c>
      <c r="E47" s="17">
        <f t="shared" si="0"/>
        <v>15911.8</v>
      </c>
      <c r="F47" s="69">
        <f t="shared" si="1"/>
        <v>17901.2</v>
      </c>
    </row>
    <row r="48" spans="1:6" ht="18" x14ac:dyDescent="0.2">
      <c r="A48" s="2">
        <v>45536</v>
      </c>
      <c r="B48" s="9">
        <v>47</v>
      </c>
      <c r="C48" s="3">
        <v>121.39</v>
      </c>
      <c r="D48" s="3">
        <v>205.23</v>
      </c>
      <c r="E48" s="17">
        <f t="shared" si="0"/>
        <v>15492.599999999999</v>
      </c>
      <c r="F48" s="69">
        <f t="shared" si="1"/>
        <v>17169.400000000001</v>
      </c>
    </row>
    <row r="49" spans="1:11" ht="18" x14ac:dyDescent="0.2">
      <c r="A49" s="2">
        <v>45566</v>
      </c>
      <c r="B49" s="9">
        <v>48</v>
      </c>
      <c r="C49" s="3">
        <v>132.72</v>
      </c>
      <c r="D49" s="3">
        <v>216</v>
      </c>
      <c r="E49" s="17">
        <f t="shared" si="0"/>
        <v>16603.2</v>
      </c>
      <c r="F49" s="69">
        <f t="shared" si="1"/>
        <v>18268.8</v>
      </c>
    </row>
    <row r="50" spans="1:11" ht="18" x14ac:dyDescent="0.2">
      <c r="A50" s="2">
        <v>45597</v>
      </c>
      <c r="B50" s="9">
        <v>49</v>
      </c>
      <c r="C50" s="3">
        <v>138.21</v>
      </c>
      <c r="D50" s="3">
        <v>244.54</v>
      </c>
      <c r="E50" s="17">
        <f t="shared" si="0"/>
        <v>18074.2</v>
      </c>
      <c r="F50" s="69">
        <f t="shared" si="1"/>
        <v>20200.8</v>
      </c>
    </row>
    <row r="51" spans="1:11" ht="18" x14ac:dyDescent="0.2">
      <c r="A51" s="2">
        <v>45627</v>
      </c>
      <c r="B51" s="9">
        <v>50</v>
      </c>
      <c r="C51" s="3">
        <v>134.25</v>
      </c>
      <c r="D51" s="3">
        <v>234.74</v>
      </c>
      <c r="E51" s="17">
        <f t="shared" si="0"/>
        <v>17444.599999999999</v>
      </c>
      <c r="F51" s="69">
        <f t="shared" si="1"/>
        <v>19454.400000000001</v>
      </c>
    </row>
    <row r="52" spans="1:11" ht="18" x14ac:dyDescent="0.2">
      <c r="A52" s="2">
        <v>45658</v>
      </c>
      <c r="B52" s="9">
        <v>51</v>
      </c>
      <c r="C52" s="3">
        <v>120.04</v>
      </c>
      <c r="D52" s="3">
        <v>261.76</v>
      </c>
      <c r="E52" s="17">
        <f t="shared" si="0"/>
        <v>17672.8</v>
      </c>
      <c r="F52" s="69">
        <f t="shared" si="1"/>
        <v>20507.199999999997</v>
      </c>
    </row>
    <row r="53" spans="1:11" ht="18" x14ac:dyDescent="0.2">
      <c r="A53" s="2">
        <v>45689</v>
      </c>
      <c r="B53" s="9">
        <v>52</v>
      </c>
      <c r="C53" s="3">
        <v>124.89</v>
      </c>
      <c r="D53" s="3">
        <v>260.5</v>
      </c>
      <c r="E53" s="17">
        <f t="shared" si="0"/>
        <v>17913.400000000001</v>
      </c>
      <c r="F53" s="69">
        <f t="shared" si="1"/>
        <v>20625.599999999999</v>
      </c>
    </row>
    <row r="54" spans="1:11" ht="18" x14ac:dyDescent="0.2">
      <c r="A54" s="2">
        <v>45717</v>
      </c>
      <c r="B54" s="9">
        <v>53</v>
      </c>
      <c r="C54" s="3">
        <v>108.36</v>
      </c>
      <c r="D54" s="3">
        <v>241.46</v>
      </c>
      <c r="E54" s="17">
        <f t="shared" si="0"/>
        <v>16160</v>
      </c>
      <c r="F54" s="69">
        <f t="shared" si="1"/>
        <v>18822</v>
      </c>
    </row>
    <row r="55" spans="1:11" ht="18" x14ac:dyDescent="0.2">
      <c r="A55" s="2">
        <v>45748</v>
      </c>
      <c r="B55" s="9">
        <v>54</v>
      </c>
      <c r="C55" s="3">
        <v>108.91</v>
      </c>
      <c r="D55" s="3">
        <v>240.79</v>
      </c>
      <c r="E55" s="17">
        <f t="shared" si="0"/>
        <v>16166.2</v>
      </c>
      <c r="F55" s="69">
        <f t="shared" si="1"/>
        <v>18803.8</v>
      </c>
    </row>
    <row r="56" spans="1:11" ht="18" x14ac:dyDescent="0.2">
      <c r="A56" s="2">
        <v>45778</v>
      </c>
      <c r="B56" s="9">
        <v>55</v>
      </c>
      <c r="C56" s="3">
        <v>135.11000000000001</v>
      </c>
      <c r="D56" s="3">
        <v>261.45999999999998</v>
      </c>
      <c r="E56" s="17">
        <f t="shared" si="0"/>
        <v>18565</v>
      </c>
      <c r="F56" s="69">
        <f t="shared" si="1"/>
        <v>21092</v>
      </c>
    </row>
    <row r="57" spans="1:11" ht="18" x14ac:dyDescent="0.2">
      <c r="A57" s="2">
        <v>45809</v>
      </c>
      <c r="B57" s="9">
        <v>56</v>
      </c>
      <c r="C57" s="3">
        <v>157.97</v>
      </c>
      <c r="D57" s="3">
        <v>287.12</v>
      </c>
      <c r="E57" s="17">
        <f t="shared" si="0"/>
        <v>20963</v>
      </c>
      <c r="F57" s="69">
        <f t="shared" si="1"/>
        <v>23546</v>
      </c>
    </row>
    <row r="58" spans="1:11" ht="18" x14ac:dyDescent="0.2">
      <c r="A58" s="2">
        <v>45839</v>
      </c>
      <c r="B58" s="9">
        <v>57</v>
      </c>
      <c r="C58" s="3">
        <v>177.86</v>
      </c>
      <c r="D58" s="3">
        <v>293.39</v>
      </c>
      <c r="E58" s="17">
        <f t="shared" si="0"/>
        <v>22407.199999999997</v>
      </c>
      <c r="F58" s="69">
        <f t="shared" si="1"/>
        <v>24717.8</v>
      </c>
    </row>
    <row r="59" spans="1:11" ht="18" x14ac:dyDescent="0.2">
      <c r="A59" s="2">
        <v>45870</v>
      </c>
      <c r="B59" s="9">
        <v>58</v>
      </c>
      <c r="C59" s="3">
        <v>174.17</v>
      </c>
      <c r="D59" s="3">
        <v>299.95999999999998</v>
      </c>
      <c r="E59" s="17">
        <f t="shared" si="0"/>
        <v>22448.6</v>
      </c>
      <c r="F59" s="69">
        <f t="shared" si="1"/>
        <v>24964.399999999998</v>
      </c>
    </row>
    <row r="60" spans="1:11" ht="18" x14ac:dyDescent="0.2">
      <c r="A60" s="2">
        <v>45901</v>
      </c>
      <c r="B60" s="9">
        <v>59</v>
      </c>
      <c r="C60" s="3">
        <v>186.57</v>
      </c>
      <c r="D60" s="3">
        <v>313.89999999999998</v>
      </c>
      <c r="E60" s="17">
        <f t="shared" si="0"/>
        <v>23750.199999999997</v>
      </c>
      <c r="F60" s="69">
        <f t="shared" si="1"/>
        <v>26296.799999999999</v>
      </c>
    </row>
    <row r="61" spans="1:11" ht="18" x14ac:dyDescent="0.2">
      <c r="A61" s="2">
        <v>45931</v>
      </c>
      <c r="B61" s="9">
        <v>60</v>
      </c>
      <c r="C61" s="3">
        <v>192.57</v>
      </c>
      <c r="D61" s="3">
        <v>304.05</v>
      </c>
      <c r="E61" s="17">
        <f t="shared" si="0"/>
        <v>23716.199999999997</v>
      </c>
      <c r="F61" s="69">
        <f t="shared" si="1"/>
        <v>25945.8</v>
      </c>
      <c r="G61" s="58"/>
      <c r="H61" s="70"/>
      <c r="I61" s="70"/>
      <c r="J61" s="70"/>
      <c r="K61" s="58"/>
    </row>
    <row r="62" spans="1:11" x14ac:dyDescent="0.2">
      <c r="B62" s="10"/>
      <c r="D62" s="58"/>
      <c r="H62" s="70"/>
      <c r="I62" s="70"/>
      <c r="J62" s="70"/>
    </row>
    <row r="63" spans="1:11" x14ac:dyDescent="0.2">
      <c r="B63" s="8"/>
      <c r="D63" s="58"/>
      <c r="H63" s="58"/>
      <c r="I63" s="58"/>
      <c r="J63" s="58"/>
    </row>
    <row r="64" spans="1:11" x14ac:dyDescent="0.2">
      <c r="D64" s="58"/>
      <c r="H64" s="58"/>
      <c r="I64" s="58"/>
      <c r="J64" s="58"/>
    </row>
    <row r="65" spans="8:10" x14ac:dyDescent="0.2">
      <c r="H65" s="58"/>
      <c r="I65" s="58"/>
      <c r="J65" s="58"/>
    </row>
    <row r="66" spans="8:10" x14ac:dyDescent="0.2">
      <c r="H66" s="58"/>
      <c r="I66" s="58"/>
      <c r="J66" s="58"/>
    </row>
    <row r="67" spans="8:10" x14ac:dyDescent="0.2">
      <c r="H67" s="58"/>
      <c r="I67" s="58"/>
      <c r="J67" s="58"/>
    </row>
  </sheetData>
  <mergeCells count="2">
    <mergeCell ref="I7:J7"/>
    <mergeCell ref="I2:J2"/>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522267-2E65-C540-A417-5224F81E13E1}">
  <dimension ref="A1:P1359"/>
  <sheetViews>
    <sheetView workbookViewId="0">
      <selection activeCell="L3" sqref="L3"/>
    </sheetView>
  </sheetViews>
  <sheetFormatPr baseColWidth="10" defaultRowHeight="16" x14ac:dyDescent="0.2"/>
  <cols>
    <col min="1" max="1" width="20.1640625" customWidth="1"/>
    <col min="2" max="3" width="19.1640625" customWidth="1"/>
    <col min="5" max="5" width="12.5" style="18" bestFit="1" customWidth="1"/>
    <col min="6" max="6" width="1" style="40" customWidth="1"/>
    <col min="7" max="7" width="17.83203125" customWidth="1"/>
    <col min="8" max="8" width="15.5" style="18" customWidth="1"/>
    <col min="9" max="9" width="12.5" bestFit="1" customWidth="1"/>
    <col min="12" max="12" width="24.5" customWidth="1"/>
  </cols>
  <sheetData>
    <row r="1" spans="1:16" ht="17" thickBot="1" x14ac:dyDescent="0.25">
      <c r="A1" s="28" t="s">
        <v>0</v>
      </c>
      <c r="B1" s="28" t="s">
        <v>28</v>
      </c>
      <c r="C1" s="47" t="s">
        <v>18</v>
      </c>
      <c r="D1" s="48"/>
      <c r="E1" s="27" t="s">
        <v>31</v>
      </c>
      <c r="G1" s="19" t="s">
        <v>27</v>
      </c>
      <c r="H1" s="27" t="s">
        <v>32</v>
      </c>
    </row>
    <row r="2" spans="1:16" ht="17" thickBot="1" x14ac:dyDescent="0.25">
      <c r="A2" s="1"/>
      <c r="B2" s="1"/>
      <c r="C2" s="26" t="s">
        <v>17</v>
      </c>
      <c r="D2" s="25">
        <v>20</v>
      </c>
      <c r="K2" s="49" t="s">
        <v>52</v>
      </c>
      <c r="L2" s="50"/>
    </row>
    <row r="3" spans="1:16" x14ac:dyDescent="0.2">
      <c r="A3" s="1"/>
      <c r="B3" s="1"/>
      <c r="C3" s="24" t="s">
        <v>16</v>
      </c>
      <c r="D3" s="23">
        <v>2</v>
      </c>
      <c r="E3" s="22">
        <f>E1359</f>
        <v>330466.17843250307</v>
      </c>
      <c r="H3" s="55">
        <f>I1359</f>
        <v>932667.80401157786</v>
      </c>
      <c r="I3" s="19"/>
      <c r="J3" s="19"/>
      <c r="K3" s="36" t="s">
        <v>29</v>
      </c>
      <c r="L3" s="41">
        <f>I1359</f>
        <v>932667.80401157786</v>
      </c>
      <c r="M3" s="19"/>
    </row>
    <row r="4" spans="1:16" ht="17" thickBot="1" x14ac:dyDescent="0.25">
      <c r="A4" s="1"/>
      <c r="B4" s="1"/>
      <c r="C4" s="21" t="s">
        <v>14</v>
      </c>
      <c r="D4" s="20">
        <f>D3/(D2+1)</f>
        <v>9.5238095238095233E-2</v>
      </c>
      <c r="H4" s="27"/>
      <c r="I4" s="19"/>
      <c r="J4" s="19"/>
      <c r="K4" s="37" t="s">
        <v>30</v>
      </c>
      <c r="L4" s="38">
        <f>E1359</f>
        <v>330466.17843250307</v>
      </c>
    </row>
    <row r="5" spans="1:16" ht="18" x14ac:dyDescent="0.2">
      <c r="A5" s="2">
        <v>36178</v>
      </c>
      <c r="B5" s="3">
        <v>0.04</v>
      </c>
      <c r="G5" s="30">
        <v>22.35</v>
      </c>
    </row>
    <row r="6" spans="1:16" ht="18" x14ac:dyDescent="0.2">
      <c r="A6" s="2">
        <v>36185</v>
      </c>
      <c r="B6" s="3">
        <v>0.04</v>
      </c>
      <c r="G6" s="30">
        <v>23.93</v>
      </c>
      <c r="K6" s="46" t="s">
        <v>15</v>
      </c>
      <c r="L6" s="46"/>
      <c r="M6" s="46"/>
      <c r="N6" s="46"/>
      <c r="O6" s="46"/>
      <c r="P6" s="19"/>
    </row>
    <row r="7" spans="1:16" ht="18" x14ac:dyDescent="0.2">
      <c r="A7" s="2">
        <v>36192</v>
      </c>
      <c r="B7" s="3">
        <v>0.04</v>
      </c>
      <c r="G7" s="30">
        <v>23.77</v>
      </c>
      <c r="K7" s="19" t="s">
        <v>13</v>
      </c>
      <c r="L7" s="19"/>
      <c r="M7" s="19"/>
      <c r="N7" s="19"/>
    </row>
    <row r="8" spans="1:16" ht="18" x14ac:dyDescent="0.2">
      <c r="A8" s="2">
        <v>36199</v>
      </c>
      <c r="B8" s="3">
        <v>0.04</v>
      </c>
      <c r="G8" s="30">
        <v>23.03</v>
      </c>
    </row>
    <row r="9" spans="1:16" ht="18" x14ac:dyDescent="0.2">
      <c r="A9" s="2">
        <v>36206</v>
      </c>
      <c r="B9" s="3">
        <v>0.04</v>
      </c>
      <c r="G9" s="30">
        <v>23.65</v>
      </c>
    </row>
    <row r="10" spans="1:16" ht="18" x14ac:dyDescent="0.2">
      <c r="A10" s="2">
        <v>36213</v>
      </c>
      <c r="B10" s="3">
        <v>0.04</v>
      </c>
      <c r="G10" s="30">
        <v>24.76</v>
      </c>
      <c r="K10" s="19"/>
      <c r="L10" s="19"/>
      <c r="M10" s="19"/>
      <c r="N10" s="19"/>
      <c r="O10" s="19"/>
    </row>
    <row r="11" spans="1:16" ht="18" x14ac:dyDescent="0.2">
      <c r="A11" s="2">
        <v>36220</v>
      </c>
      <c r="B11" s="3">
        <v>0.04</v>
      </c>
      <c r="G11" s="30">
        <v>27.02</v>
      </c>
      <c r="K11" s="19"/>
      <c r="L11" s="19"/>
      <c r="M11" s="19"/>
      <c r="N11" s="19"/>
    </row>
    <row r="12" spans="1:16" ht="18" x14ac:dyDescent="0.2">
      <c r="A12" s="2">
        <v>36227</v>
      </c>
      <c r="B12" s="3">
        <v>0.04</v>
      </c>
      <c r="G12" s="30">
        <v>27.37</v>
      </c>
      <c r="N12" s="29"/>
      <c r="O12" s="42"/>
    </row>
    <row r="13" spans="1:16" ht="18" x14ac:dyDescent="0.2">
      <c r="A13" s="2">
        <v>36234</v>
      </c>
      <c r="B13" s="3">
        <v>0.04</v>
      </c>
      <c r="G13" s="30">
        <v>25.66</v>
      </c>
    </row>
    <row r="14" spans="1:16" ht="18" x14ac:dyDescent="0.2">
      <c r="A14" s="2">
        <v>36241</v>
      </c>
      <c r="B14" s="3">
        <v>0.04</v>
      </c>
      <c r="G14" s="30">
        <v>25.03</v>
      </c>
      <c r="J14" s="19"/>
      <c r="K14" s="19"/>
      <c r="L14" s="19"/>
      <c r="M14" s="19"/>
      <c r="N14" s="19"/>
    </row>
    <row r="15" spans="1:16" ht="18" x14ac:dyDescent="0.2">
      <c r="A15" s="2">
        <v>36248</v>
      </c>
      <c r="B15" s="3">
        <v>0.04</v>
      </c>
      <c r="G15" s="30">
        <v>24.68</v>
      </c>
      <c r="J15" s="19"/>
      <c r="K15" s="19"/>
      <c r="L15" s="19"/>
      <c r="M15" s="19"/>
    </row>
    <row r="16" spans="1:16" ht="18" x14ac:dyDescent="0.2">
      <c r="A16" s="2">
        <v>36255</v>
      </c>
      <c r="B16" s="3">
        <v>0.04</v>
      </c>
      <c r="G16" s="30">
        <v>26.74</v>
      </c>
    </row>
    <row r="17" spans="1:9" ht="18" x14ac:dyDescent="0.2">
      <c r="A17" s="2">
        <v>36262</v>
      </c>
      <c r="B17" s="3">
        <v>0.04</v>
      </c>
      <c r="G17" s="30">
        <v>26.9</v>
      </c>
    </row>
    <row r="18" spans="1:9" ht="18" x14ac:dyDescent="0.2">
      <c r="A18" s="2">
        <v>36269</v>
      </c>
      <c r="B18" s="3">
        <v>0.03</v>
      </c>
      <c r="G18" s="30">
        <v>26.61</v>
      </c>
    </row>
    <row r="19" spans="1:9" ht="18" x14ac:dyDescent="0.2">
      <c r="A19" s="2">
        <v>36276</v>
      </c>
      <c r="B19" s="3">
        <v>0.03</v>
      </c>
      <c r="G19" s="30">
        <v>25.79</v>
      </c>
    </row>
    <row r="20" spans="1:9" ht="18" x14ac:dyDescent="0.2">
      <c r="A20" s="2">
        <v>36283</v>
      </c>
      <c r="B20" s="3">
        <v>0.03</v>
      </c>
      <c r="G20" s="30">
        <v>24.5</v>
      </c>
    </row>
    <row r="21" spans="1:9" ht="18" x14ac:dyDescent="0.2">
      <c r="A21" s="2">
        <v>36290</v>
      </c>
      <c r="B21" s="3">
        <v>0.03</v>
      </c>
      <c r="G21" s="30">
        <v>24.71</v>
      </c>
    </row>
    <row r="22" spans="1:9" ht="18" x14ac:dyDescent="0.2">
      <c r="A22" s="2">
        <v>36297</v>
      </c>
      <c r="B22" s="3">
        <v>0.03</v>
      </c>
      <c r="G22" s="30">
        <v>24.67</v>
      </c>
    </row>
    <row r="23" spans="1:9" ht="18" x14ac:dyDescent="0.2">
      <c r="A23" s="2">
        <v>36304</v>
      </c>
      <c r="B23" s="3">
        <v>0.03</v>
      </c>
      <c r="G23" s="30">
        <v>22.62</v>
      </c>
    </row>
    <row r="24" spans="1:9" ht="18" x14ac:dyDescent="0.2">
      <c r="A24" s="2">
        <v>36311</v>
      </c>
      <c r="B24" s="3">
        <v>0.03</v>
      </c>
      <c r="C24">
        <f>AVERAGE(B5:B24)</f>
        <v>3.6500000000000005E-2</v>
      </c>
      <c r="G24" s="30">
        <v>23.23</v>
      </c>
      <c r="H24" s="18">
        <f>AVERAGE(G5:G24)</f>
        <v>24.851000000000003</v>
      </c>
    </row>
    <row r="25" spans="1:9" ht="18" x14ac:dyDescent="0.2">
      <c r="A25" s="2">
        <v>36318</v>
      </c>
      <c r="B25" s="3">
        <v>0.03</v>
      </c>
      <c r="C25">
        <f t="shared" ref="C25:C88" si="0">(B25-C24)*$D$4+C24</f>
        <v>3.5880952380952388E-2</v>
      </c>
      <c r="G25" s="30">
        <v>22.9</v>
      </c>
      <c r="H25" s="18">
        <f>(G25-H24)*$D$4+H24</f>
        <v>24.665190476190478</v>
      </c>
    </row>
    <row r="26" spans="1:9" ht="18" x14ac:dyDescent="0.2">
      <c r="A26" s="2">
        <v>36325</v>
      </c>
      <c r="B26" s="3">
        <v>0.03</v>
      </c>
      <c r="C26">
        <f t="shared" si="0"/>
        <v>3.5320861678004543E-2</v>
      </c>
      <c r="G26" s="30">
        <v>25.04</v>
      </c>
      <c r="H26" s="18">
        <f t="shared" ref="H26:H89" si="1">(G26-H25)*$D$4+H25</f>
        <v>24.700886621315195</v>
      </c>
    </row>
    <row r="27" spans="1:9" ht="18" x14ac:dyDescent="0.2">
      <c r="A27" s="2">
        <v>36332</v>
      </c>
      <c r="B27" s="3">
        <v>0.03</v>
      </c>
      <c r="C27">
        <f t="shared" si="0"/>
        <v>3.4814112946766014E-2</v>
      </c>
      <c r="G27" s="30">
        <v>25.38</v>
      </c>
      <c r="H27" s="18">
        <f t="shared" si="1"/>
        <v>24.765564085951844</v>
      </c>
    </row>
    <row r="28" spans="1:9" ht="18" x14ac:dyDescent="0.2">
      <c r="A28" s="2">
        <v>36339</v>
      </c>
      <c r="B28" s="3">
        <v>0.04</v>
      </c>
      <c r="C28">
        <f t="shared" si="0"/>
        <v>3.5308006951835919E-2</v>
      </c>
      <c r="E28" s="39">
        <v>100000</v>
      </c>
      <c r="G28" s="30">
        <v>26.59</v>
      </c>
      <c r="H28" s="18">
        <f t="shared" si="1"/>
        <v>24.939319887289763</v>
      </c>
      <c r="I28" s="39">
        <v>100000</v>
      </c>
    </row>
    <row r="29" spans="1:9" ht="18" x14ac:dyDescent="0.2">
      <c r="A29" s="2">
        <v>36346</v>
      </c>
      <c r="B29" s="3">
        <v>0.04</v>
      </c>
      <c r="C29">
        <f t="shared" si="0"/>
        <v>3.575486343261345E-2</v>
      </c>
      <c r="E29" s="18">
        <f t="shared" ref="E29:E92" si="2">IF(C28&gt;B28,E28*B29/B28,E28)</f>
        <v>100000</v>
      </c>
      <c r="G29" s="30">
        <v>26.75</v>
      </c>
      <c r="H29" s="18">
        <f t="shared" si="1"/>
        <v>25.111765612309785</v>
      </c>
      <c r="I29">
        <f>IF(H28&gt;G28,I28*G29/G28,I28)</f>
        <v>100000</v>
      </c>
    </row>
    <row r="30" spans="1:9" ht="18" x14ac:dyDescent="0.2">
      <c r="A30" s="2">
        <v>36353</v>
      </c>
      <c r="B30" s="3">
        <v>0.04</v>
      </c>
      <c r="C30">
        <f t="shared" si="0"/>
        <v>3.615916215331693E-2</v>
      </c>
      <c r="E30" s="18">
        <f t="shared" si="2"/>
        <v>100000</v>
      </c>
      <c r="G30" s="30">
        <v>25.69</v>
      </c>
      <c r="H30" s="18">
        <f t="shared" si="1"/>
        <v>25.166835553994567</v>
      </c>
      <c r="I30">
        <f t="shared" ref="I30:I93" si="3">IF(H29&gt;G29,I29*G30/G29,I29)</f>
        <v>100000</v>
      </c>
    </row>
    <row r="31" spans="1:9" ht="18" x14ac:dyDescent="0.2">
      <c r="A31" s="2">
        <v>36360</v>
      </c>
      <c r="B31" s="3">
        <v>0.04</v>
      </c>
      <c r="C31">
        <f t="shared" si="0"/>
        <v>3.6524956233953416E-2</v>
      </c>
      <c r="E31" s="18">
        <f t="shared" si="2"/>
        <v>100000</v>
      </c>
      <c r="G31" s="30">
        <v>25.61</v>
      </c>
      <c r="H31" s="18">
        <f t="shared" si="1"/>
        <v>25.20904169170937</v>
      </c>
      <c r="I31">
        <f t="shared" si="3"/>
        <v>100000</v>
      </c>
    </row>
    <row r="32" spans="1:9" ht="18" x14ac:dyDescent="0.2">
      <c r="A32" s="2">
        <v>36367</v>
      </c>
      <c r="B32" s="3">
        <v>0.04</v>
      </c>
      <c r="C32">
        <f t="shared" si="0"/>
        <v>3.6855912783100707E-2</v>
      </c>
      <c r="E32" s="18">
        <f t="shared" si="2"/>
        <v>100000</v>
      </c>
      <c r="G32" s="30">
        <v>24.2</v>
      </c>
      <c r="H32" s="18">
        <f t="shared" si="1"/>
        <v>25.112942482975143</v>
      </c>
      <c r="I32">
        <f t="shared" si="3"/>
        <v>100000</v>
      </c>
    </row>
    <row r="33" spans="1:9" ht="18" x14ac:dyDescent="0.2">
      <c r="A33" s="2">
        <v>36374</v>
      </c>
      <c r="B33" s="3">
        <v>0.04</v>
      </c>
      <c r="C33">
        <f t="shared" si="0"/>
        <v>3.7155349660900637E-2</v>
      </c>
      <c r="E33" s="18">
        <f t="shared" si="2"/>
        <v>100000</v>
      </c>
      <c r="G33" s="30">
        <v>23.79</v>
      </c>
      <c r="H33" s="18">
        <f t="shared" si="1"/>
        <v>24.986947960787035</v>
      </c>
      <c r="I33">
        <f t="shared" si="3"/>
        <v>98305.78512396694</v>
      </c>
    </row>
    <row r="34" spans="1:9" ht="18" x14ac:dyDescent="0.2">
      <c r="A34" s="2">
        <v>36381</v>
      </c>
      <c r="B34" s="3">
        <v>0.04</v>
      </c>
      <c r="C34">
        <f t="shared" si="0"/>
        <v>3.7426268740814859E-2</v>
      </c>
      <c r="E34" s="18">
        <f t="shared" si="2"/>
        <v>100000</v>
      </c>
      <c r="G34" s="30">
        <v>24.85</v>
      </c>
      <c r="H34" s="18">
        <f t="shared" si="1"/>
        <v>24.973905297854937</v>
      </c>
      <c r="I34">
        <f t="shared" si="3"/>
        <v>102685.95041322315</v>
      </c>
    </row>
    <row r="35" spans="1:9" ht="18" x14ac:dyDescent="0.2">
      <c r="A35" s="2">
        <v>36388</v>
      </c>
      <c r="B35" s="3">
        <v>0.05</v>
      </c>
      <c r="C35">
        <f t="shared" si="0"/>
        <v>3.8623766955975351E-2</v>
      </c>
      <c r="E35" s="18">
        <f t="shared" si="2"/>
        <v>100000</v>
      </c>
      <c r="G35" s="30">
        <v>26.3</v>
      </c>
      <c r="H35" s="18">
        <f t="shared" si="1"/>
        <v>25.100200031392564</v>
      </c>
      <c r="I35">
        <f t="shared" si="3"/>
        <v>108677.68595041323</v>
      </c>
    </row>
    <row r="36" spans="1:9" ht="18" x14ac:dyDescent="0.2">
      <c r="A36" s="2">
        <v>36395</v>
      </c>
      <c r="B36" s="3">
        <v>0.05</v>
      </c>
      <c r="C36">
        <f t="shared" si="0"/>
        <v>3.9707217722072939E-2</v>
      </c>
      <c r="E36" s="18">
        <f t="shared" si="2"/>
        <v>100000</v>
      </c>
      <c r="G36" s="30">
        <v>26.11</v>
      </c>
      <c r="H36" s="18">
        <f t="shared" si="1"/>
        <v>25.196371456974223</v>
      </c>
      <c r="I36">
        <f t="shared" si="3"/>
        <v>108677.68595041323</v>
      </c>
    </row>
    <row r="37" spans="1:9" ht="18" x14ac:dyDescent="0.2">
      <c r="A37" s="2">
        <v>36402</v>
      </c>
      <c r="B37" s="3">
        <v>0.05</v>
      </c>
      <c r="C37">
        <f t="shared" si="0"/>
        <v>4.0687482700923136E-2</v>
      </c>
      <c r="E37" s="18">
        <f t="shared" si="2"/>
        <v>100000</v>
      </c>
      <c r="G37" s="30">
        <v>26.69</v>
      </c>
      <c r="H37" s="18">
        <f t="shared" si="1"/>
        <v>25.338621794405249</v>
      </c>
      <c r="I37">
        <f t="shared" si="3"/>
        <v>108677.68595041323</v>
      </c>
    </row>
    <row r="38" spans="1:9" ht="18" x14ac:dyDescent="0.2">
      <c r="A38" s="2">
        <v>36409</v>
      </c>
      <c r="B38" s="3">
        <v>0.05</v>
      </c>
      <c r="C38">
        <f t="shared" si="0"/>
        <v>4.1574389110359031E-2</v>
      </c>
      <c r="E38" s="18">
        <f t="shared" si="2"/>
        <v>100000</v>
      </c>
      <c r="G38" s="30">
        <v>24.32</v>
      </c>
      <c r="H38" s="18">
        <f t="shared" si="1"/>
        <v>25.241610194938083</v>
      </c>
      <c r="I38">
        <f t="shared" si="3"/>
        <v>108677.68595041323</v>
      </c>
    </row>
    <row r="39" spans="1:9" ht="18" x14ac:dyDescent="0.2">
      <c r="A39" s="2">
        <v>36416</v>
      </c>
      <c r="B39" s="3">
        <v>0.05</v>
      </c>
      <c r="C39">
        <f t="shared" si="0"/>
        <v>4.2376828242705791E-2</v>
      </c>
      <c r="E39" s="18">
        <f t="shared" si="2"/>
        <v>100000</v>
      </c>
      <c r="G39" s="30">
        <v>24.36</v>
      </c>
      <c r="H39" s="18">
        <f t="shared" si="1"/>
        <v>25.157647319229696</v>
      </c>
      <c r="I39">
        <f t="shared" si="3"/>
        <v>108856.43214441062</v>
      </c>
    </row>
    <row r="40" spans="1:9" ht="18" x14ac:dyDescent="0.2">
      <c r="A40" s="2">
        <v>36423</v>
      </c>
      <c r="B40" s="3">
        <v>0.03</v>
      </c>
      <c r="C40">
        <f t="shared" si="0"/>
        <v>4.1198082695781429E-2</v>
      </c>
      <c r="E40" s="18">
        <f t="shared" si="2"/>
        <v>100000</v>
      </c>
      <c r="G40" s="30">
        <v>23.67</v>
      </c>
      <c r="H40" s="18">
        <f t="shared" si="1"/>
        <v>25.0159666221602</v>
      </c>
      <c r="I40">
        <f t="shared" si="3"/>
        <v>105773.06029795564</v>
      </c>
    </row>
    <row r="41" spans="1:9" ht="18" x14ac:dyDescent="0.2">
      <c r="A41" s="2">
        <v>36430</v>
      </c>
      <c r="B41" s="3">
        <v>0.04</v>
      </c>
      <c r="C41">
        <f t="shared" si="0"/>
        <v>4.1083979581897481E-2</v>
      </c>
      <c r="E41" s="18">
        <f t="shared" si="2"/>
        <v>133333.33333333334</v>
      </c>
      <c r="G41" s="30">
        <v>23.26</v>
      </c>
      <c r="H41" s="18">
        <f t="shared" si="1"/>
        <v>24.848731705763988</v>
      </c>
      <c r="I41">
        <f t="shared" si="3"/>
        <v>103940.91180948239</v>
      </c>
    </row>
    <row r="42" spans="1:9" ht="18" x14ac:dyDescent="0.2">
      <c r="A42" s="2">
        <v>36437</v>
      </c>
      <c r="B42" s="3">
        <v>0.04</v>
      </c>
      <c r="C42">
        <f t="shared" si="0"/>
        <v>4.0980743431240578E-2</v>
      </c>
      <c r="E42" s="18">
        <f t="shared" si="2"/>
        <v>133333.33333333334</v>
      </c>
      <c r="G42" s="30">
        <v>23.73</v>
      </c>
      <c r="H42" s="18">
        <f t="shared" si="1"/>
        <v>24.74218582902456</v>
      </c>
      <c r="I42">
        <f t="shared" si="3"/>
        <v>106041.17958895172</v>
      </c>
    </row>
    <row r="43" spans="1:9" ht="18" x14ac:dyDescent="0.2">
      <c r="A43" s="2">
        <v>36444</v>
      </c>
      <c r="B43" s="3">
        <v>0.04</v>
      </c>
      <c r="C43">
        <f t="shared" si="0"/>
        <v>4.0887339294931949E-2</v>
      </c>
      <c r="E43" s="18">
        <f t="shared" si="2"/>
        <v>133333.33333333334</v>
      </c>
      <c r="G43" s="30">
        <v>21</v>
      </c>
      <c r="H43" s="18">
        <f t="shared" si="1"/>
        <v>24.385787178641269</v>
      </c>
      <c r="I43">
        <f t="shared" si="3"/>
        <v>93841.75184862985</v>
      </c>
    </row>
    <row r="44" spans="1:9" ht="18" x14ac:dyDescent="0.2">
      <c r="A44" s="2">
        <v>36451</v>
      </c>
      <c r="B44" s="3">
        <v>0.04</v>
      </c>
      <c r="C44">
        <f t="shared" si="0"/>
        <v>4.0802830790652715E-2</v>
      </c>
      <c r="E44" s="18">
        <f t="shared" si="2"/>
        <v>133333.33333333334</v>
      </c>
      <c r="G44" s="30">
        <v>25.46</v>
      </c>
      <c r="H44" s="18">
        <f t="shared" si="1"/>
        <v>24.488093161627816</v>
      </c>
      <c r="I44">
        <f t="shared" si="3"/>
        <v>113771.95247933886</v>
      </c>
    </row>
    <row r="45" spans="1:9" ht="18" x14ac:dyDescent="0.2">
      <c r="A45" s="2">
        <v>36458</v>
      </c>
      <c r="B45" s="3">
        <v>0.04</v>
      </c>
      <c r="C45">
        <f t="shared" si="0"/>
        <v>4.0726370715352456E-2</v>
      </c>
      <c r="E45" s="18">
        <f t="shared" si="2"/>
        <v>133333.33333333334</v>
      </c>
      <c r="G45" s="30">
        <v>27.55</v>
      </c>
      <c r="H45" s="18">
        <f t="shared" si="1"/>
        <v>24.779703336710881</v>
      </c>
      <c r="I45">
        <f t="shared" si="3"/>
        <v>113771.95247933886</v>
      </c>
    </row>
    <row r="46" spans="1:9" ht="18" x14ac:dyDescent="0.2">
      <c r="A46" s="2">
        <v>36465</v>
      </c>
      <c r="B46" s="3">
        <v>0.05</v>
      </c>
      <c r="C46">
        <f t="shared" si="0"/>
        <v>4.1609573504366511E-2</v>
      </c>
      <c r="E46" s="18">
        <f t="shared" si="2"/>
        <v>166666.66666666669</v>
      </c>
      <c r="G46" s="30">
        <v>27.24</v>
      </c>
      <c r="H46" s="18">
        <f t="shared" si="1"/>
        <v>25.014017304643179</v>
      </c>
      <c r="I46">
        <f t="shared" si="3"/>
        <v>113771.95247933886</v>
      </c>
    </row>
    <row r="47" spans="1:9" ht="18" x14ac:dyDescent="0.2">
      <c r="A47" s="2">
        <v>36472</v>
      </c>
      <c r="B47" s="3">
        <v>0.06</v>
      </c>
      <c r="C47">
        <f t="shared" si="0"/>
        <v>4.3361042694426845E-2</v>
      </c>
      <c r="E47" s="18">
        <f t="shared" si="2"/>
        <v>166666.66666666669</v>
      </c>
      <c r="G47" s="30">
        <v>26.84</v>
      </c>
      <c r="H47" s="18">
        <f t="shared" si="1"/>
        <v>25.187920418486687</v>
      </c>
      <c r="I47">
        <f t="shared" si="3"/>
        <v>113771.95247933886</v>
      </c>
    </row>
    <row r="48" spans="1:9" ht="18" x14ac:dyDescent="0.2">
      <c r="A48" s="2">
        <v>36479</v>
      </c>
      <c r="B48" s="3">
        <v>0.08</v>
      </c>
      <c r="C48">
        <f t="shared" si="0"/>
        <v>4.6850467199719525E-2</v>
      </c>
      <c r="E48" s="18">
        <f t="shared" si="2"/>
        <v>166666.66666666669</v>
      </c>
      <c r="G48" s="30">
        <v>26.21</v>
      </c>
      <c r="H48" s="18">
        <f t="shared" si="1"/>
        <v>25.285261331011764</v>
      </c>
      <c r="I48">
        <f t="shared" si="3"/>
        <v>113771.95247933886</v>
      </c>
    </row>
    <row r="49" spans="1:9" ht="18" x14ac:dyDescent="0.2">
      <c r="A49" s="2">
        <v>36486</v>
      </c>
      <c r="B49" s="3">
        <v>7.0000000000000007E-2</v>
      </c>
      <c r="C49">
        <f t="shared" si="0"/>
        <v>4.9055184609270046E-2</v>
      </c>
      <c r="E49" s="18">
        <f t="shared" si="2"/>
        <v>166666.66666666669</v>
      </c>
      <c r="G49" s="30">
        <v>24.97</v>
      </c>
      <c r="H49" s="18">
        <f t="shared" si="1"/>
        <v>25.255236442343978</v>
      </c>
      <c r="I49">
        <f t="shared" si="3"/>
        <v>113771.95247933886</v>
      </c>
    </row>
    <row r="50" spans="1:9" ht="18" x14ac:dyDescent="0.2">
      <c r="A50" s="2">
        <v>36493</v>
      </c>
      <c r="B50" s="3">
        <v>7.0000000000000007E-2</v>
      </c>
      <c r="C50">
        <f t="shared" si="0"/>
        <v>5.104992893219671E-2</v>
      </c>
      <c r="E50" s="18">
        <f t="shared" si="2"/>
        <v>166666.66666666669</v>
      </c>
      <c r="G50" s="30">
        <v>25.9</v>
      </c>
      <c r="H50" s="18">
        <f t="shared" si="1"/>
        <v>25.316642495454076</v>
      </c>
      <c r="I50">
        <f t="shared" si="3"/>
        <v>118009.35399338712</v>
      </c>
    </row>
    <row r="51" spans="1:9" ht="18" x14ac:dyDescent="0.2">
      <c r="A51" s="2">
        <v>36500</v>
      </c>
      <c r="B51" s="3">
        <v>7.0000000000000007E-2</v>
      </c>
      <c r="C51">
        <f t="shared" si="0"/>
        <v>5.2854697605320834E-2</v>
      </c>
      <c r="E51" s="18">
        <f t="shared" si="2"/>
        <v>166666.66666666669</v>
      </c>
      <c r="G51" s="30">
        <v>24.93</v>
      </c>
      <c r="H51" s="18">
        <f t="shared" si="1"/>
        <v>25.279819400648925</v>
      </c>
      <c r="I51">
        <f t="shared" si="3"/>
        <v>118009.35399338712</v>
      </c>
    </row>
    <row r="52" spans="1:9" ht="18" x14ac:dyDescent="0.2">
      <c r="A52" s="2">
        <v>36507</v>
      </c>
      <c r="B52" s="3">
        <v>7.0000000000000007E-2</v>
      </c>
      <c r="C52">
        <f t="shared" si="0"/>
        <v>5.4487583547671234E-2</v>
      </c>
      <c r="E52" s="18">
        <f t="shared" si="2"/>
        <v>166666.66666666669</v>
      </c>
      <c r="G52" s="30">
        <v>22.97</v>
      </c>
      <c r="H52" s="18">
        <f t="shared" si="1"/>
        <v>25.059836600587122</v>
      </c>
      <c r="I52">
        <f t="shared" si="3"/>
        <v>108731.44248809073</v>
      </c>
    </row>
    <row r="53" spans="1:9" ht="18" x14ac:dyDescent="0.2">
      <c r="A53" s="2">
        <v>36514</v>
      </c>
      <c r="B53" s="3">
        <v>0.09</v>
      </c>
      <c r="C53">
        <f t="shared" si="0"/>
        <v>5.7869718447893022E-2</v>
      </c>
      <c r="E53" s="18">
        <f t="shared" si="2"/>
        <v>166666.66666666669</v>
      </c>
      <c r="G53" s="30">
        <v>24.47</v>
      </c>
      <c r="H53" s="18">
        <f t="shared" si="1"/>
        <v>25.00366168624549</v>
      </c>
      <c r="I53">
        <f t="shared" si="3"/>
        <v>115831.88496663388</v>
      </c>
    </row>
    <row r="54" spans="1:9" ht="18" x14ac:dyDescent="0.2">
      <c r="A54" s="2">
        <v>36521</v>
      </c>
      <c r="B54" s="3">
        <v>0.09</v>
      </c>
      <c r="C54">
        <f t="shared" si="0"/>
        <v>6.0929745262379403E-2</v>
      </c>
      <c r="E54" s="18">
        <f t="shared" si="2"/>
        <v>166666.66666666669</v>
      </c>
      <c r="G54" s="30">
        <v>24.53</v>
      </c>
      <c r="H54" s="18">
        <f t="shared" si="1"/>
        <v>24.958551049460205</v>
      </c>
      <c r="I54">
        <f t="shared" si="3"/>
        <v>116115.90266577562</v>
      </c>
    </row>
    <row r="55" spans="1:9" ht="18" x14ac:dyDescent="0.2">
      <c r="A55" s="2">
        <v>36528</v>
      </c>
      <c r="B55" s="3">
        <v>0.08</v>
      </c>
      <c r="C55">
        <f t="shared" si="0"/>
        <v>6.274595999929565E-2</v>
      </c>
      <c r="E55" s="18">
        <f t="shared" si="2"/>
        <v>166666.66666666669</v>
      </c>
      <c r="G55" s="30">
        <v>22.97</v>
      </c>
      <c r="H55" s="18">
        <f t="shared" si="1"/>
        <v>24.769165235225898</v>
      </c>
      <c r="I55">
        <f t="shared" si="3"/>
        <v>108731.44248809075</v>
      </c>
    </row>
    <row r="56" spans="1:9" ht="18" x14ac:dyDescent="0.2">
      <c r="A56" s="2">
        <v>36535</v>
      </c>
      <c r="B56" s="3">
        <v>0.08</v>
      </c>
      <c r="C56">
        <f t="shared" si="0"/>
        <v>6.4389201904124629E-2</v>
      </c>
      <c r="E56" s="18">
        <f t="shared" si="2"/>
        <v>166666.66666666669</v>
      </c>
      <c r="G56" s="30">
        <v>23.46</v>
      </c>
      <c r="H56" s="18">
        <f t="shared" si="1"/>
        <v>24.644482831871052</v>
      </c>
      <c r="I56">
        <f t="shared" si="3"/>
        <v>111050.92036441485</v>
      </c>
    </row>
    <row r="57" spans="1:9" ht="18" x14ac:dyDescent="0.2">
      <c r="A57" s="2">
        <v>36542</v>
      </c>
      <c r="B57" s="3">
        <v>0.09</v>
      </c>
      <c r="C57">
        <f t="shared" si="0"/>
        <v>6.6828325532303237E-2</v>
      </c>
      <c r="E57" s="18">
        <f t="shared" si="2"/>
        <v>166666.66666666669</v>
      </c>
      <c r="G57" s="30">
        <v>23.16</v>
      </c>
      <c r="H57" s="18">
        <f t="shared" si="1"/>
        <v>24.503103514549998</v>
      </c>
      <c r="I57">
        <f t="shared" si="3"/>
        <v>109630.83186870621</v>
      </c>
    </row>
    <row r="58" spans="1:9" ht="18" x14ac:dyDescent="0.2">
      <c r="A58" s="2">
        <v>36549</v>
      </c>
      <c r="B58" s="3">
        <v>7.0000000000000007E-2</v>
      </c>
      <c r="C58">
        <f t="shared" si="0"/>
        <v>6.7130389767321982E-2</v>
      </c>
      <c r="E58" s="18">
        <f t="shared" si="2"/>
        <v>166666.66666666669</v>
      </c>
      <c r="G58" s="30">
        <v>24.35</v>
      </c>
      <c r="H58" s="18">
        <f t="shared" si="1"/>
        <v>24.488522227449998</v>
      </c>
      <c r="I58">
        <f t="shared" si="3"/>
        <v>115263.84956835046</v>
      </c>
    </row>
    <row r="59" spans="1:9" ht="18" x14ac:dyDescent="0.2">
      <c r="A59" s="2">
        <v>36556</v>
      </c>
      <c r="B59" s="3">
        <v>0.08</v>
      </c>
      <c r="C59">
        <f t="shared" si="0"/>
        <v>6.8356066932338935E-2</v>
      </c>
      <c r="E59" s="18">
        <f t="shared" si="2"/>
        <v>166666.66666666669</v>
      </c>
      <c r="G59" s="30">
        <v>25.96</v>
      </c>
      <c r="H59" s="18">
        <f t="shared" si="1"/>
        <v>24.628662967692854</v>
      </c>
      <c r="I59">
        <f t="shared" si="3"/>
        <v>122884.99116198678</v>
      </c>
    </row>
    <row r="60" spans="1:9" ht="18" x14ac:dyDescent="0.2">
      <c r="A60" s="2">
        <v>36563</v>
      </c>
      <c r="B60" s="3">
        <v>0.1</v>
      </c>
      <c r="C60">
        <f t="shared" si="0"/>
        <v>7.1369774843544745E-2</v>
      </c>
      <c r="E60" s="18">
        <f t="shared" si="2"/>
        <v>166666.66666666669</v>
      </c>
      <c r="G60" s="30">
        <v>26.24</v>
      </c>
      <c r="H60" s="18">
        <f t="shared" si="1"/>
        <v>24.782123637436392</v>
      </c>
      <c r="I60">
        <f t="shared" si="3"/>
        <v>122884.99116198678</v>
      </c>
    </row>
    <row r="61" spans="1:9" ht="18" x14ac:dyDescent="0.2">
      <c r="A61" s="2">
        <v>36570</v>
      </c>
      <c r="B61" s="3">
        <v>0.13</v>
      </c>
      <c r="C61">
        <f t="shared" si="0"/>
        <v>7.6953605810826192E-2</v>
      </c>
      <c r="E61" s="18">
        <f t="shared" si="2"/>
        <v>166666.66666666669</v>
      </c>
      <c r="G61" s="30">
        <v>23.74</v>
      </c>
      <c r="H61" s="18">
        <f t="shared" si="1"/>
        <v>24.682873767204356</v>
      </c>
      <c r="I61">
        <f t="shared" si="3"/>
        <v>122884.99116198678</v>
      </c>
    </row>
    <row r="62" spans="1:9" ht="18" x14ac:dyDescent="0.2">
      <c r="A62" s="2">
        <v>36577</v>
      </c>
      <c r="B62" s="3">
        <v>0.12</v>
      </c>
      <c r="C62">
        <f t="shared" si="0"/>
        <v>8.1053262400271317E-2</v>
      </c>
      <c r="E62" s="18">
        <f t="shared" si="2"/>
        <v>166666.66666666669</v>
      </c>
      <c r="G62" s="30">
        <v>24.1</v>
      </c>
      <c r="H62" s="18">
        <f t="shared" si="1"/>
        <v>24.62736197985156</v>
      </c>
      <c r="I62">
        <f t="shared" si="3"/>
        <v>124748.45353849544</v>
      </c>
    </row>
    <row r="63" spans="1:9" ht="18" x14ac:dyDescent="0.2">
      <c r="A63" s="2">
        <v>36584</v>
      </c>
      <c r="B63" s="3">
        <v>0.11</v>
      </c>
      <c r="C63">
        <f t="shared" si="0"/>
        <v>8.3810094552626432E-2</v>
      </c>
      <c r="E63" s="18">
        <f t="shared" si="2"/>
        <v>166666.66666666669</v>
      </c>
      <c r="G63" s="30">
        <v>25.76</v>
      </c>
      <c r="H63" s="18">
        <f t="shared" si="1"/>
        <v>24.735232267484744</v>
      </c>
      <c r="I63">
        <f t="shared" si="3"/>
        <v>133341.08560795197</v>
      </c>
    </row>
    <row r="64" spans="1:9" ht="18" x14ac:dyDescent="0.2">
      <c r="A64" s="2">
        <v>36591</v>
      </c>
      <c r="B64" s="3">
        <v>0.23</v>
      </c>
      <c r="C64">
        <f t="shared" si="0"/>
        <v>9.773294269047153E-2</v>
      </c>
      <c r="E64" s="18">
        <f t="shared" si="2"/>
        <v>166666.66666666669</v>
      </c>
      <c r="G64" s="30">
        <v>24.99</v>
      </c>
      <c r="H64" s="18">
        <f t="shared" si="1"/>
        <v>24.759495861057626</v>
      </c>
      <c r="I64">
        <f t="shared" si="3"/>
        <v>133341.08560795197</v>
      </c>
    </row>
    <row r="65" spans="1:9" ht="18" x14ac:dyDescent="0.2">
      <c r="A65" s="2">
        <v>36598</v>
      </c>
      <c r="B65" s="3">
        <v>0.19</v>
      </c>
      <c r="C65">
        <f t="shared" si="0"/>
        <v>0.10652028148185519</v>
      </c>
      <c r="E65" s="18">
        <f t="shared" si="2"/>
        <v>166666.66666666669</v>
      </c>
      <c r="G65" s="30">
        <v>28.9</v>
      </c>
      <c r="H65" s="18">
        <f t="shared" si="1"/>
        <v>25.153829588575949</v>
      </c>
      <c r="I65">
        <f t="shared" si="3"/>
        <v>133341.08560795197</v>
      </c>
    </row>
    <row r="66" spans="1:9" ht="18" x14ac:dyDescent="0.2">
      <c r="A66" s="2">
        <v>36605</v>
      </c>
      <c r="B66" s="3">
        <v>0.18</v>
      </c>
      <c r="C66">
        <f t="shared" si="0"/>
        <v>0.11351834991215469</v>
      </c>
      <c r="E66" s="18">
        <f t="shared" si="2"/>
        <v>166666.66666666669</v>
      </c>
      <c r="G66" s="30">
        <v>30.55</v>
      </c>
      <c r="H66" s="18">
        <f t="shared" si="1"/>
        <v>25.667750580140144</v>
      </c>
      <c r="I66">
        <f t="shared" si="3"/>
        <v>133341.08560795197</v>
      </c>
    </row>
    <row r="67" spans="1:9" ht="18" x14ac:dyDescent="0.2">
      <c r="A67" s="2">
        <v>36612</v>
      </c>
      <c r="B67" s="3">
        <v>0.16</v>
      </c>
      <c r="C67">
        <f t="shared" si="0"/>
        <v>0.11794517373004472</v>
      </c>
      <c r="E67" s="18">
        <f t="shared" si="2"/>
        <v>166666.66666666669</v>
      </c>
      <c r="G67" s="30">
        <v>27.69</v>
      </c>
      <c r="H67" s="18">
        <f t="shared" si="1"/>
        <v>25.86034576298394</v>
      </c>
      <c r="I67">
        <f t="shared" si="3"/>
        <v>133341.08560795197</v>
      </c>
    </row>
    <row r="68" spans="1:9" ht="18" x14ac:dyDescent="0.2">
      <c r="A68" s="2">
        <v>36619</v>
      </c>
      <c r="B68" s="3">
        <v>0.2</v>
      </c>
      <c r="C68">
        <f t="shared" si="0"/>
        <v>0.12575991908908807</v>
      </c>
      <c r="E68" s="18">
        <f t="shared" si="2"/>
        <v>166666.66666666669</v>
      </c>
      <c r="G68" s="30">
        <v>27.43</v>
      </c>
      <c r="H68" s="18">
        <f t="shared" si="1"/>
        <v>26.009836642699756</v>
      </c>
      <c r="I68">
        <f t="shared" si="3"/>
        <v>133341.08560795197</v>
      </c>
    </row>
    <row r="69" spans="1:9" ht="18" x14ac:dyDescent="0.2">
      <c r="A69" s="2">
        <v>36626</v>
      </c>
      <c r="B69" s="3">
        <v>0.13</v>
      </c>
      <c r="C69">
        <f t="shared" si="0"/>
        <v>0.12616373631869873</v>
      </c>
      <c r="E69" s="18">
        <f t="shared" si="2"/>
        <v>166666.66666666669</v>
      </c>
      <c r="G69" s="30">
        <v>25.18</v>
      </c>
      <c r="H69" s="18">
        <f t="shared" si="1"/>
        <v>25.930804581490257</v>
      </c>
      <c r="I69">
        <f t="shared" si="3"/>
        <v>133341.08560795197</v>
      </c>
    </row>
    <row r="70" spans="1:9" ht="18" x14ac:dyDescent="0.2">
      <c r="A70" s="2">
        <v>36633</v>
      </c>
      <c r="B70" s="3">
        <v>0.15</v>
      </c>
      <c r="C70">
        <f t="shared" si="0"/>
        <v>0.12843385666929885</v>
      </c>
      <c r="E70" s="18">
        <f t="shared" si="2"/>
        <v>166666.66666666669</v>
      </c>
      <c r="G70" s="30">
        <v>24.68</v>
      </c>
      <c r="H70" s="18">
        <f t="shared" si="1"/>
        <v>25.811680335634041</v>
      </c>
      <c r="I70">
        <f t="shared" si="3"/>
        <v>130693.32775235326</v>
      </c>
    </row>
    <row r="71" spans="1:9" ht="18" x14ac:dyDescent="0.2">
      <c r="A71" s="2">
        <v>36640</v>
      </c>
      <c r="B71" s="3">
        <v>0.17</v>
      </c>
      <c r="C71">
        <f t="shared" si="0"/>
        <v>0.13239253698650849</v>
      </c>
      <c r="E71" s="18">
        <f t="shared" si="2"/>
        <v>166666.66666666669</v>
      </c>
      <c r="G71" s="30">
        <v>23.03</v>
      </c>
      <c r="H71" s="18">
        <f t="shared" si="1"/>
        <v>25.546758398906988</v>
      </c>
      <c r="I71">
        <f t="shared" si="3"/>
        <v>121955.72682887746</v>
      </c>
    </row>
    <row r="72" spans="1:9" ht="18" x14ac:dyDescent="0.2">
      <c r="A72" s="2">
        <v>36647</v>
      </c>
      <c r="B72" s="3">
        <v>0.18</v>
      </c>
      <c r="C72">
        <f t="shared" si="0"/>
        <v>0.13692658108303149</v>
      </c>
      <c r="E72" s="18">
        <f t="shared" si="2"/>
        <v>166666.66666666669</v>
      </c>
      <c r="G72" s="30">
        <v>23.05</v>
      </c>
      <c r="H72" s="18">
        <f t="shared" si="1"/>
        <v>25.30897188472537</v>
      </c>
      <c r="I72">
        <f t="shared" si="3"/>
        <v>122061.6371431014</v>
      </c>
    </row>
    <row r="73" spans="1:9" ht="18" x14ac:dyDescent="0.2">
      <c r="A73" s="2">
        <v>36654</v>
      </c>
      <c r="B73" s="3">
        <v>0.15</v>
      </c>
      <c r="C73">
        <f t="shared" si="0"/>
        <v>0.13817166859893326</v>
      </c>
      <c r="E73" s="18">
        <f t="shared" si="2"/>
        <v>166666.66666666669</v>
      </c>
      <c r="G73" s="30">
        <v>22.87</v>
      </c>
      <c r="H73" s="18">
        <f t="shared" si="1"/>
        <v>25.07668884808486</v>
      </c>
      <c r="I73">
        <f t="shared" si="3"/>
        <v>121108.44431508587</v>
      </c>
    </row>
    <row r="74" spans="1:9" ht="18" x14ac:dyDescent="0.2">
      <c r="A74" s="2">
        <v>36661</v>
      </c>
      <c r="B74" s="3">
        <v>0.2</v>
      </c>
      <c r="C74">
        <f t="shared" si="0"/>
        <v>0.14406008111332058</v>
      </c>
      <c r="E74" s="18">
        <f t="shared" si="2"/>
        <v>166666.66666666669</v>
      </c>
      <c r="G74" s="30">
        <v>23.15</v>
      </c>
      <c r="H74" s="18">
        <f t="shared" si="1"/>
        <v>24.893194672076778</v>
      </c>
      <c r="I74">
        <f t="shared" si="3"/>
        <v>122591.18871422115</v>
      </c>
    </row>
    <row r="75" spans="1:9" ht="18" x14ac:dyDescent="0.2">
      <c r="A75" s="2">
        <v>36668</v>
      </c>
      <c r="B75" s="3">
        <v>0.2</v>
      </c>
      <c r="C75">
        <f t="shared" si="0"/>
        <v>0.14938769243586147</v>
      </c>
      <c r="E75" s="18">
        <f t="shared" si="2"/>
        <v>166666.66666666669</v>
      </c>
      <c r="G75" s="30">
        <v>22.51</v>
      </c>
      <c r="H75" s="18">
        <f t="shared" si="1"/>
        <v>24.666223750926608</v>
      </c>
      <c r="I75">
        <f t="shared" si="3"/>
        <v>119202.0586590548</v>
      </c>
    </row>
    <row r="76" spans="1:9" ht="18" x14ac:dyDescent="0.2">
      <c r="A76" s="2">
        <v>36675</v>
      </c>
      <c r="B76" s="3">
        <v>0.25</v>
      </c>
      <c r="C76">
        <f t="shared" si="0"/>
        <v>0.15896981696577944</v>
      </c>
      <c r="E76" s="18">
        <f t="shared" si="2"/>
        <v>166666.66666666669</v>
      </c>
      <c r="G76" s="30">
        <v>25.76</v>
      </c>
      <c r="H76" s="18">
        <f t="shared" si="1"/>
        <v>24.770392917505028</v>
      </c>
      <c r="I76">
        <f t="shared" si="3"/>
        <v>136412.48472044655</v>
      </c>
    </row>
    <row r="77" spans="1:9" ht="18" x14ac:dyDescent="0.2">
      <c r="A77" s="2">
        <v>36682</v>
      </c>
      <c r="B77" s="3">
        <v>0.24</v>
      </c>
      <c r="C77">
        <f t="shared" si="0"/>
        <v>0.16668697725475282</v>
      </c>
      <c r="E77" s="18">
        <f t="shared" si="2"/>
        <v>166666.66666666669</v>
      </c>
      <c r="G77" s="30">
        <v>23.4</v>
      </c>
      <c r="H77" s="18">
        <f t="shared" si="1"/>
        <v>24.639879306314072</v>
      </c>
      <c r="I77">
        <f t="shared" si="3"/>
        <v>136412.48472044655</v>
      </c>
    </row>
    <row r="78" spans="1:9" ht="18" x14ac:dyDescent="0.2">
      <c r="A78" s="2">
        <v>36689</v>
      </c>
      <c r="B78" s="3">
        <v>0.28999999999999998</v>
      </c>
      <c r="C78">
        <f t="shared" si="0"/>
        <v>0.17843107465906208</v>
      </c>
      <c r="E78" s="18">
        <f t="shared" si="2"/>
        <v>166666.66666666669</v>
      </c>
      <c r="G78" s="30">
        <v>21.76</v>
      </c>
      <c r="H78" s="18">
        <f t="shared" si="1"/>
        <v>24.365605086665113</v>
      </c>
      <c r="I78">
        <f t="shared" si="3"/>
        <v>126851.95160328706</v>
      </c>
    </row>
    <row r="79" spans="1:9" ht="18" x14ac:dyDescent="0.2">
      <c r="A79" s="2">
        <v>36696</v>
      </c>
      <c r="B79" s="3">
        <v>0.28000000000000003</v>
      </c>
      <c r="C79">
        <f t="shared" si="0"/>
        <v>0.18810430564391331</v>
      </c>
      <c r="E79" s="18">
        <f t="shared" si="2"/>
        <v>166666.66666666669</v>
      </c>
      <c r="G79" s="30">
        <v>22.45</v>
      </c>
      <c r="H79" s="18">
        <f t="shared" si="1"/>
        <v>24.183166506982722</v>
      </c>
      <c r="I79">
        <f t="shared" si="3"/>
        <v>130874.37102453098</v>
      </c>
    </row>
    <row r="80" spans="1:9" ht="18" x14ac:dyDescent="0.2">
      <c r="A80" s="2">
        <v>36703</v>
      </c>
      <c r="B80" s="3">
        <v>0.24</v>
      </c>
      <c r="C80">
        <f t="shared" si="0"/>
        <v>0.19304675272544539</v>
      </c>
      <c r="E80" s="18">
        <f t="shared" si="2"/>
        <v>166666.66666666669</v>
      </c>
      <c r="G80" s="30">
        <v>22.06</v>
      </c>
      <c r="H80" s="18">
        <f t="shared" si="1"/>
        <v>23.980960172984368</v>
      </c>
      <c r="I80">
        <f t="shared" si="3"/>
        <v>128600.82961252354</v>
      </c>
    </row>
    <row r="81" spans="1:9" ht="18" x14ac:dyDescent="0.2">
      <c r="A81" s="2">
        <v>36710</v>
      </c>
      <c r="B81" s="3">
        <v>0.22</v>
      </c>
      <c r="C81">
        <f t="shared" si="0"/>
        <v>0.19561372865635535</v>
      </c>
      <c r="E81" s="18">
        <f t="shared" si="2"/>
        <v>166666.66666666669</v>
      </c>
      <c r="G81" s="30">
        <v>23.97</v>
      </c>
      <c r="H81" s="18">
        <f t="shared" si="1"/>
        <v>23.979916346985856</v>
      </c>
      <c r="I81">
        <f t="shared" si="3"/>
        <v>139735.35293799589</v>
      </c>
    </row>
    <row r="82" spans="1:9" ht="18" x14ac:dyDescent="0.2">
      <c r="A82" s="2">
        <v>36717</v>
      </c>
      <c r="B82" s="3">
        <v>0.28000000000000003</v>
      </c>
      <c r="C82">
        <f t="shared" si="0"/>
        <v>0.20365051640336912</v>
      </c>
      <c r="E82" s="18">
        <f t="shared" si="2"/>
        <v>166666.66666666669</v>
      </c>
      <c r="G82" s="30">
        <v>25.32</v>
      </c>
      <c r="H82" s="18">
        <f t="shared" si="1"/>
        <v>24.107543361558633</v>
      </c>
      <c r="I82">
        <f t="shared" si="3"/>
        <v>147605.30397956012</v>
      </c>
    </row>
    <row r="83" spans="1:9" ht="18" x14ac:dyDescent="0.2">
      <c r="A83" s="2">
        <v>36724</v>
      </c>
      <c r="B83" s="3">
        <v>0.27</v>
      </c>
      <c r="C83">
        <f t="shared" si="0"/>
        <v>0.20996951484114348</v>
      </c>
      <c r="E83" s="18">
        <f t="shared" si="2"/>
        <v>166666.66666666669</v>
      </c>
      <c r="G83" s="30">
        <v>25.43</v>
      </c>
      <c r="H83" s="18">
        <f t="shared" si="1"/>
        <v>24.233491612838762</v>
      </c>
      <c r="I83">
        <f t="shared" si="3"/>
        <v>147605.30397956012</v>
      </c>
    </row>
    <row r="84" spans="1:9" ht="18" x14ac:dyDescent="0.2">
      <c r="A84" s="2">
        <v>36731</v>
      </c>
      <c r="B84" s="3">
        <v>0.21</v>
      </c>
      <c r="C84">
        <f t="shared" si="0"/>
        <v>0.20997241818960602</v>
      </c>
      <c r="E84" s="18">
        <f t="shared" si="2"/>
        <v>166666.66666666669</v>
      </c>
      <c r="G84" s="30">
        <v>23.33</v>
      </c>
      <c r="H84" s="18">
        <f t="shared" si="1"/>
        <v>24.147444792568404</v>
      </c>
      <c r="I84">
        <f t="shared" si="3"/>
        <v>147605.30397956012</v>
      </c>
    </row>
    <row r="85" spans="1:9" ht="18" x14ac:dyDescent="0.2">
      <c r="A85" s="2">
        <v>36738</v>
      </c>
      <c r="B85" s="3">
        <v>0.24</v>
      </c>
      <c r="C85">
        <f t="shared" si="0"/>
        <v>0.21283218788583402</v>
      </c>
      <c r="E85" s="18">
        <f t="shared" si="2"/>
        <v>166666.66666666669</v>
      </c>
      <c r="G85" s="30">
        <v>25.29</v>
      </c>
      <c r="H85" s="18">
        <f t="shared" si="1"/>
        <v>24.256259574228554</v>
      </c>
      <c r="I85">
        <f t="shared" si="3"/>
        <v>160005.92103056476</v>
      </c>
    </row>
    <row r="86" spans="1:9" ht="18" x14ac:dyDescent="0.2">
      <c r="A86" s="2">
        <v>36745</v>
      </c>
      <c r="B86" s="3">
        <v>0.25</v>
      </c>
      <c r="C86">
        <f t="shared" si="0"/>
        <v>0.2163719795157546</v>
      </c>
      <c r="E86" s="18">
        <f t="shared" si="2"/>
        <v>166666.66666666669</v>
      </c>
      <c r="G86" s="30">
        <v>25.08</v>
      </c>
      <c r="H86" s="18">
        <f t="shared" si="1"/>
        <v>24.334711043349646</v>
      </c>
      <c r="I86">
        <f t="shared" si="3"/>
        <v>160005.92103056476</v>
      </c>
    </row>
    <row r="87" spans="1:9" ht="18" x14ac:dyDescent="0.2">
      <c r="A87" s="2">
        <v>36752</v>
      </c>
      <c r="B87" s="3">
        <v>0.28999999999999998</v>
      </c>
      <c r="C87">
        <f t="shared" si="0"/>
        <v>0.22338417194282559</v>
      </c>
      <c r="E87" s="18">
        <f t="shared" si="2"/>
        <v>166666.66666666669</v>
      </c>
      <c r="G87" s="30">
        <v>24.47</v>
      </c>
      <c r="H87" s="18">
        <f t="shared" si="1"/>
        <v>24.347595705887773</v>
      </c>
      <c r="I87">
        <f t="shared" si="3"/>
        <v>160005.92103056476</v>
      </c>
    </row>
    <row r="88" spans="1:9" ht="18" x14ac:dyDescent="0.2">
      <c r="A88" s="2">
        <v>36759</v>
      </c>
      <c r="B88" s="3">
        <v>0.28999999999999998</v>
      </c>
      <c r="C88">
        <f t="shared" si="0"/>
        <v>0.22972853651969935</v>
      </c>
      <c r="E88" s="18">
        <f t="shared" si="2"/>
        <v>166666.66666666669</v>
      </c>
      <c r="G88" s="30">
        <v>25.11</v>
      </c>
      <c r="H88" s="18">
        <f t="shared" si="1"/>
        <v>24.420205638660367</v>
      </c>
      <c r="I88">
        <f t="shared" si="3"/>
        <v>160005.92103056476</v>
      </c>
    </row>
    <row r="89" spans="1:9" ht="18" x14ac:dyDescent="0.2">
      <c r="A89" s="2">
        <v>36766</v>
      </c>
      <c r="B89" s="3">
        <v>0.3</v>
      </c>
      <c r="C89">
        <f t="shared" ref="C89:C152" si="4">(B89-C88)*$D$4+C88</f>
        <v>0.23642105685115655</v>
      </c>
      <c r="E89" s="18">
        <f t="shared" si="2"/>
        <v>166666.66666666669</v>
      </c>
      <c r="G89" s="30">
        <v>27.15</v>
      </c>
      <c r="H89" s="18">
        <f t="shared" si="1"/>
        <v>24.680186054026045</v>
      </c>
      <c r="I89">
        <f t="shared" si="3"/>
        <v>160005.92103056476</v>
      </c>
    </row>
    <row r="90" spans="1:9" ht="18" x14ac:dyDescent="0.2">
      <c r="A90" s="2">
        <v>36773</v>
      </c>
      <c r="B90" s="3">
        <v>0.28000000000000003</v>
      </c>
      <c r="C90">
        <f t="shared" si="4"/>
        <v>0.24057143238914164</v>
      </c>
      <c r="E90" s="18">
        <f t="shared" si="2"/>
        <v>166666.66666666669</v>
      </c>
      <c r="G90" s="30">
        <v>27.88</v>
      </c>
      <c r="H90" s="18">
        <f t="shared" ref="H90:H153" si="5">(G90-H89)*$D$4+H89</f>
        <v>24.984930239356899</v>
      </c>
      <c r="I90">
        <f t="shared" si="3"/>
        <v>160005.92103056476</v>
      </c>
    </row>
    <row r="91" spans="1:9" ht="18" x14ac:dyDescent="0.2">
      <c r="A91" s="2">
        <v>36780</v>
      </c>
      <c r="B91" s="3">
        <v>0.27</v>
      </c>
      <c r="C91">
        <f t="shared" si="4"/>
        <v>0.2433741531139853</v>
      </c>
      <c r="E91" s="18">
        <f t="shared" si="2"/>
        <v>166666.66666666669</v>
      </c>
      <c r="G91" s="30">
        <v>23.69</v>
      </c>
      <c r="H91" s="18">
        <f t="shared" si="5"/>
        <v>24.861603549894337</v>
      </c>
      <c r="I91">
        <f t="shared" si="3"/>
        <v>160005.92103056476</v>
      </c>
    </row>
    <row r="92" spans="1:9" ht="18" x14ac:dyDescent="0.2">
      <c r="A92" s="2">
        <v>36787</v>
      </c>
      <c r="B92" s="3">
        <v>0.27</v>
      </c>
      <c r="C92">
        <f t="shared" si="4"/>
        <v>0.2459099480555105</v>
      </c>
      <c r="E92" s="18">
        <f t="shared" si="2"/>
        <v>166666.66666666669</v>
      </c>
      <c r="G92" s="30">
        <v>22.78</v>
      </c>
      <c r="H92" s="18">
        <f t="shared" si="5"/>
        <v>24.663355592761544</v>
      </c>
      <c r="I92">
        <f t="shared" si="3"/>
        <v>153859.64040001118</v>
      </c>
    </row>
    <row r="93" spans="1:9" ht="18" x14ac:dyDescent="0.2">
      <c r="A93" s="2">
        <v>36794</v>
      </c>
      <c r="B93" s="3">
        <v>0.31</v>
      </c>
      <c r="C93">
        <f t="shared" si="4"/>
        <v>0.25201376252641428</v>
      </c>
      <c r="E93" s="18">
        <f t="shared" ref="E93:E156" si="6">IF(C92&gt;B92,E92*B93/B92,E92)</f>
        <v>166666.66666666669</v>
      </c>
      <c r="G93" s="30">
        <v>22.27</v>
      </c>
      <c r="H93" s="18">
        <f t="shared" si="5"/>
        <v>24.435416964879494</v>
      </c>
      <c r="I93">
        <f t="shared" si="3"/>
        <v>150415.02158508555</v>
      </c>
    </row>
    <row r="94" spans="1:9" ht="18" x14ac:dyDescent="0.2">
      <c r="A94" s="2">
        <v>36801</v>
      </c>
      <c r="B94" s="3">
        <v>0.26</v>
      </c>
      <c r="C94">
        <f t="shared" si="4"/>
        <v>0.2527743565715177</v>
      </c>
      <c r="E94" s="18">
        <f t="shared" si="6"/>
        <v>166666.66666666669</v>
      </c>
      <c r="G94" s="30">
        <v>20.67</v>
      </c>
      <c r="H94" s="18">
        <f t="shared" si="5"/>
        <v>24.07680582536716</v>
      </c>
      <c r="I94">
        <f t="shared" ref="I94:I157" si="7">IF(H93&gt;G93,I93*G94/G93,I93)</f>
        <v>139608.3743225738</v>
      </c>
    </row>
    <row r="95" spans="1:9" ht="18" x14ac:dyDescent="0.2">
      <c r="A95" s="2">
        <v>36808</v>
      </c>
      <c r="B95" s="3">
        <v>0.25</v>
      </c>
      <c r="C95">
        <f t="shared" si="4"/>
        <v>0.25251013213613505</v>
      </c>
      <c r="E95" s="18">
        <f t="shared" si="6"/>
        <v>166666.66666666669</v>
      </c>
      <c r="G95" s="30">
        <v>19.27</v>
      </c>
      <c r="H95" s="18">
        <f t="shared" si="5"/>
        <v>23.619014794379812</v>
      </c>
      <c r="I95">
        <f t="shared" si="7"/>
        <v>130152.557967876</v>
      </c>
    </row>
    <row r="96" spans="1:9" ht="18" x14ac:dyDescent="0.2">
      <c r="A96" s="2">
        <v>36815</v>
      </c>
      <c r="B96" s="3">
        <v>0.27</v>
      </c>
      <c r="C96">
        <f t="shared" si="4"/>
        <v>0.25417583383745551</v>
      </c>
      <c r="E96" s="18">
        <f t="shared" si="6"/>
        <v>180000.00000000003</v>
      </c>
      <c r="G96" s="30">
        <v>18.63</v>
      </c>
      <c r="H96" s="18">
        <f t="shared" si="5"/>
        <v>23.143870528248399</v>
      </c>
      <c r="I96">
        <f t="shared" si="7"/>
        <v>125829.89906287128</v>
      </c>
    </row>
    <row r="97" spans="1:9" ht="18" x14ac:dyDescent="0.2">
      <c r="A97" s="2">
        <v>36822</v>
      </c>
      <c r="B97" s="3">
        <v>0.23</v>
      </c>
      <c r="C97">
        <f t="shared" si="4"/>
        <v>0.25187337347198357</v>
      </c>
      <c r="E97" s="18">
        <f t="shared" si="6"/>
        <v>180000.00000000003</v>
      </c>
      <c r="G97" s="30">
        <v>20.73</v>
      </c>
      <c r="H97" s="18">
        <f t="shared" si="5"/>
        <v>22.913978096986646</v>
      </c>
      <c r="I97">
        <f t="shared" si="7"/>
        <v>140013.62359491797</v>
      </c>
    </row>
    <row r="98" spans="1:9" ht="18" x14ac:dyDescent="0.2">
      <c r="A98" s="2">
        <v>36829</v>
      </c>
      <c r="B98" s="3">
        <v>0.27</v>
      </c>
      <c r="C98">
        <f t="shared" si="4"/>
        <v>0.25359971885560417</v>
      </c>
      <c r="E98" s="18">
        <f t="shared" si="6"/>
        <v>211304.347826087</v>
      </c>
      <c r="G98" s="30">
        <v>21.58</v>
      </c>
      <c r="H98" s="18">
        <f t="shared" si="5"/>
        <v>22.786932563940297</v>
      </c>
      <c r="I98">
        <f t="shared" si="7"/>
        <v>145754.65495312732</v>
      </c>
    </row>
    <row r="99" spans="1:9" ht="18" x14ac:dyDescent="0.2">
      <c r="A99" s="2">
        <v>36836</v>
      </c>
      <c r="B99" s="3">
        <v>0.22</v>
      </c>
      <c r="C99">
        <f t="shared" si="4"/>
        <v>0.25039974563126094</v>
      </c>
      <c r="E99" s="18">
        <f t="shared" si="6"/>
        <v>211304.347826087</v>
      </c>
      <c r="G99" s="30">
        <v>20.79</v>
      </c>
      <c r="H99" s="18">
        <f t="shared" si="5"/>
        <v>22.596748510231699</v>
      </c>
      <c r="I99">
        <f t="shared" si="7"/>
        <v>140418.87286726217</v>
      </c>
    </row>
    <row r="100" spans="1:9" ht="18" x14ac:dyDescent="0.2">
      <c r="A100" s="2">
        <v>36843</v>
      </c>
      <c r="B100" s="3">
        <v>0.24</v>
      </c>
      <c r="C100">
        <f t="shared" si="4"/>
        <v>0.24940929366637896</v>
      </c>
      <c r="E100" s="18">
        <f t="shared" si="6"/>
        <v>230513.83399209491</v>
      </c>
      <c r="G100" s="30">
        <v>19.239999999999998</v>
      </c>
      <c r="H100" s="18">
        <f t="shared" si="5"/>
        <v>22.277058175923919</v>
      </c>
      <c r="I100">
        <f t="shared" si="7"/>
        <v>129949.93333170388</v>
      </c>
    </row>
    <row r="101" spans="1:9" ht="18" x14ac:dyDescent="0.2">
      <c r="A101" s="2">
        <v>36850</v>
      </c>
      <c r="B101" s="3">
        <v>0.22</v>
      </c>
      <c r="C101">
        <f t="shared" si="4"/>
        <v>0.24660840855529526</v>
      </c>
      <c r="E101" s="18">
        <f t="shared" si="6"/>
        <v>211304.347826087</v>
      </c>
      <c r="G101" s="30">
        <v>19</v>
      </c>
      <c r="H101" s="18">
        <f t="shared" si="5"/>
        <v>21.964957397264499</v>
      </c>
      <c r="I101">
        <f t="shared" si="7"/>
        <v>128328.93624232714</v>
      </c>
    </row>
    <row r="102" spans="1:9" ht="18" x14ac:dyDescent="0.2">
      <c r="A102" s="2">
        <v>36857</v>
      </c>
      <c r="B102" s="3">
        <v>0.17</v>
      </c>
      <c r="C102">
        <f t="shared" si="4"/>
        <v>0.23931236964526714</v>
      </c>
      <c r="E102" s="18">
        <f t="shared" si="6"/>
        <v>163280.63241106723</v>
      </c>
      <c r="G102" s="30">
        <v>18.12</v>
      </c>
      <c r="H102" s="18">
        <f t="shared" si="5"/>
        <v>21.598770978477404</v>
      </c>
      <c r="I102">
        <f t="shared" si="7"/>
        <v>122385.28024794569</v>
      </c>
    </row>
    <row r="103" spans="1:9" ht="18" x14ac:dyDescent="0.2">
      <c r="A103" s="2">
        <v>36864</v>
      </c>
      <c r="B103" s="3">
        <v>0.19</v>
      </c>
      <c r="C103">
        <f t="shared" si="4"/>
        <v>0.23461595348857503</v>
      </c>
      <c r="E103" s="18">
        <f t="shared" si="6"/>
        <v>182490.11857707513</v>
      </c>
      <c r="G103" s="30">
        <v>19.420000000000002</v>
      </c>
      <c r="H103" s="18">
        <f t="shared" si="5"/>
        <v>21.391268980527176</v>
      </c>
      <c r="I103">
        <f t="shared" si="7"/>
        <v>131165.6811487365</v>
      </c>
    </row>
    <row r="104" spans="1:9" ht="18" x14ac:dyDescent="0.2">
      <c r="A104" s="2">
        <v>36871</v>
      </c>
      <c r="B104" s="3">
        <v>0.14000000000000001</v>
      </c>
      <c r="C104">
        <f t="shared" si="4"/>
        <v>0.22560491029918694</v>
      </c>
      <c r="E104" s="18">
        <f t="shared" si="6"/>
        <v>134466.40316205536</v>
      </c>
      <c r="G104" s="30">
        <v>21.33</v>
      </c>
      <c r="H104" s="18">
        <f t="shared" si="5"/>
        <v>21.385433839524588</v>
      </c>
      <c r="I104">
        <f t="shared" si="7"/>
        <v>144066.11631835991</v>
      </c>
    </row>
    <row r="105" spans="1:9" ht="18" x14ac:dyDescent="0.2">
      <c r="A105" s="2">
        <v>36878</v>
      </c>
      <c r="B105" s="3">
        <v>0.13</v>
      </c>
      <c r="C105">
        <f t="shared" si="4"/>
        <v>0.21649968074688342</v>
      </c>
      <c r="E105" s="18">
        <f t="shared" si="6"/>
        <v>124861.66007905139</v>
      </c>
      <c r="G105" s="30">
        <v>22.15</v>
      </c>
      <c r="H105" s="18">
        <f t="shared" si="5"/>
        <v>21.45824966433177</v>
      </c>
      <c r="I105">
        <f t="shared" si="7"/>
        <v>149604.52304039718</v>
      </c>
    </row>
    <row r="106" spans="1:9" ht="18" x14ac:dyDescent="0.2">
      <c r="A106" s="2">
        <v>36885</v>
      </c>
      <c r="B106" s="3">
        <v>0.13</v>
      </c>
      <c r="C106">
        <f t="shared" si="4"/>
        <v>0.2082616159138469</v>
      </c>
      <c r="E106" s="18">
        <f t="shared" si="6"/>
        <v>124861.66007905139</v>
      </c>
      <c r="G106" s="30">
        <v>22.06</v>
      </c>
      <c r="H106" s="18">
        <f t="shared" si="5"/>
        <v>21.515559220109697</v>
      </c>
      <c r="I106">
        <f t="shared" si="7"/>
        <v>149604.52304039718</v>
      </c>
    </row>
    <row r="107" spans="1:9" ht="18" x14ac:dyDescent="0.2">
      <c r="A107" s="2">
        <v>36892</v>
      </c>
      <c r="B107" s="3">
        <v>0.14000000000000001</v>
      </c>
      <c r="C107">
        <f t="shared" si="4"/>
        <v>0.20176050963633768</v>
      </c>
      <c r="E107" s="18">
        <f t="shared" si="6"/>
        <v>134466.40316205536</v>
      </c>
      <c r="G107" s="30">
        <v>23.76</v>
      </c>
      <c r="H107" s="18">
        <f t="shared" si="5"/>
        <v>21.729315484861154</v>
      </c>
      <c r="I107">
        <f t="shared" si="7"/>
        <v>149604.52304039718</v>
      </c>
    </row>
    <row r="108" spans="1:9" ht="18" x14ac:dyDescent="0.2">
      <c r="A108" s="2">
        <v>36899</v>
      </c>
      <c r="B108" s="3">
        <v>0.18</v>
      </c>
      <c r="C108">
        <f t="shared" si="4"/>
        <v>0.19968808014716266</v>
      </c>
      <c r="E108" s="18">
        <f t="shared" si="6"/>
        <v>172885.37549407117</v>
      </c>
      <c r="G108" s="30">
        <v>26.07</v>
      </c>
      <c r="H108" s="18">
        <f t="shared" si="5"/>
        <v>22.142714010112471</v>
      </c>
      <c r="I108">
        <f t="shared" si="7"/>
        <v>149604.52304039718</v>
      </c>
    </row>
    <row r="109" spans="1:9" ht="18" x14ac:dyDescent="0.2">
      <c r="A109" s="2">
        <v>36906</v>
      </c>
      <c r="B109" s="3">
        <v>0.2</v>
      </c>
      <c r="C109">
        <f t="shared" si="4"/>
        <v>0.19971778679981383</v>
      </c>
      <c r="E109" s="18">
        <f t="shared" si="6"/>
        <v>192094.86166007907</v>
      </c>
      <c r="G109" s="30">
        <v>24.73</v>
      </c>
      <c r="H109" s="18">
        <f t="shared" si="5"/>
        <v>22.389122199625568</v>
      </c>
      <c r="I109">
        <f t="shared" si="7"/>
        <v>149604.52304039718</v>
      </c>
    </row>
    <row r="110" spans="1:9" ht="18" x14ac:dyDescent="0.2">
      <c r="A110" s="2">
        <v>36913</v>
      </c>
      <c r="B110" s="3">
        <v>0.19</v>
      </c>
      <c r="C110">
        <f t="shared" si="4"/>
        <v>0.19879228329506965</v>
      </c>
      <c r="E110" s="18">
        <f t="shared" si="6"/>
        <v>192094.86166007907</v>
      </c>
      <c r="G110" s="30">
        <v>26.5</v>
      </c>
      <c r="H110" s="18">
        <f t="shared" si="5"/>
        <v>22.7806343710898</v>
      </c>
      <c r="I110">
        <f t="shared" si="7"/>
        <v>149604.52304039718</v>
      </c>
    </row>
    <row r="111" spans="1:9" ht="18" x14ac:dyDescent="0.2">
      <c r="A111" s="2">
        <v>36920</v>
      </c>
      <c r="B111" s="3">
        <v>0.18</v>
      </c>
      <c r="C111">
        <f t="shared" si="4"/>
        <v>0.19700254202887255</v>
      </c>
      <c r="E111" s="18">
        <f t="shared" si="6"/>
        <v>181984.60578323281</v>
      </c>
      <c r="G111" s="30">
        <v>26.72</v>
      </c>
      <c r="H111" s="18">
        <f t="shared" si="5"/>
        <v>23.155812050033628</v>
      </c>
      <c r="I111">
        <f t="shared" si="7"/>
        <v>149604.52304039718</v>
      </c>
    </row>
    <row r="112" spans="1:9" ht="18" x14ac:dyDescent="0.2">
      <c r="A112" s="2">
        <v>36927</v>
      </c>
      <c r="B112" s="3">
        <v>0.17</v>
      </c>
      <c r="C112">
        <f t="shared" si="4"/>
        <v>0.19443087135945611</v>
      </c>
      <c r="E112" s="18">
        <f t="shared" si="6"/>
        <v>171874.34990638655</v>
      </c>
      <c r="G112" s="30">
        <v>25.41</v>
      </c>
      <c r="H112" s="18">
        <f t="shared" si="5"/>
        <v>23.370496616697093</v>
      </c>
      <c r="I112">
        <f t="shared" si="7"/>
        <v>149604.52304039718</v>
      </c>
    </row>
    <row r="113" spans="1:9" ht="18" x14ac:dyDescent="0.2">
      <c r="A113" s="2">
        <v>36934</v>
      </c>
      <c r="B113" s="3">
        <v>0.23</v>
      </c>
      <c r="C113">
        <f t="shared" si="4"/>
        <v>0.19781840742046028</v>
      </c>
      <c r="E113" s="18">
        <f t="shared" si="6"/>
        <v>232535.88516746415</v>
      </c>
      <c r="G113" s="30">
        <v>25.43</v>
      </c>
      <c r="H113" s="18">
        <f t="shared" si="5"/>
        <v>23.566639796059274</v>
      </c>
      <c r="I113">
        <f t="shared" si="7"/>
        <v>149604.52304039718</v>
      </c>
    </row>
    <row r="114" spans="1:9" ht="18" x14ac:dyDescent="0.2">
      <c r="A114" s="2">
        <v>36941</v>
      </c>
      <c r="B114" s="3">
        <v>0.21</v>
      </c>
      <c r="C114">
        <f t="shared" si="4"/>
        <v>0.19897855909470216</v>
      </c>
      <c r="E114" s="18">
        <f t="shared" si="6"/>
        <v>232535.88516746415</v>
      </c>
      <c r="G114" s="30">
        <v>23.01</v>
      </c>
      <c r="H114" s="18">
        <f t="shared" si="5"/>
        <v>23.513626482148869</v>
      </c>
      <c r="I114">
        <f t="shared" si="7"/>
        <v>149604.52304039718</v>
      </c>
    </row>
    <row r="115" spans="1:9" ht="18" x14ac:dyDescent="0.2">
      <c r="A115" s="2">
        <v>36948</v>
      </c>
      <c r="B115" s="3">
        <v>0.17</v>
      </c>
      <c r="C115">
        <f t="shared" si="4"/>
        <v>0.19621869632377814</v>
      </c>
      <c r="E115" s="18">
        <f t="shared" si="6"/>
        <v>232535.88516746415</v>
      </c>
      <c r="G115" s="30">
        <v>22.4</v>
      </c>
      <c r="H115" s="18">
        <f t="shared" si="5"/>
        <v>23.40756681718231</v>
      </c>
      <c r="I115">
        <f t="shared" si="7"/>
        <v>145638.47527617979</v>
      </c>
    </row>
    <row r="116" spans="1:9" ht="18" x14ac:dyDescent="0.2">
      <c r="A116" s="2">
        <v>36955</v>
      </c>
      <c r="B116" s="3">
        <v>0.19</v>
      </c>
      <c r="C116">
        <f t="shared" si="4"/>
        <v>0.19562643953103737</v>
      </c>
      <c r="E116" s="18">
        <f t="shared" si="6"/>
        <v>259893.04812834229</v>
      </c>
      <c r="G116" s="30">
        <v>23.94</v>
      </c>
      <c r="H116" s="18">
        <f t="shared" si="5"/>
        <v>23.458274739355424</v>
      </c>
      <c r="I116">
        <f t="shared" si="7"/>
        <v>155651.12045141714</v>
      </c>
    </row>
    <row r="117" spans="1:9" ht="18" x14ac:dyDescent="0.2">
      <c r="A117" s="2">
        <v>36962</v>
      </c>
      <c r="B117" s="3">
        <v>0.23</v>
      </c>
      <c r="C117">
        <f t="shared" si="4"/>
        <v>0.19890011195665286</v>
      </c>
      <c r="E117" s="18">
        <f t="shared" si="6"/>
        <v>314607.37405009859</v>
      </c>
      <c r="G117" s="30">
        <v>21.8</v>
      </c>
      <c r="H117" s="18">
        <f t="shared" si="5"/>
        <v>23.300343811797767</v>
      </c>
      <c r="I117">
        <f t="shared" si="7"/>
        <v>155651.12045141714</v>
      </c>
    </row>
    <row r="118" spans="1:9" ht="18" x14ac:dyDescent="0.2">
      <c r="A118" s="2">
        <v>36969</v>
      </c>
      <c r="B118" s="3">
        <v>0.26</v>
      </c>
      <c r="C118">
        <f t="shared" si="4"/>
        <v>0.20471914891316212</v>
      </c>
      <c r="E118" s="18">
        <f t="shared" si="6"/>
        <v>314607.37405009859</v>
      </c>
      <c r="G118" s="30">
        <v>20.399999999999999</v>
      </c>
      <c r="H118" s="18">
        <f t="shared" si="5"/>
        <v>23.024120591626552</v>
      </c>
      <c r="I118">
        <f t="shared" si="7"/>
        <v>145655.17693618851</v>
      </c>
    </row>
    <row r="119" spans="1:9" ht="18" x14ac:dyDescent="0.2">
      <c r="A119" s="2">
        <v>36976</v>
      </c>
      <c r="B119" s="3">
        <v>0.25</v>
      </c>
      <c r="C119">
        <f t="shared" si="4"/>
        <v>0.20903161092143238</v>
      </c>
      <c r="E119" s="18">
        <f t="shared" si="6"/>
        <v>314607.37405009859</v>
      </c>
      <c r="G119" s="30">
        <v>21.96</v>
      </c>
      <c r="H119" s="18">
        <f t="shared" si="5"/>
        <v>22.922775773376404</v>
      </c>
      <c r="I119">
        <f t="shared" si="7"/>
        <v>156793.51399601469</v>
      </c>
    </row>
    <row r="120" spans="1:9" ht="18" x14ac:dyDescent="0.2">
      <c r="A120" s="2">
        <v>36983</v>
      </c>
      <c r="B120" s="3">
        <v>0.24</v>
      </c>
      <c r="C120">
        <f t="shared" si="4"/>
        <v>0.21198098130986739</v>
      </c>
      <c r="E120" s="18">
        <f t="shared" si="6"/>
        <v>314607.37405009859</v>
      </c>
      <c r="G120" s="30">
        <v>19.75</v>
      </c>
      <c r="H120" s="18">
        <f t="shared" si="5"/>
        <v>22.62060665210246</v>
      </c>
      <c r="I120">
        <f t="shared" si="7"/>
        <v>141014.20316126093</v>
      </c>
    </row>
    <row r="121" spans="1:9" ht="18" x14ac:dyDescent="0.2">
      <c r="A121" s="2">
        <v>36990</v>
      </c>
      <c r="B121" s="3">
        <v>0.27</v>
      </c>
      <c r="C121">
        <f t="shared" si="4"/>
        <v>0.21750660213749906</v>
      </c>
      <c r="E121" s="18">
        <f t="shared" si="6"/>
        <v>314607.37405009859</v>
      </c>
      <c r="G121" s="30">
        <v>22.37</v>
      </c>
      <c r="H121" s="18">
        <f t="shared" si="5"/>
        <v>22.596739351902226</v>
      </c>
      <c r="I121">
        <f t="shared" si="7"/>
        <v>159720.89745404592</v>
      </c>
    </row>
    <row r="122" spans="1:9" ht="18" x14ac:dyDescent="0.2">
      <c r="A122" s="2">
        <v>36997</v>
      </c>
      <c r="B122" s="3">
        <v>0.33</v>
      </c>
      <c r="C122">
        <f t="shared" si="4"/>
        <v>0.22822025907678486</v>
      </c>
      <c r="E122" s="18">
        <f t="shared" si="6"/>
        <v>314607.37405009859</v>
      </c>
      <c r="G122" s="30">
        <v>23.57</v>
      </c>
      <c r="H122" s="18">
        <f t="shared" si="5"/>
        <v>22.68943084219725</v>
      </c>
      <c r="I122">
        <f t="shared" si="7"/>
        <v>168288.84903852758</v>
      </c>
    </row>
    <row r="123" spans="1:9" ht="18" x14ac:dyDescent="0.2">
      <c r="A123" s="2">
        <v>37004</v>
      </c>
      <c r="B123" s="3">
        <v>0.3</v>
      </c>
      <c r="C123">
        <f t="shared" si="4"/>
        <v>0.23505642487899583</v>
      </c>
      <c r="E123" s="18">
        <f t="shared" si="6"/>
        <v>314607.37405009859</v>
      </c>
      <c r="G123" s="30">
        <v>24.58</v>
      </c>
      <c r="H123" s="18">
        <f t="shared" si="5"/>
        <v>22.869485047702273</v>
      </c>
      <c r="I123">
        <f t="shared" si="7"/>
        <v>168288.84903852758</v>
      </c>
    </row>
    <row r="124" spans="1:9" ht="18" x14ac:dyDescent="0.2">
      <c r="A124" s="2">
        <v>37011</v>
      </c>
      <c r="B124" s="3">
        <v>0.34</v>
      </c>
      <c r="C124">
        <f t="shared" si="4"/>
        <v>0.24505105108099623</v>
      </c>
      <c r="E124" s="18">
        <f t="shared" si="6"/>
        <v>314607.37405009859</v>
      </c>
      <c r="G124" s="30">
        <v>24.95</v>
      </c>
      <c r="H124" s="18">
        <f t="shared" si="5"/>
        <v>23.067629328873487</v>
      </c>
      <c r="I124">
        <f t="shared" si="7"/>
        <v>168288.84903852758</v>
      </c>
    </row>
    <row r="125" spans="1:9" ht="18" x14ac:dyDescent="0.2">
      <c r="A125" s="2">
        <v>37018</v>
      </c>
      <c r="B125" s="3">
        <v>0.3</v>
      </c>
      <c r="C125">
        <f t="shared" si="4"/>
        <v>0.25028428431137756</v>
      </c>
      <c r="E125" s="18">
        <f t="shared" si="6"/>
        <v>314607.37405009859</v>
      </c>
      <c r="G125" s="30">
        <v>22.9</v>
      </c>
      <c r="H125" s="18">
        <f t="shared" si="5"/>
        <v>23.051664630885536</v>
      </c>
      <c r="I125">
        <f t="shared" si="7"/>
        <v>168288.84903852758</v>
      </c>
    </row>
    <row r="126" spans="1:9" ht="18" x14ac:dyDescent="0.2">
      <c r="A126" s="2">
        <v>37025</v>
      </c>
      <c r="B126" s="3">
        <v>0.33</v>
      </c>
      <c r="C126">
        <f t="shared" si="4"/>
        <v>0.25787625723410351</v>
      </c>
      <c r="E126" s="18">
        <f t="shared" si="6"/>
        <v>314607.37405009859</v>
      </c>
      <c r="G126" s="30">
        <v>23.75</v>
      </c>
      <c r="H126" s="18">
        <f t="shared" si="5"/>
        <v>23.118172761277389</v>
      </c>
      <c r="I126">
        <f t="shared" si="7"/>
        <v>174535.37836965197</v>
      </c>
    </row>
    <row r="127" spans="1:9" ht="18" x14ac:dyDescent="0.2">
      <c r="A127" s="2">
        <v>37032</v>
      </c>
      <c r="B127" s="3">
        <v>0.35</v>
      </c>
      <c r="C127">
        <f t="shared" si="4"/>
        <v>0.26664994702133177</v>
      </c>
      <c r="E127" s="18">
        <f t="shared" si="6"/>
        <v>314607.37405009859</v>
      </c>
      <c r="G127" s="30">
        <v>24.02</v>
      </c>
      <c r="H127" s="18">
        <f t="shared" si="5"/>
        <v>23.20406106972716</v>
      </c>
      <c r="I127">
        <f t="shared" si="7"/>
        <v>174535.37836965197</v>
      </c>
    </row>
    <row r="128" spans="1:9" ht="18" x14ac:dyDescent="0.2">
      <c r="A128" s="2">
        <v>37039</v>
      </c>
      <c r="B128" s="3">
        <v>0.35</v>
      </c>
      <c r="C128">
        <f t="shared" si="4"/>
        <v>0.27458804730501446</v>
      </c>
      <c r="E128" s="18">
        <f t="shared" si="6"/>
        <v>314607.37405009859</v>
      </c>
      <c r="G128" s="30">
        <v>24.11</v>
      </c>
      <c r="H128" s="18">
        <f t="shared" si="5"/>
        <v>23.290340967848383</v>
      </c>
      <c r="I128">
        <f t="shared" si="7"/>
        <v>174535.37836965197</v>
      </c>
    </row>
    <row r="129" spans="1:9" ht="18" x14ac:dyDescent="0.2">
      <c r="A129" s="2">
        <v>37046</v>
      </c>
      <c r="B129" s="3">
        <v>0.37</v>
      </c>
      <c r="C129">
        <f t="shared" si="4"/>
        <v>0.28367489994263212</v>
      </c>
      <c r="E129" s="18">
        <f t="shared" si="6"/>
        <v>314607.37405009859</v>
      </c>
      <c r="G129" s="30">
        <v>21.8</v>
      </c>
      <c r="H129" s="18">
        <f t="shared" si="5"/>
        <v>23.148403732815204</v>
      </c>
      <c r="I129">
        <f t="shared" si="7"/>
        <v>174535.37836965197</v>
      </c>
    </row>
    <row r="130" spans="1:9" ht="18" x14ac:dyDescent="0.2">
      <c r="A130" s="2">
        <v>37053</v>
      </c>
      <c r="B130" s="3">
        <v>0.36</v>
      </c>
      <c r="C130">
        <f t="shared" si="4"/>
        <v>0.29094395709095289</v>
      </c>
      <c r="E130" s="18">
        <f t="shared" si="6"/>
        <v>314607.37405009859</v>
      </c>
      <c r="G130" s="30">
        <v>22.14</v>
      </c>
      <c r="H130" s="18">
        <f t="shared" si="5"/>
        <v>23.052365282070898</v>
      </c>
      <c r="I130">
        <f t="shared" si="7"/>
        <v>177257.48977541717</v>
      </c>
    </row>
    <row r="131" spans="1:9" ht="18" x14ac:dyDescent="0.2">
      <c r="A131" s="2">
        <v>37060</v>
      </c>
      <c r="B131" s="3">
        <v>0.35</v>
      </c>
      <c r="C131">
        <f t="shared" si="4"/>
        <v>0.29656834212990973</v>
      </c>
      <c r="E131" s="18">
        <f t="shared" si="6"/>
        <v>314607.37405009859</v>
      </c>
      <c r="G131" s="30">
        <v>22.63</v>
      </c>
      <c r="H131" s="18">
        <f t="shared" si="5"/>
        <v>23.012140017111765</v>
      </c>
      <c r="I131">
        <f t="shared" si="7"/>
        <v>181180.53268372585</v>
      </c>
    </row>
    <row r="132" spans="1:9" ht="18" x14ac:dyDescent="0.2">
      <c r="A132" s="2">
        <v>37067</v>
      </c>
      <c r="B132" s="3">
        <v>0.35</v>
      </c>
      <c r="C132">
        <f t="shared" si="4"/>
        <v>0.30165707145087073</v>
      </c>
      <c r="E132" s="18">
        <f t="shared" si="6"/>
        <v>314607.37405009859</v>
      </c>
      <c r="G132" s="30">
        <v>21.93</v>
      </c>
      <c r="H132" s="18">
        <f t="shared" si="5"/>
        <v>22.909079063101121</v>
      </c>
      <c r="I132">
        <f t="shared" si="7"/>
        <v>175576.18567185631</v>
      </c>
    </row>
    <row r="133" spans="1:9" ht="18" x14ac:dyDescent="0.2">
      <c r="A133" s="2">
        <v>37074</v>
      </c>
      <c r="B133" s="3">
        <v>0.31</v>
      </c>
      <c r="C133">
        <f t="shared" si="4"/>
        <v>0.30245163607459735</v>
      </c>
      <c r="E133" s="18">
        <f t="shared" si="6"/>
        <v>314607.37405009859</v>
      </c>
      <c r="G133" s="30">
        <v>21.95</v>
      </c>
      <c r="H133" s="18">
        <f t="shared" si="5"/>
        <v>22.817738199948632</v>
      </c>
      <c r="I133">
        <f t="shared" si="7"/>
        <v>175736.30987219542</v>
      </c>
    </row>
    <row r="134" spans="1:9" ht="18" x14ac:dyDescent="0.2">
      <c r="A134" s="2">
        <v>37081</v>
      </c>
      <c r="B134" s="3">
        <v>0.31</v>
      </c>
      <c r="C134">
        <f t="shared" si="4"/>
        <v>0.30317052787701665</v>
      </c>
      <c r="E134" s="18">
        <f t="shared" si="6"/>
        <v>314607.37405009859</v>
      </c>
      <c r="G134" s="30">
        <v>21.14</v>
      </c>
      <c r="H134" s="18">
        <f t="shared" si="5"/>
        <v>22.657953609477335</v>
      </c>
      <c r="I134">
        <f t="shared" si="7"/>
        <v>169251.27975846065</v>
      </c>
    </row>
    <row r="135" spans="1:9" ht="18" x14ac:dyDescent="0.2">
      <c r="A135" s="2">
        <v>37088</v>
      </c>
      <c r="B135" s="3">
        <v>0.28999999999999998</v>
      </c>
      <c r="C135">
        <f t="shared" si="4"/>
        <v>0.30191619188872937</v>
      </c>
      <c r="E135" s="18">
        <f t="shared" si="6"/>
        <v>314607.37405009859</v>
      </c>
      <c r="G135" s="30">
        <v>21.56</v>
      </c>
      <c r="H135" s="18">
        <f t="shared" si="5"/>
        <v>22.553386599050921</v>
      </c>
      <c r="I135">
        <f t="shared" si="7"/>
        <v>172613.88796558237</v>
      </c>
    </row>
    <row r="136" spans="1:9" ht="18" x14ac:dyDescent="0.2">
      <c r="A136" s="2">
        <v>37095</v>
      </c>
      <c r="B136" s="3">
        <v>0.31</v>
      </c>
      <c r="C136">
        <f t="shared" si="4"/>
        <v>0.30268607837551703</v>
      </c>
      <c r="E136" s="18">
        <f t="shared" si="6"/>
        <v>336304.43432941573</v>
      </c>
      <c r="G136" s="30">
        <v>21.96</v>
      </c>
      <c r="H136" s="18">
        <f t="shared" si="5"/>
        <v>22.4968735896175</v>
      </c>
      <c r="I136">
        <f t="shared" si="7"/>
        <v>175816.37197236498</v>
      </c>
    </row>
    <row r="137" spans="1:9" ht="18" x14ac:dyDescent="0.2">
      <c r="A137" s="2">
        <v>37102</v>
      </c>
      <c r="B137" s="3">
        <v>0.33</v>
      </c>
      <c r="C137">
        <f t="shared" si="4"/>
        <v>0.30528740424451539</v>
      </c>
      <c r="E137" s="18">
        <f t="shared" si="6"/>
        <v>336304.43432941573</v>
      </c>
      <c r="G137" s="30">
        <v>21.52</v>
      </c>
      <c r="H137" s="18">
        <f t="shared" si="5"/>
        <v>22.403838009653928</v>
      </c>
      <c r="I137">
        <f t="shared" si="7"/>
        <v>172293.63956490412</v>
      </c>
    </row>
    <row r="138" spans="1:9" ht="18" x14ac:dyDescent="0.2">
      <c r="A138" s="2">
        <v>37109</v>
      </c>
      <c r="B138" s="3">
        <v>0.32</v>
      </c>
      <c r="C138">
        <f t="shared" si="4"/>
        <v>0.30668860384027585</v>
      </c>
      <c r="E138" s="18">
        <f t="shared" si="6"/>
        <v>336304.43432941573</v>
      </c>
      <c r="G138" s="30">
        <v>20.99</v>
      </c>
      <c r="H138" s="18">
        <f t="shared" si="5"/>
        <v>22.269186770639269</v>
      </c>
      <c r="I138">
        <f t="shared" si="7"/>
        <v>168050.34825591717</v>
      </c>
    </row>
    <row r="139" spans="1:9" ht="18" x14ac:dyDescent="0.2">
      <c r="A139" s="2">
        <v>37116</v>
      </c>
      <c r="B139" s="3">
        <v>0.32</v>
      </c>
      <c r="C139">
        <f t="shared" si="4"/>
        <v>0.3079563558554877</v>
      </c>
      <c r="E139" s="18">
        <f t="shared" si="6"/>
        <v>336304.43432941573</v>
      </c>
      <c r="G139" s="30">
        <v>20.61</v>
      </c>
      <c r="H139" s="18">
        <f t="shared" si="5"/>
        <v>22.111168982959338</v>
      </c>
      <c r="I139">
        <f t="shared" si="7"/>
        <v>165007.98844947369</v>
      </c>
    </row>
    <row r="140" spans="1:9" ht="18" x14ac:dyDescent="0.2">
      <c r="A140" s="2">
        <v>37123</v>
      </c>
      <c r="B140" s="3">
        <v>0.33</v>
      </c>
      <c r="C140">
        <f t="shared" si="4"/>
        <v>0.31005575053591744</v>
      </c>
      <c r="E140" s="18">
        <f t="shared" si="6"/>
        <v>336304.43432941573</v>
      </c>
      <c r="G140" s="30">
        <v>20.329999999999998</v>
      </c>
      <c r="H140" s="18">
        <f t="shared" si="5"/>
        <v>21.941533841725114</v>
      </c>
      <c r="I140">
        <f t="shared" si="7"/>
        <v>162766.24964472587</v>
      </c>
    </row>
    <row r="141" spans="1:9" ht="18" x14ac:dyDescent="0.2">
      <c r="A141" s="2">
        <v>37130</v>
      </c>
      <c r="B141" s="3">
        <v>0.32</v>
      </c>
      <c r="C141">
        <f t="shared" si="4"/>
        <v>0.31100282191344913</v>
      </c>
      <c r="E141" s="18">
        <f t="shared" si="6"/>
        <v>336304.43432941573</v>
      </c>
      <c r="G141" s="30">
        <v>19.57</v>
      </c>
      <c r="H141" s="18">
        <f t="shared" si="5"/>
        <v>21.715673475846533</v>
      </c>
      <c r="I141">
        <f t="shared" si="7"/>
        <v>156681.53003183895</v>
      </c>
    </row>
    <row r="142" spans="1:9" ht="18" x14ac:dyDescent="0.2">
      <c r="A142" s="2">
        <v>37137</v>
      </c>
      <c r="B142" s="3">
        <v>0.3</v>
      </c>
      <c r="C142">
        <f t="shared" si="4"/>
        <v>0.30995493411216829</v>
      </c>
      <c r="E142" s="18">
        <f t="shared" si="6"/>
        <v>336304.43432941573</v>
      </c>
      <c r="G142" s="30">
        <v>18.38</v>
      </c>
      <c r="H142" s="18">
        <f t="shared" si="5"/>
        <v>21.397990287670673</v>
      </c>
      <c r="I142">
        <f t="shared" si="7"/>
        <v>147154.1401116607</v>
      </c>
    </row>
    <row r="143" spans="1:9" ht="18" x14ac:dyDescent="0.2">
      <c r="A143" s="2">
        <v>37144</v>
      </c>
      <c r="B143" s="3">
        <v>0.28999999999999998</v>
      </c>
      <c r="C143">
        <f t="shared" si="4"/>
        <v>0.30805446419672367</v>
      </c>
      <c r="E143" s="18">
        <f t="shared" si="6"/>
        <v>325094.28651843517</v>
      </c>
      <c r="G143" s="30">
        <v>18.510000000000002</v>
      </c>
      <c r="H143" s="18">
        <f t="shared" si="5"/>
        <v>21.122943593606799</v>
      </c>
      <c r="I143">
        <f t="shared" si="7"/>
        <v>148194.94741386507</v>
      </c>
    </row>
    <row r="144" spans="1:9" ht="18" x14ac:dyDescent="0.2">
      <c r="A144" s="2">
        <v>37151</v>
      </c>
      <c r="B144" s="3">
        <v>0.21</v>
      </c>
      <c r="C144">
        <f t="shared" si="4"/>
        <v>0.2987159437970357</v>
      </c>
      <c r="E144" s="18">
        <f t="shared" si="6"/>
        <v>235413.104030591</v>
      </c>
      <c r="G144" s="30">
        <v>15.31</v>
      </c>
      <c r="H144" s="18">
        <f t="shared" si="5"/>
        <v>20.5693299180252</v>
      </c>
      <c r="I144">
        <f t="shared" si="7"/>
        <v>122575.07535960423</v>
      </c>
    </row>
    <row r="145" spans="1:9" ht="18" x14ac:dyDescent="0.2">
      <c r="A145" s="2">
        <v>37158</v>
      </c>
      <c r="B145" s="3">
        <v>0.21</v>
      </c>
      <c r="C145">
        <f t="shared" si="4"/>
        <v>0.29026680629255613</v>
      </c>
      <c r="E145" s="18">
        <f t="shared" si="6"/>
        <v>235413.104030591</v>
      </c>
      <c r="G145" s="30">
        <v>16.97</v>
      </c>
      <c r="H145" s="18">
        <f t="shared" si="5"/>
        <v>20.226536592498991</v>
      </c>
      <c r="I145">
        <f t="shared" si="7"/>
        <v>135865.38398775202</v>
      </c>
    </row>
    <row r="146" spans="1:9" ht="18" x14ac:dyDescent="0.2">
      <c r="A146" s="2">
        <v>37165</v>
      </c>
      <c r="B146" s="3">
        <v>0.25</v>
      </c>
      <c r="C146">
        <f t="shared" si="4"/>
        <v>0.28643187235993173</v>
      </c>
      <c r="E146" s="18">
        <f t="shared" si="6"/>
        <v>280253.6952745131</v>
      </c>
      <c r="G146" s="30">
        <v>16.600000000000001</v>
      </c>
      <c r="H146" s="18">
        <f t="shared" si="5"/>
        <v>19.881152155118134</v>
      </c>
      <c r="I146">
        <f t="shared" si="7"/>
        <v>132903.08628147814</v>
      </c>
    </row>
    <row r="147" spans="1:9" ht="18" x14ac:dyDescent="0.2">
      <c r="A147" s="2">
        <v>37172</v>
      </c>
      <c r="B147" s="3">
        <v>0.31</v>
      </c>
      <c r="C147">
        <f t="shared" si="4"/>
        <v>0.28867645594470015</v>
      </c>
      <c r="E147" s="18">
        <f t="shared" si="6"/>
        <v>347514.58214039623</v>
      </c>
      <c r="G147" s="30">
        <v>16.5</v>
      </c>
      <c r="H147" s="18">
        <f t="shared" si="5"/>
        <v>19.559137664154502</v>
      </c>
      <c r="I147">
        <f t="shared" si="7"/>
        <v>132102.46527978248</v>
      </c>
    </row>
    <row r="148" spans="1:9" ht="18" x14ac:dyDescent="0.2">
      <c r="A148" s="2">
        <v>37179</v>
      </c>
      <c r="B148" s="3">
        <v>0.34</v>
      </c>
      <c r="C148">
        <f t="shared" si="4"/>
        <v>0.29356441252139537</v>
      </c>
      <c r="E148" s="18">
        <f t="shared" si="6"/>
        <v>347514.58214039623</v>
      </c>
      <c r="G148" s="30">
        <v>16.989999999999998</v>
      </c>
      <c r="H148" s="18">
        <f t="shared" si="5"/>
        <v>19.314457886615976</v>
      </c>
      <c r="I148">
        <f t="shared" si="7"/>
        <v>136025.50818809116</v>
      </c>
    </row>
    <row r="149" spans="1:9" ht="18" x14ac:dyDescent="0.2">
      <c r="A149" s="2">
        <v>37186</v>
      </c>
      <c r="B149" s="3">
        <v>0.35</v>
      </c>
      <c r="C149">
        <f t="shared" si="4"/>
        <v>0.29893923037650055</v>
      </c>
      <c r="E149" s="18">
        <f t="shared" si="6"/>
        <v>347514.58214039623</v>
      </c>
      <c r="G149" s="30">
        <v>18.84</v>
      </c>
      <c r="H149" s="18">
        <f t="shared" si="5"/>
        <v>19.26927142122398</v>
      </c>
      <c r="I149">
        <f t="shared" si="7"/>
        <v>150836.99671946073</v>
      </c>
    </row>
    <row r="150" spans="1:9" ht="18" x14ac:dyDescent="0.2">
      <c r="A150" s="2">
        <v>37193</v>
      </c>
      <c r="B150" s="3">
        <v>0.36</v>
      </c>
      <c r="C150">
        <f t="shared" si="4"/>
        <v>0.30475454176921479</v>
      </c>
      <c r="E150" s="18">
        <f t="shared" si="6"/>
        <v>347514.58214039623</v>
      </c>
      <c r="G150" s="30">
        <v>18.079999999999998</v>
      </c>
      <c r="H150" s="18">
        <f t="shared" si="5"/>
        <v>19.156007476345504</v>
      </c>
      <c r="I150">
        <f t="shared" si="7"/>
        <v>144752.27710657375</v>
      </c>
    </row>
    <row r="151" spans="1:9" ht="18" x14ac:dyDescent="0.2">
      <c r="A151" s="2">
        <v>37200</v>
      </c>
      <c r="B151" s="3">
        <v>0.41</v>
      </c>
      <c r="C151">
        <f t="shared" si="4"/>
        <v>0.3147779187435753</v>
      </c>
      <c r="E151" s="18">
        <f t="shared" si="6"/>
        <v>347514.58214039623</v>
      </c>
      <c r="G151" s="30">
        <v>19.59</v>
      </c>
      <c r="H151" s="18">
        <f t="shared" si="5"/>
        <v>19.197340097645931</v>
      </c>
      <c r="I151">
        <f t="shared" si="7"/>
        <v>156841.65423217809</v>
      </c>
    </row>
    <row r="152" spans="1:9" ht="18" x14ac:dyDescent="0.2">
      <c r="A152" s="2">
        <v>37207</v>
      </c>
      <c r="B152" s="3">
        <v>0.4</v>
      </c>
      <c r="C152">
        <f t="shared" si="4"/>
        <v>0.32289430743466335</v>
      </c>
      <c r="E152" s="18">
        <f t="shared" si="6"/>
        <v>347514.58214039623</v>
      </c>
      <c r="G152" s="30">
        <v>19.77</v>
      </c>
      <c r="H152" s="18">
        <f t="shared" si="5"/>
        <v>19.251879135965368</v>
      </c>
      <c r="I152">
        <f t="shared" si="7"/>
        <v>156841.65423217809</v>
      </c>
    </row>
    <row r="153" spans="1:9" ht="18" x14ac:dyDescent="0.2">
      <c r="A153" s="2">
        <v>37214</v>
      </c>
      <c r="B153" s="3">
        <v>0.38</v>
      </c>
      <c r="C153">
        <f t="shared" ref="C153:C216" si="8">(B153-C152)*$D$4+C152</f>
        <v>0.32833294482183828</v>
      </c>
      <c r="E153" s="18">
        <f t="shared" si="6"/>
        <v>347514.58214039623</v>
      </c>
      <c r="G153" s="30">
        <v>19.760000000000002</v>
      </c>
      <c r="H153" s="18">
        <f t="shared" si="5"/>
        <v>19.300271599206763</v>
      </c>
      <c r="I153">
        <f t="shared" si="7"/>
        <v>156841.65423217809</v>
      </c>
    </row>
    <row r="154" spans="1:9" ht="18" x14ac:dyDescent="0.2">
      <c r="A154" s="2">
        <v>37221</v>
      </c>
      <c r="B154" s="3">
        <v>0.42</v>
      </c>
      <c r="C154">
        <f t="shared" si="8"/>
        <v>0.33706314055309178</v>
      </c>
      <c r="E154" s="18">
        <f t="shared" si="6"/>
        <v>347514.58214039623</v>
      </c>
      <c r="G154" s="30">
        <v>18.920000000000002</v>
      </c>
      <c r="H154" s="18">
        <f t="shared" ref="H154:H217" si="9">(G154-H153)*$D$4+H153</f>
        <v>19.264055256425166</v>
      </c>
      <c r="I154">
        <f t="shared" si="7"/>
        <v>156841.65423217809</v>
      </c>
    </row>
    <row r="155" spans="1:9" ht="18" x14ac:dyDescent="0.2">
      <c r="A155" s="2">
        <v>37228</v>
      </c>
      <c r="B155" s="3">
        <v>0.46</v>
      </c>
      <c r="C155">
        <f t="shared" si="8"/>
        <v>0.34877141288136876</v>
      </c>
      <c r="E155" s="18">
        <f t="shared" si="6"/>
        <v>347514.58214039623</v>
      </c>
      <c r="G155" s="30">
        <v>19.95</v>
      </c>
      <c r="H155" s="18">
        <f t="shared" si="9"/>
        <v>19.329383327241818</v>
      </c>
      <c r="I155">
        <f t="shared" si="7"/>
        <v>165380.07409788333</v>
      </c>
    </row>
    <row r="156" spans="1:9" ht="18" x14ac:dyDescent="0.2">
      <c r="A156" s="2">
        <v>37235</v>
      </c>
      <c r="B156" s="3">
        <v>0.5</v>
      </c>
      <c r="C156">
        <f t="shared" si="8"/>
        <v>0.36317413546409555</v>
      </c>
      <c r="E156" s="18">
        <f t="shared" si="6"/>
        <v>347514.58214039623</v>
      </c>
      <c r="G156" s="30">
        <v>18.079999999999998</v>
      </c>
      <c r="H156" s="18">
        <f t="shared" si="9"/>
        <v>19.210394438933072</v>
      </c>
      <c r="I156">
        <f t="shared" si="7"/>
        <v>165380.07409788333</v>
      </c>
    </row>
    <row r="157" spans="1:9" ht="18" x14ac:dyDescent="0.2">
      <c r="A157" s="2">
        <v>37242</v>
      </c>
      <c r="B157" s="3">
        <v>0.49</v>
      </c>
      <c r="C157">
        <f t="shared" si="8"/>
        <v>0.37525278922941979</v>
      </c>
      <c r="E157" s="18">
        <f t="shared" ref="E157:E220" si="10">IF(C156&gt;B156,E156*B157/B156,E156)</f>
        <v>347514.58214039623</v>
      </c>
      <c r="G157" s="30">
        <v>17.940000000000001</v>
      </c>
      <c r="H157" s="18">
        <f t="shared" si="9"/>
        <v>19.089404492368018</v>
      </c>
      <c r="I157">
        <f t="shared" si="7"/>
        <v>164099.47617898381</v>
      </c>
    </row>
    <row r="158" spans="1:9" ht="18" x14ac:dyDescent="0.2">
      <c r="A158" s="2">
        <v>37249</v>
      </c>
      <c r="B158" s="3">
        <v>0.52</v>
      </c>
      <c r="C158">
        <f t="shared" si="8"/>
        <v>0.38903823787423697</v>
      </c>
      <c r="E158" s="18">
        <f t="shared" si="10"/>
        <v>347514.58214039623</v>
      </c>
      <c r="G158" s="30">
        <v>18.34</v>
      </c>
      <c r="H158" s="18">
        <f t="shared" si="9"/>
        <v>19.018032635952018</v>
      </c>
      <c r="I158">
        <f t="shared" ref="I158:I221" si="11">IF(H157&gt;G157,I157*G158/G157,I157)</f>
        <v>167758.32737583964</v>
      </c>
    </row>
    <row r="159" spans="1:9" ht="18" x14ac:dyDescent="0.2">
      <c r="A159" s="2">
        <v>37256</v>
      </c>
      <c r="B159" s="3">
        <v>0.53</v>
      </c>
      <c r="C159">
        <f t="shared" si="8"/>
        <v>0.4024631676005001</v>
      </c>
      <c r="E159" s="18">
        <f t="shared" si="10"/>
        <v>347514.58214039623</v>
      </c>
      <c r="G159" s="30">
        <v>19.57</v>
      </c>
      <c r="H159" s="18">
        <f t="shared" si="9"/>
        <v>19.07060095633754</v>
      </c>
      <c r="I159">
        <f t="shared" si="11"/>
        <v>179009.29480617133</v>
      </c>
    </row>
    <row r="160" spans="1:9" ht="18" x14ac:dyDescent="0.2">
      <c r="A160" s="2">
        <v>37263</v>
      </c>
      <c r="B160" s="3">
        <v>0.48</v>
      </c>
      <c r="C160">
        <f t="shared" si="8"/>
        <v>0.4098476278290239</v>
      </c>
      <c r="E160" s="18">
        <f t="shared" si="10"/>
        <v>347514.58214039623</v>
      </c>
      <c r="G160" s="30">
        <v>19.420000000000002</v>
      </c>
      <c r="H160" s="18">
        <f t="shared" si="9"/>
        <v>19.103877055733964</v>
      </c>
      <c r="I160">
        <f t="shared" si="11"/>
        <v>179009.29480617133</v>
      </c>
    </row>
    <row r="161" spans="1:9" ht="18" x14ac:dyDescent="0.2">
      <c r="A161" s="2">
        <v>37270</v>
      </c>
      <c r="B161" s="3">
        <v>0.49</v>
      </c>
      <c r="C161">
        <f t="shared" si="8"/>
        <v>0.41748118708340259</v>
      </c>
      <c r="E161" s="18">
        <f t="shared" si="10"/>
        <v>347514.58214039623</v>
      </c>
      <c r="G161" s="30">
        <v>18.190000000000001</v>
      </c>
      <c r="H161" s="18">
        <f t="shared" si="9"/>
        <v>19.016841145664063</v>
      </c>
      <c r="I161">
        <f t="shared" si="11"/>
        <v>179009.29480617133</v>
      </c>
    </row>
    <row r="162" spans="1:9" ht="18" x14ac:dyDescent="0.2">
      <c r="A162" s="2">
        <v>37277</v>
      </c>
      <c r="B162" s="3">
        <v>0.5</v>
      </c>
      <c r="C162">
        <f t="shared" si="8"/>
        <v>0.42534012164688806</v>
      </c>
      <c r="E162" s="18">
        <f t="shared" si="10"/>
        <v>347514.58214039623</v>
      </c>
      <c r="G162" s="30">
        <v>17.72</v>
      </c>
      <c r="H162" s="18">
        <f t="shared" si="9"/>
        <v>18.893332465124629</v>
      </c>
      <c r="I162">
        <f t="shared" si="11"/>
        <v>174383.98592442856</v>
      </c>
    </row>
    <row r="163" spans="1:9" ht="18" x14ac:dyDescent="0.2">
      <c r="A163" s="2">
        <v>37284</v>
      </c>
      <c r="B163" s="3">
        <v>0.49</v>
      </c>
      <c r="C163">
        <f t="shared" si="8"/>
        <v>0.4314982052995654</v>
      </c>
      <c r="E163" s="18">
        <f t="shared" si="10"/>
        <v>347514.58214039623</v>
      </c>
      <c r="G163" s="30">
        <v>16.29</v>
      </c>
      <c r="H163" s="18">
        <f t="shared" si="9"/>
        <v>18.645396039874665</v>
      </c>
      <c r="I163">
        <f t="shared" si="11"/>
        <v>160311.2376246581</v>
      </c>
    </row>
    <row r="164" spans="1:9" ht="18" x14ac:dyDescent="0.2">
      <c r="A164" s="2">
        <v>37291</v>
      </c>
      <c r="B164" s="3">
        <v>0.44</v>
      </c>
      <c r="C164">
        <f t="shared" si="8"/>
        <v>0.43230790003294012</v>
      </c>
      <c r="E164" s="18">
        <f t="shared" si="10"/>
        <v>347514.58214039623</v>
      </c>
      <c r="G164" s="30">
        <v>15.76</v>
      </c>
      <c r="H164" s="18">
        <f t="shared" si="9"/>
        <v>18.370596417029461</v>
      </c>
      <c r="I164">
        <f t="shared" si="11"/>
        <v>155095.46377928864</v>
      </c>
    </row>
    <row r="165" spans="1:9" ht="18" x14ac:dyDescent="0.2">
      <c r="A165" s="2">
        <v>37298</v>
      </c>
      <c r="B165" s="3">
        <v>0.44</v>
      </c>
      <c r="C165">
        <f t="shared" si="8"/>
        <v>0.4330404809821839</v>
      </c>
      <c r="E165" s="18">
        <f t="shared" si="10"/>
        <v>347514.58214039623</v>
      </c>
      <c r="G165" s="30">
        <v>15.22</v>
      </c>
      <c r="H165" s="18">
        <f t="shared" si="9"/>
        <v>18.070539615407608</v>
      </c>
      <c r="I165">
        <f t="shared" si="11"/>
        <v>149781.27910664803</v>
      </c>
    </row>
    <row r="166" spans="1:9" ht="18" x14ac:dyDescent="0.2">
      <c r="A166" s="2">
        <v>37305</v>
      </c>
      <c r="B166" s="3">
        <v>0.38</v>
      </c>
      <c r="C166">
        <f t="shared" si="8"/>
        <v>0.42798900660292827</v>
      </c>
      <c r="E166" s="18">
        <f t="shared" si="10"/>
        <v>347514.58214039623</v>
      </c>
      <c r="G166" s="30">
        <v>14.28</v>
      </c>
      <c r="H166" s="18">
        <f t="shared" si="9"/>
        <v>17.709535842511645</v>
      </c>
      <c r="I166">
        <f t="shared" si="11"/>
        <v>140530.66134316253</v>
      </c>
    </row>
    <row r="167" spans="1:9" ht="18" x14ac:dyDescent="0.2">
      <c r="A167" s="2">
        <v>37312</v>
      </c>
      <c r="B167" s="3">
        <v>0.43</v>
      </c>
      <c r="C167">
        <f t="shared" si="8"/>
        <v>0.42818052978360177</v>
      </c>
      <c r="E167" s="18">
        <f t="shared" si="10"/>
        <v>393240.18505360628</v>
      </c>
      <c r="G167" s="30">
        <v>15.02</v>
      </c>
      <c r="H167" s="18">
        <f t="shared" si="9"/>
        <v>17.453389571796251</v>
      </c>
      <c r="I167">
        <f t="shared" si="11"/>
        <v>147813.06256122558</v>
      </c>
    </row>
    <row r="168" spans="1:9" ht="18" x14ac:dyDescent="0.2">
      <c r="A168" s="2">
        <v>37319</v>
      </c>
      <c r="B168" s="3">
        <v>0.45</v>
      </c>
      <c r="C168">
        <f t="shared" si="8"/>
        <v>0.43025857456611588</v>
      </c>
      <c r="E168" s="18">
        <f t="shared" si="10"/>
        <v>393240.18505360628</v>
      </c>
      <c r="G168" s="30">
        <v>17.59</v>
      </c>
      <c r="H168" s="18">
        <f t="shared" si="9"/>
        <v>17.466400088768037</v>
      </c>
      <c r="I168">
        <f t="shared" si="11"/>
        <v>173104.64516990399</v>
      </c>
    </row>
    <row r="169" spans="1:9" ht="18" x14ac:dyDescent="0.2">
      <c r="A169" s="2">
        <v>37326</v>
      </c>
      <c r="B169" s="3">
        <v>0.4</v>
      </c>
      <c r="C169">
        <f t="shared" si="8"/>
        <v>0.42737680555981911</v>
      </c>
      <c r="E169" s="18">
        <f t="shared" si="10"/>
        <v>393240.18505360628</v>
      </c>
      <c r="G169" s="30">
        <v>18.239999999999998</v>
      </c>
      <c r="H169" s="18">
        <f t="shared" si="9"/>
        <v>17.540076270790127</v>
      </c>
      <c r="I169">
        <f t="shared" si="11"/>
        <v>173104.64516990399</v>
      </c>
    </row>
    <row r="170" spans="1:9" ht="18" x14ac:dyDescent="0.2">
      <c r="A170" s="2">
        <v>37333</v>
      </c>
      <c r="B170" s="3">
        <v>0.37</v>
      </c>
      <c r="C170">
        <f t="shared" si="8"/>
        <v>0.42191234788745541</v>
      </c>
      <c r="E170" s="18">
        <f t="shared" si="10"/>
        <v>363747.17117458582</v>
      </c>
      <c r="G170" s="30">
        <v>17.829999999999998</v>
      </c>
      <c r="H170" s="18">
        <f t="shared" si="9"/>
        <v>17.5676880545244</v>
      </c>
      <c r="I170">
        <f t="shared" si="11"/>
        <v>173104.64516990399</v>
      </c>
    </row>
    <row r="171" spans="1:9" ht="18" x14ac:dyDescent="0.2">
      <c r="A171" s="2">
        <v>37340</v>
      </c>
      <c r="B171" s="3">
        <v>0.34</v>
      </c>
      <c r="C171">
        <f t="shared" si="8"/>
        <v>0.41411117189817392</v>
      </c>
      <c r="E171" s="18">
        <f t="shared" si="10"/>
        <v>334254.15729556535</v>
      </c>
      <c r="G171" s="30">
        <v>18.05</v>
      </c>
      <c r="H171" s="18">
        <f t="shared" si="9"/>
        <v>17.613622525522075</v>
      </c>
      <c r="I171">
        <f t="shared" si="11"/>
        <v>173104.64516990399</v>
      </c>
    </row>
    <row r="172" spans="1:9" ht="18" x14ac:dyDescent="0.2">
      <c r="A172" s="2">
        <v>37347</v>
      </c>
      <c r="B172" s="3">
        <v>0.32</v>
      </c>
      <c r="C172">
        <f t="shared" si="8"/>
        <v>0.40514820314596689</v>
      </c>
      <c r="E172" s="18">
        <f t="shared" si="10"/>
        <v>314592.148042885</v>
      </c>
      <c r="G172" s="30">
        <v>17.649999999999999</v>
      </c>
      <c r="H172" s="18">
        <f t="shared" si="9"/>
        <v>17.617087046900924</v>
      </c>
      <c r="I172">
        <f t="shared" si="11"/>
        <v>173104.64516990399</v>
      </c>
    </row>
    <row r="173" spans="1:9" ht="18" x14ac:dyDescent="0.2">
      <c r="A173" s="2">
        <v>37354</v>
      </c>
      <c r="B173" s="3">
        <v>0.28000000000000003</v>
      </c>
      <c r="C173">
        <f t="shared" si="8"/>
        <v>0.39322932665587479</v>
      </c>
      <c r="E173" s="18">
        <f t="shared" si="10"/>
        <v>275268.12953752442</v>
      </c>
      <c r="G173" s="30">
        <v>17.53</v>
      </c>
      <c r="H173" s="18">
        <f t="shared" si="9"/>
        <v>17.608793042434169</v>
      </c>
      <c r="I173">
        <f t="shared" si="11"/>
        <v>173104.64516990399</v>
      </c>
    </row>
    <row r="174" spans="1:9" ht="18" x14ac:dyDescent="0.2">
      <c r="A174" s="2">
        <v>37361</v>
      </c>
      <c r="B174" s="3">
        <v>0.28000000000000003</v>
      </c>
      <c r="C174">
        <f t="shared" si="8"/>
        <v>0.38244558126007722</v>
      </c>
      <c r="E174" s="18">
        <f t="shared" si="10"/>
        <v>275268.12953752442</v>
      </c>
      <c r="G174" s="30">
        <v>19.309999999999999</v>
      </c>
      <c r="H174" s="18">
        <f t="shared" si="9"/>
        <v>17.770812752678534</v>
      </c>
      <c r="I174">
        <f t="shared" si="11"/>
        <v>190681.7283645662</v>
      </c>
    </row>
    <row r="175" spans="1:9" ht="18" x14ac:dyDescent="0.2">
      <c r="A175" s="2">
        <v>37368</v>
      </c>
      <c r="B175" s="3">
        <v>0.23</v>
      </c>
      <c r="C175">
        <f t="shared" si="8"/>
        <v>0.36792695447340318</v>
      </c>
      <c r="E175" s="18">
        <f t="shared" si="10"/>
        <v>226113.10640582364</v>
      </c>
      <c r="G175" s="30">
        <v>17.89</v>
      </c>
      <c r="H175" s="18">
        <f t="shared" si="9"/>
        <v>17.782163919090102</v>
      </c>
      <c r="I175">
        <f t="shared" si="11"/>
        <v>190681.7283645662</v>
      </c>
    </row>
    <row r="176" spans="1:9" ht="18" x14ac:dyDescent="0.2">
      <c r="A176" s="2">
        <v>37375</v>
      </c>
      <c r="B176" s="3">
        <v>0.25</v>
      </c>
      <c r="C176">
        <f t="shared" si="8"/>
        <v>0.35669581595212668</v>
      </c>
      <c r="E176" s="18">
        <f t="shared" si="10"/>
        <v>245775.11565850396</v>
      </c>
      <c r="G176" s="30">
        <v>18.239999999999998</v>
      </c>
      <c r="H176" s="18">
        <f t="shared" si="9"/>
        <v>17.825767355367237</v>
      </c>
      <c r="I176">
        <f t="shared" si="11"/>
        <v>190681.7283645662</v>
      </c>
    </row>
    <row r="177" spans="1:9" ht="18" x14ac:dyDescent="0.2">
      <c r="A177" s="2">
        <v>37382</v>
      </c>
      <c r="B177" s="3">
        <v>0.24</v>
      </c>
      <c r="C177">
        <f t="shared" si="8"/>
        <v>0.34558192871859084</v>
      </c>
      <c r="E177" s="18">
        <f t="shared" si="10"/>
        <v>235944.11103216378</v>
      </c>
      <c r="G177" s="30">
        <v>17.940000000000001</v>
      </c>
      <c r="H177" s="18">
        <f t="shared" si="9"/>
        <v>17.836646654856072</v>
      </c>
      <c r="I177">
        <f t="shared" si="11"/>
        <v>190681.7283645662</v>
      </c>
    </row>
    <row r="178" spans="1:9" ht="18" x14ac:dyDescent="0.2">
      <c r="A178" s="2">
        <v>37389</v>
      </c>
      <c r="B178" s="3">
        <v>0.3</v>
      </c>
      <c r="C178">
        <f t="shared" si="8"/>
        <v>0.34124079265015361</v>
      </c>
      <c r="E178" s="18">
        <f t="shared" si="10"/>
        <v>294930.13879020471</v>
      </c>
      <c r="G178" s="30">
        <v>19.48</v>
      </c>
      <c r="H178" s="18">
        <f t="shared" si="9"/>
        <v>17.99315649725073</v>
      </c>
      <c r="I178">
        <f t="shared" si="11"/>
        <v>190681.7283645662</v>
      </c>
    </row>
    <row r="179" spans="1:9" ht="18" x14ac:dyDescent="0.2">
      <c r="A179" s="2">
        <v>37396</v>
      </c>
      <c r="B179" s="3">
        <v>0.27</v>
      </c>
      <c r="C179">
        <f t="shared" si="8"/>
        <v>0.33445595525490091</v>
      </c>
      <c r="E179" s="18">
        <f t="shared" si="10"/>
        <v>265437.12491118431</v>
      </c>
      <c r="G179" s="30">
        <v>19.329999999999998</v>
      </c>
      <c r="H179" s="18">
        <f t="shared" si="9"/>
        <v>18.120474926083993</v>
      </c>
      <c r="I179">
        <f t="shared" si="11"/>
        <v>190681.7283645662</v>
      </c>
    </row>
    <row r="180" spans="1:9" ht="18" x14ac:dyDescent="0.2">
      <c r="A180" s="2">
        <v>37403</v>
      </c>
      <c r="B180" s="3">
        <v>0.26</v>
      </c>
      <c r="C180">
        <f t="shared" si="8"/>
        <v>0.32736491189729128</v>
      </c>
      <c r="E180" s="18">
        <f t="shared" si="10"/>
        <v>255606.12028484416</v>
      </c>
      <c r="G180" s="30">
        <v>18.38</v>
      </c>
      <c r="H180" s="18">
        <f t="shared" si="9"/>
        <v>18.14519159979028</v>
      </c>
      <c r="I180">
        <f t="shared" si="11"/>
        <v>190681.7283645662</v>
      </c>
    </row>
    <row r="181" spans="1:9" ht="18" x14ac:dyDescent="0.2">
      <c r="A181" s="2">
        <v>37410</v>
      </c>
      <c r="B181" s="3">
        <v>0.25</v>
      </c>
      <c r="C181">
        <f t="shared" si="8"/>
        <v>0.31999682504993021</v>
      </c>
      <c r="E181" s="18">
        <f t="shared" si="10"/>
        <v>245775.11565850399</v>
      </c>
      <c r="G181" s="30">
        <v>17.23</v>
      </c>
      <c r="H181" s="18">
        <f t="shared" si="9"/>
        <v>18.058030495048349</v>
      </c>
      <c r="I181">
        <f t="shared" si="11"/>
        <v>190681.7283645662</v>
      </c>
    </row>
    <row r="182" spans="1:9" ht="18" x14ac:dyDescent="0.2">
      <c r="A182" s="2">
        <v>37417</v>
      </c>
      <c r="B182" s="3">
        <v>0.22</v>
      </c>
      <c r="C182">
        <f t="shared" si="8"/>
        <v>0.3104733179023178</v>
      </c>
      <c r="E182" s="18">
        <f t="shared" si="10"/>
        <v>216282.10177948352</v>
      </c>
      <c r="G182" s="30">
        <v>16.87</v>
      </c>
      <c r="H182" s="18">
        <f t="shared" si="9"/>
        <v>17.944884733615172</v>
      </c>
      <c r="I182">
        <f t="shared" si="11"/>
        <v>186697.66439409353</v>
      </c>
    </row>
    <row r="183" spans="1:9" ht="18" x14ac:dyDescent="0.2">
      <c r="A183" s="2">
        <v>37424</v>
      </c>
      <c r="B183" s="3">
        <v>0.17</v>
      </c>
      <c r="C183">
        <f t="shared" si="8"/>
        <v>0.29709490667352562</v>
      </c>
      <c r="E183" s="18">
        <f t="shared" si="10"/>
        <v>167127.07864778274</v>
      </c>
      <c r="G183" s="30">
        <v>16.87</v>
      </c>
      <c r="H183" s="18">
        <f t="shared" si="9"/>
        <v>17.842514758985157</v>
      </c>
      <c r="I183">
        <f t="shared" si="11"/>
        <v>186697.66439409353</v>
      </c>
    </row>
    <row r="184" spans="1:9" ht="18" x14ac:dyDescent="0.2">
      <c r="A184" s="2">
        <v>37431</v>
      </c>
      <c r="B184" s="3">
        <v>0.13</v>
      </c>
      <c r="C184">
        <f t="shared" si="8"/>
        <v>0.28118110603795177</v>
      </c>
      <c r="E184" s="18">
        <f t="shared" si="10"/>
        <v>127803.06014242208</v>
      </c>
      <c r="G184" s="30">
        <v>17.34</v>
      </c>
      <c r="H184" s="18">
        <f t="shared" si="9"/>
        <v>17.794656210510379</v>
      </c>
      <c r="I184">
        <f t="shared" si="11"/>
        <v>191899.0812444328</v>
      </c>
    </row>
    <row r="185" spans="1:9" ht="18" x14ac:dyDescent="0.2">
      <c r="A185" s="2">
        <v>37438</v>
      </c>
      <c r="B185" s="3">
        <v>0.15</v>
      </c>
      <c r="C185">
        <f t="shared" si="8"/>
        <v>0.26868766736767064</v>
      </c>
      <c r="E185" s="18">
        <f t="shared" si="10"/>
        <v>147465.06939510242</v>
      </c>
      <c r="G185" s="30">
        <v>16.66</v>
      </c>
      <c r="H185" s="18">
        <f t="shared" si="9"/>
        <v>17.686593714271297</v>
      </c>
      <c r="I185">
        <f t="shared" si="11"/>
        <v>184373.62707798445</v>
      </c>
    </row>
    <row r="186" spans="1:9" ht="18" x14ac:dyDescent="0.2">
      <c r="A186" s="2">
        <v>37445</v>
      </c>
      <c r="B186" s="3">
        <v>0.15</v>
      </c>
      <c r="C186">
        <f t="shared" si="8"/>
        <v>0.25738407999932106</v>
      </c>
      <c r="E186" s="18">
        <f t="shared" si="10"/>
        <v>147465.06939510242</v>
      </c>
      <c r="G186" s="30">
        <v>15.62</v>
      </c>
      <c r="H186" s="18">
        <f t="shared" si="9"/>
        <v>17.489775265293076</v>
      </c>
      <c r="I186">
        <f t="shared" si="11"/>
        <v>172864.10894106343</v>
      </c>
    </row>
    <row r="187" spans="1:9" ht="18" x14ac:dyDescent="0.2">
      <c r="A187" s="2">
        <v>37452</v>
      </c>
      <c r="B187" s="3">
        <v>0.14000000000000001</v>
      </c>
      <c r="C187">
        <f t="shared" si="8"/>
        <v>0.24620464380890952</v>
      </c>
      <c r="E187" s="18">
        <f t="shared" si="10"/>
        <v>137634.0647687623</v>
      </c>
      <c r="G187" s="30">
        <v>13.49</v>
      </c>
      <c r="H187" s="18">
        <f t="shared" si="9"/>
        <v>17.108844287646118</v>
      </c>
      <c r="I187">
        <f t="shared" si="11"/>
        <v>149291.73044910026</v>
      </c>
    </row>
    <row r="188" spans="1:9" ht="18" x14ac:dyDescent="0.2">
      <c r="A188" s="2">
        <v>37459</v>
      </c>
      <c r="B188" s="3">
        <v>0.11</v>
      </c>
      <c r="C188">
        <f t="shared" si="8"/>
        <v>0.23323277296996575</v>
      </c>
      <c r="E188" s="18">
        <f t="shared" si="10"/>
        <v>108141.0508897418</v>
      </c>
      <c r="G188" s="30">
        <v>11.5</v>
      </c>
      <c r="H188" s="18">
        <f t="shared" si="9"/>
        <v>16.57466864120363</v>
      </c>
      <c r="I188">
        <f t="shared" si="11"/>
        <v>127268.71016787643</v>
      </c>
    </row>
    <row r="189" spans="1:9" ht="18" x14ac:dyDescent="0.2">
      <c r="A189" s="2">
        <v>37466</v>
      </c>
      <c r="B189" s="3">
        <v>7.0000000000000007E-2</v>
      </c>
      <c r="C189">
        <f t="shared" si="8"/>
        <v>0.21768679459187379</v>
      </c>
      <c r="E189" s="18">
        <f t="shared" si="10"/>
        <v>68817.032384381149</v>
      </c>
      <c r="G189" s="30">
        <v>12.33</v>
      </c>
      <c r="H189" s="18">
        <f t="shared" si="9"/>
        <v>16.170414484898522</v>
      </c>
      <c r="I189">
        <f t="shared" si="11"/>
        <v>136454.19098868838</v>
      </c>
    </row>
    <row r="190" spans="1:9" ht="18" x14ac:dyDescent="0.2">
      <c r="A190" s="2">
        <v>37473</v>
      </c>
      <c r="B190" s="3">
        <v>7.0000000000000007E-2</v>
      </c>
      <c r="C190">
        <f t="shared" si="8"/>
        <v>0.2036213855831239</v>
      </c>
      <c r="E190" s="18">
        <f t="shared" si="10"/>
        <v>68817.032384381149</v>
      </c>
      <c r="G190" s="30">
        <v>13.62</v>
      </c>
      <c r="H190" s="18">
        <f t="shared" si="9"/>
        <v>15.92751786728914</v>
      </c>
      <c r="I190">
        <f t="shared" si="11"/>
        <v>150730.4202162154</v>
      </c>
    </row>
    <row r="191" spans="1:9" ht="18" x14ac:dyDescent="0.2">
      <c r="A191" s="2">
        <v>37480</v>
      </c>
      <c r="B191" s="3">
        <v>0.08</v>
      </c>
      <c r="C191">
        <f t="shared" si="8"/>
        <v>0.19184792028949305</v>
      </c>
      <c r="E191" s="18">
        <f t="shared" si="10"/>
        <v>78648.037010721309</v>
      </c>
      <c r="G191" s="30">
        <v>12.85</v>
      </c>
      <c r="H191" s="18">
        <f t="shared" si="9"/>
        <v>15.634420927547318</v>
      </c>
      <c r="I191">
        <f t="shared" si="11"/>
        <v>142208.95005714888</v>
      </c>
    </row>
    <row r="192" spans="1:9" ht="18" x14ac:dyDescent="0.2">
      <c r="A192" s="2">
        <v>37487</v>
      </c>
      <c r="B192" s="3">
        <v>0.09</v>
      </c>
      <c r="C192">
        <f t="shared" si="8"/>
        <v>0.18214811835716038</v>
      </c>
      <c r="E192" s="18">
        <f t="shared" si="10"/>
        <v>88479.041637061469</v>
      </c>
      <c r="G192" s="30">
        <v>13.29</v>
      </c>
      <c r="H192" s="18">
        <f t="shared" si="9"/>
        <v>15.411142743971382</v>
      </c>
      <c r="I192">
        <f t="shared" si="11"/>
        <v>147078.36157661545</v>
      </c>
    </row>
    <row r="193" spans="1:9" ht="18" x14ac:dyDescent="0.2">
      <c r="A193" s="2">
        <v>37494</v>
      </c>
      <c r="B193" s="3">
        <v>0.08</v>
      </c>
      <c r="C193">
        <f t="shared" si="8"/>
        <v>0.17241972613266893</v>
      </c>
      <c r="E193" s="18">
        <f t="shared" si="10"/>
        <v>78648.037010721309</v>
      </c>
      <c r="G193" s="30">
        <v>13.65</v>
      </c>
      <c r="H193" s="18">
        <f t="shared" si="9"/>
        <v>15.243414863593156</v>
      </c>
      <c r="I193">
        <f t="shared" si="11"/>
        <v>151062.42554708812</v>
      </c>
    </row>
    <row r="194" spans="1:9" ht="18" x14ac:dyDescent="0.2">
      <c r="A194" s="2">
        <v>37501</v>
      </c>
      <c r="B194" s="3">
        <v>7.0000000000000007E-2</v>
      </c>
      <c r="C194">
        <f t="shared" si="8"/>
        <v>0.16266546650098618</v>
      </c>
      <c r="E194" s="18">
        <f t="shared" si="10"/>
        <v>68817.032384381149</v>
      </c>
      <c r="G194" s="30">
        <v>12.36</v>
      </c>
      <c r="H194" s="18">
        <f t="shared" si="9"/>
        <v>14.968803924203332</v>
      </c>
      <c r="I194">
        <f t="shared" si="11"/>
        <v>136786.1963195611</v>
      </c>
    </row>
    <row r="195" spans="1:9" ht="18" x14ac:dyDescent="0.2">
      <c r="A195" s="2">
        <v>37508</v>
      </c>
      <c r="B195" s="3">
        <v>0.08</v>
      </c>
      <c r="C195">
        <f t="shared" si="8"/>
        <v>0.15479256492946369</v>
      </c>
      <c r="E195" s="18">
        <f t="shared" si="10"/>
        <v>78648.037010721309</v>
      </c>
      <c r="G195" s="30">
        <v>11.39</v>
      </c>
      <c r="H195" s="18">
        <f t="shared" si="9"/>
        <v>14.627965455231585</v>
      </c>
      <c r="I195">
        <f t="shared" si="11"/>
        <v>126051.35728800981</v>
      </c>
    </row>
    <row r="196" spans="1:9" ht="18" x14ac:dyDescent="0.2">
      <c r="A196" s="2">
        <v>37515</v>
      </c>
      <c r="B196" s="3">
        <v>7.0000000000000007E-2</v>
      </c>
      <c r="C196">
        <f t="shared" si="8"/>
        <v>0.14671708255522906</v>
      </c>
      <c r="E196" s="18">
        <f t="shared" si="10"/>
        <v>68817.032384381149</v>
      </c>
      <c r="G196" s="30">
        <v>10.43</v>
      </c>
      <c r="H196" s="18">
        <f t="shared" si="9"/>
        <v>14.228159221400006</v>
      </c>
      <c r="I196">
        <f t="shared" si="11"/>
        <v>115427.18670008272</v>
      </c>
    </row>
    <row r="197" spans="1:9" ht="18" x14ac:dyDescent="0.2">
      <c r="A197" s="2">
        <v>37522</v>
      </c>
      <c r="B197" s="3">
        <v>7.0000000000000007E-2</v>
      </c>
      <c r="C197">
        <f t="shared" si="8"/>
        <v>0.13941069374044535</v>
      </c>
      <c r="E197" s="18">
        <f t="shared" si="10"/>
        <v>68817.032384381149</v>
      </c>
      <c r="G197" s="30">
        <v>9.48</v>
      </c>
      <c r="H197" s="18">
        <f t="shared" si="9"/>
        <v>13.775953581266672</v>
      </c>
      <c r="I197">
        <f t="shared" si="11"/>
        <v>104913.6845557799</v>
      </c>
    </row>
    <row r="198" spans="1:9" ht="18" x14ac:dyDescent="0.2">
      <c r="A198" s="2">
        <v>37529</v>
      </c>
      <c r="B198" s="3">
        <v>0.06</v>
      </c>
      <c r="C198">
        <f t="shared" si="8"/>
        <v>0.13184777052706959</v>
      </c>
      <c r="E198" s="18">
        <f t="shared" si="10"/>
        <v>58986.027758040975</v>
      </c>
      <c r="G198" s="30">
        <v>8.5500000000000007</v>
      </c>
      <c r="H198" s="18">
        <f t="shared" si="9"/>
        <v>13.278243716384132</v>
      </c>
      <c r="I198">
        <f t="shared" si="11"/>
        <v>94621.519298725543</v>
      </c>
    </row>
    <row r="199" spans="1:9" ht="18" x14ac:dyDescent="0.2">
      <c r="A199" s="2">
        <v>37536</v>
      </c>
      <c r="B199" s="3">
        <v>7.0000000000000007E-2</v>
      </c>
      <c r="C199">
        <f t="shared" si="8"/>
        <v>0.12595750666734867</v>
      </c>
      <c r="E199" s="18">
        <f t="shared" si="10"/>
        <v>68817.032384381149</v>
      </c>
      <c r="G199" s="30">
        <v>9.0399999999999991</v>
      </c>
      <c r="H199" s="18">
        <f t="shared" si="9"/>
        <v>12.874601457680882</v>
      </c>
      <c r="I199">
        <f t="shared" si="11"/>
        <v>100044.2730363133</v>
      </c>
    </row>
    <row r="200" spans="1:9" ht="18" x14ac:dyDescent="0.2">
      <c r="A200" s="2">
        <v>37543</v>
      </c>
      <c r="B200" s="3">
        <v>7.0000000000000007E-2</v>
      </c>
      <c r="C200">
        <f t="shared" si="8"/>
        <v>0.12062822031807738</v>
      </c>
      <c r="E200" s="18">
        <f t="shared" si="10"/>
        <v>68817.032384381149</v>
      </c>
      <c r="G200" s="30">
        <v>9.98</v>
      </c>
      <c r="H200" s="18">
        <f t="shared" si="9"/>
        <v>12.598925128377941</v>
      </c>
      <c r="I200">
        <f t="shared" si="11"/>
        <v>110447.10673699192</v>
      </c>
    </row>
    <row r="201" spans="1:9" ht="18" x14ac:dyDescent="0.2">
      <c r="A201" s="2">
        <v>37550</v>
      </c>
      <c r="B201" s="3">
        <v>0.08</v>
      </c>
      <c r="C201">
        <f t="shared" si="8"/>
        <v>0.11675886600207001</v>
      </c>
      <c r="E201" s="18">
        <f t="shared" si="10"/>
        <v>78648.037010721309</v>
      </c>
      <c r="G201" s="30">
        <v>10.71</v>
      </c>
      <c r="H201" s="18">
        <f t="shared" si="9"/>
        <v>12.419027497103851</v>
      </c>
      <c r="I201">
        <f t="shared" si="11"/>
        <v>118525.90312156147</v>
      </c>
    </row>
    <row r="202" spans="1:9" ht="18" x14ac:dyDescent="0.2">
      <c r="A202" s="2">
        <v>37557</v>
      </c>
      <c r="B202" s="3">
        <v>0.11</v>
      </c>
      <c r="C202">
        <f t="shared" si="8"/>
        <v>0.11611516447806335</v>
      </c>
      <c r="E202" s="18">
        <f t="shared" si="10"/>
        <v>108141.05088974179</v>
      </c>
      <c r="G202" s="30">
        <v>11.32</v>
      </c>
      <c r="H202" s="18">
        <f t="shared" si="9"/>
        <v>12.31435821166539</v>
      </c>
      <c r="I202">
        <f t="shared" si="11"/>
        <v>125276.67818264013</v>
      </c>
    </row>
    <row r="203" spans="1:9" ht="18" x14ac:dyDescent="0.2">
      <c r="A203" s="2">
        <v>37564</v>
      </c>
      <c r="B203" s="3">
        <v>0.09</v>
      </c>
      <c r="C203">
        <f t="shared" si="8"/>
        <v>0.11362800595634302</v>
      </c>
      <c r="E203" s="18">
        <f t="shared" si="10"/>
        <v>88479.041637061455</v>
      </c>
      <c r="G203" s="30">
        <v>10.63</v>
      </c>
      <c r="H203" s="18">
        <f t="shared" si="9"/>
        <v>12.153943143887734</v>
      </c>
      <c r="I203">
        <f t="shared" si="11"/>
        <v>117640.55557256754</v>
      </c>
    </row>
    <row r="204" spans="1:9" ht="18" x14ac:dyDescent="0.2">
      <c r="A204" s="2">
        <v>37571</v>
      </c>
      <c r="B204" s="3">
        <v>0.1</v>
      </c>
      <c r="C204">
        <f t="shared" si="8"/>
        <v>0.1123301006271675</v>
      </c>
      <c r="E204" s="18">
        <f t="shared" si="10"/>
        <v>98310.046263401615</v>
      </c>
      <c r="G204" s="30">
        <v>11.62</v>
      </c>
      <c r="H204" s="18">
        <f t="shared" si="9"/>
        <v>12.103091415898426</v>
      </c>
      <c r="I204">
        <f t="shared" si="11"/>
        <v>128596.73149136732</v>
      </c>
    </row>
    <row r="205" spans="1:9" ht="18" x14ac:dyDescent="0.2">
      <c r="A205" s="2">
        <v>37578</v>
      </c>
      <c r="B205" s="3">
        <v>0.12</v>
      </c>
      <c r="C205">
        <f t="shared" si="8"/>
        <v>0.11306056723410393</v>
      </c>
      <c r="E205" s="18">
        <f t="shared" si="10"/>
        <v>117972.05551608192</v>
      </c>
      <c r="G205" s="30">
        <v>13.15</v>
      </c>
      <c r="H205" s="18">
        <f t="shared" si="9"/>
        <v>12.202796995336671</v>
      </c>
      <c r="I205">
        <f t="shared" si="11"/>
        <v>145529.00336587612</v>
      </c>
    </row>
    <row r="206" spans="1:9" ht="18" x14ac:dyDescent="0.2">
      <c r="A206" s="2">
        <v>37585</v>
      </c>
      <c r="B206" s="3">
        <v>0.13</v>
      </c>
      <c r="C206">
        <f t="shared" si="8"/>
        <v>0.11467384654514165</v>
      </c>
      <c r="E206" s="18">
        <f t="shared" si="10"/>
        <v>117972.05551608192</v>
      </c>
      <c r="G206" s="30">
        <v>13.24</v>
      </c>
      <c r="H206" s="18">
        <f t="shared" si="9"/>
        <v>12.301578233876036</v>
      </c>
      <c r="I206">
        <f t="shared" si="11"/>
        <v>145529.00336587612</v>
      </c>
    </row>
    <row r="207" spans="1:9" ht="18" x14ac:dyDescent="0.2">
      <c r="A207" s="2">
        <v>37592</v>
      </c>
      <c r="B207" s="3">
        <v>0.11</v>
      </c>
      <c r="C207">
        <f t="shared" si="8"/>
        <v>0.11422871830274721</v>
      </c>
      <c r="E207" s="18">
        <f t="shared" si="10"/>
        <v>117972.05551608192</v>
      </c>
      <c r="G207" s="30">
        <v>12.85</v>
      </c>
      <c r="H207" s="18">
        <f t="shared" si="9"/>
        <v>12.353808878268794</v>
      </c>
      <c r="I207">
        <f t="shared" si="11"/>
        <v>145529.00336587612</v>
      </c>
    </row>
    <row r="208" spans="1:9" ht="18" x14ac:dyDescent="0.2">
      <c r="A208" s="2">
        <v>37599</v>
      </c>
      <c r="B208" s="3">
        <v>0.1</v>
      </c>
      <c r="C208">
        <f t="shared" si="8"/>
        <v>0.11287360227391414</v>
      </c>
      <c r="E208" s="18">
        <f t="shared" si="10"/>
        <v>107247.32319643811</v>
      </c>
      <c r="G208" s="30">
        <v>12.42</v>
      </c>
      <c r="H208" s="18">
        <f t="shared" si="9"/>
        <v>12.360112794624147</v>
      </c>
      <c r="I208">
        <f t="shared" si="11"/>
        <v>145529.00336587612</v>
      </c>
    </row>
    <row r="209" spans="1:9" ht="18" x14ac:dyDescent="0.2">
      <c r="A209" s="2">
        <v>37606</v>
      </c>
      <c r="B209" s="3">
        <v>0.1</v>
      </c>
      <c r="C209">
        <f t="shared" si="8"/>
        <v>0.11164754491449375</v>
      </c>
      <c r="E209" s="18">
        <f t="shared" si="10"/>
        <v>107247.32319643811</v>
      </c>
      <c r="G209" s="30">
        <v>13.08</v>
      </c>
      <c r="H209" s="18">
        <f t="shared" si="9"/>
        <v>12.428673480850419</v>
      </c>
      <c r="I209">
        <f t="shared" si="11"/>
        <v>145529.00336587612</v>
      </c>
    </row>
    <row r="210" spans="1:9" ht="18" x14ac:dyDescent="0.2">
      <c r="A210" s="2">
        <v>37613</v>
      </c>
      <c r="B210" s="3">
        <v>0.09</v>
      </c>
      <c r="C210">
        <f t="shared" si="8"/>
        <v>0.10958587397025625</v>
      </c>
      <c r="E210" s="18">
        <f t="shared" si="10"/>
        <v>96522.590876794289</v>
      </c>
      <c r="G210" s="30">
        <v>12.52</v>
      </c>
      <c r="H210" s="18">
        <f t="shared" si="9"/>
        <v>12.43737124457895</v>
      </c>
      <c r="I210">
        <f t="shared" si="11"/>
        <v>145529.00336587612</v>
      </c>
    </row>
    <row r="211" spans="1:9" ht="18" x14ac:dyDescent="0.2">
      <c r="A211" s="2">
        <v>37620</v>
      </c>
      <c r="B211" s="3">
        <v>0.09</v>
      </c>
      <c r="C211">
        <f t="shared" si="8"/>
        <v>0.10772055263975565</v>
      </c>
      <c r="E211" s="18">
        <f t="shared" si="10"/>
        <v>96522.590876794289</v>
      </c>
      <c r="G211" s="30">
        <v>13.64</v>
      </c>
      <c r="H211" s="18">
        <f t="shared" si="9"/>
        <v>12.551907316523812</v>
      </c>
      <c r="I211">
        <f t="shared" si="11"/>
        <v>145529.00336587612</v>
      </c>
    </row>
    <row r="212" spans="1:9" ht="18" x14ac:dyDescent="0.2">
      <c r="A212" s="2">
        <v>37627</v>
      </c>
      <c r="B212" s="3">
        <v>0.09</v>
      </c>
      <c r="C212">
        <f t="shared" si="8"/>
        <v>0.10603288095977892</v>
      </c>
      <c r="E212" s="18">
        <f t="shared" si="10"/>
        <v>96522.590876794289</v>
      </c>
      <c r="G212" s="30">
        <v>14.45</v>
      </c>
      <c r="H212" s="18">
        <f t="shared" si="9"/>
        <v>12.732678048283448</v>
      </c>
      <c r="I212">
        <f t="shared" si="11"/>
        <v>145529.00336587612</v>
      </c>
    </row>
    <row r="213" spans="1:9" ht="18" x14ac:dyDescent="0.2">
      <c r="A213" s="2">
        <v>37634</v>
      </c>
      <c r="B213" s="3">
        <v>0.08</v>
      </c>
      <c r="C213">
        <f t="shared" si="8"/>
        <v>0.1035535589636095</v>
      </c>
      <c r="E213" s="18">
        <f t="shared" si="10"/>
        <v>85797.858557150481</v>
      </c>
      <c r="G213" s="30">
        <v>13.97</v>
      </c>
      <c r="H213" s="18">
        <f t="shared" si="9"/>
        <v>12.850518234161216</v>
      </c>
      <c r="I213">
        <f t="shared" si="11"/>
        <v>145529.00336587612</v>
      </c>
    </row>
    <row r="214" spans="1:9" ht="18" x14ac:dyDescent="0.2">
      <c r="A214" s="2">
        <v>37641</v>
      </c>
      <c r="B214" s="3">
        <v>0.08</v>
      </c>
      <c r="C214">
        <f t="shared" si="8"/>
        <v>0.10131036287183717</v>
      </c>
      <c r="E214" s="18">
        <f t="shared" si="10"/>
        <v>85797.858557150481</v>
      </c>
      <c r="G214" s="30">
        <v>12.7</v>
      </c>
      <c r="H214" s="18">
        <f t="shared" si="9"/>
        <v>12.836183164241101</v>
      </c>
      <c r="I214">
        <f t="shared" si="11"/>
        <v>145529.00336587612</v>
      </c>
    </row>
    <row r="215" spans="1:9" ht="18" x14ac:dyDescent="0.2">
      <c r="A215" s="2">
        <v>37648</v>
      </c>
      <c r="B215" s="3">
        <v>0.08</v>
      </c>
      <c r="C215">
        <f t="shared" si="8"/>
        <v>9.9280804503090778E-2</v>
      </c>
      <c r="E215" s="18">
        <f t="shared" si="10"/>
        <v>85797.858557150481</v>
      </c>
      <c r="G215" s="30">
        <v>12.45</v>
      </c>
      <c r="H215" s="18">
        <f t="shared" si="9"/>
        <v>12.799403815265757</v>
      </c>
      <c r="I215">
        <f t="shared" si="11"/>
        <v>142664.25920513051</v>
      </c>
    </row>
    <row r="216" spans="1:9" ht="18" x14ac:dyDescent="0.2">
      <c r="A216" s="2">
        <v>37655</v>
      </c>
      <c r="B216" s="3">
        <v>7.0000000000000007E-2</v>
      </c>
      <c r="C216">
        <f t="shared" si="8"/>
        <v>9.6492156455177377E-2</v>
      </c>
      <c r="E216" s="18">
        <f t="shared" si="10"/>
        <v>75073.126237506673</v>
      </c>
      <c r="G216" s="30">
        <v>11.73</v>
      </c>
      <c r="H216" s="18">
        <f t="shared" si="9"/>
        <v>12.697555832859495</v>
      </c>
      <c r="I216">
        <f t="shared" si="11"/>
        <v>134413.79602218323</v>
      </c>
    </row>
    <row r="217" spans="1:9" ht="18" x14ac:dyDescent="0.2">
      <c r="A217" s="2">
        <v>37662</v>
      </c>
      <c r="B217" s="3">
        <v>0.09</v>
      </c>
      <c r="C217">
        <f t="shared" ref="C217:C280" si="12">(B217-C216)*$D$4+C216</f>
        <v>9.5873855840398578E-2</v>
      </c>
      <c r="E217" s="18">
        <f t="shared" si="10"/>
        <v>96522.590876794275</v>
      </c>
      <c r="G217" s="30">
        <v>11.66</v>
      </c>
      <c r="H217" s="18">
        <f t="shared" si="9"/>
        <v>12.598740991634781</v>
      </c>
      <c r="I217">
        <f t="shared" si="11"/>
        <v>133611.66765717446</v>
      </c>
    </row>
    <row r="218" spans="1:9" ht="18" x14ac:dyDescent="0.2">
      <c r="A218" s="2">
        <v>37669</v>
      </c>
      <c r="B218" s="3">
        <v>0.1</v>
      </c>
      <c r="C218">
        <f t="shared" si="12"/>
        <v>9.6266821950836814E-2</v>
      </c>
      <c r="E218" s="18">
        <f t="shared" si="10"/>
        <v>107247.32319643808</v>
      </c>
      <c r="G218" s="30">
        <v>12.21</v>
      </c>
      <c r="H218" s="18">
        <f t="shared" ref="H218:H281" si="13">(G218-H217)*$D$4+H217</f>
        <v>12.561718040050517</v>
      </c>
      <c r="I218">
        <f t="shared" si="11"/>
        <v>139914.10481081475</v>
      </c>
    </row>
    <row r="219" spans="1:9" ht="18" x14ac:dyDescent="0.2">
      <c r="A219" s="2">
        <v>37676</v>
      </c>
      <c r="B219" s="3">
        <v>0.1</v>
      </c>
      <c r="C219">
        <f t="shared" si="12"/>
        <v>9.662236271742379E-2</v>
      </c>
      <c r="E219" s="18">
        <f t="shared" si="10"/>
        <v>107247.32319643808</v>
      </c>
      <c r="G219" s="30">
        <v>12.1</v>
      </c>
      <c r="H219" s="18">
        <f t="shared" si="13"/>
        <v>12.517744893379039</v>
      </c>
      <c r="I219">
        <f t="shared" si="11"/>
        <v>138653.61738008668</v>
      </c>
    </row>
    <row r="220" spans="1:9" ht="18" x14ac:dyDescent="0.2">
      <c r="A220" s="2">
        <v>37683</v>
      </c>
      <c r="B220" s="3">
        <v>0.1</v>
      </c>
      <c r="C220">
        <f t="shared" si="12"/>
        <v>9.6944042458621524E-2</v>
      </c>
      <c r="E220" s="18">
        <f t="shared" si="10"/>
        <v>107247.32319643808</v>
      </c>
      <c r="G220" s="30">
        <v>11.89</v>
      </c>
      <c r="H220" s="18">
        <f t="shared" si="13"/>
        <v>12.457959665438178</v>
      </c>
      <c r="I220">
        <f t="shared" si="11"/>
        <v>136247.2322850604</v>
      </c>
    </row>
    <row r="221" spans="1:9" ht="18" x14ac:dyDescent="0.2">
      <c r="A221" s="2">
        <v>37690</v>
      </c>
      <c r="B221" s="3">
        <v>0.1</v>
      </c>
      <c r="C221">
        <f t="shared" si="12"/>
        <v>9.7235086033990906E-2</v>
      </c>
      <c r="E221" s="18">
        <f t="shared" ref="E221:E284" si="14">IF(C220&gt;B220,E220*B221/B220,E220)</f>
        <v>107247.32319643808</v>
      </c>
      <c r="G221" s="30">
        <v>11.34</v>
      </c>
      <c r="H221" s="18">
        <f t="shared" si="13"/>
        <v>12.351487316348829</v>
      </c>
      <c r="I221">
        <f t="shared" si="11"/>
        <v>129944.79513142008</v>
      </c>
    </row>
    <row r="222" spans="1:9" ht="18" x14ac:dyDescent="0.2">
      <c r="A222" s="2">
        <v>37697</v>
      </c>
      <c r="B222" s="3">
        <v>0.11</v>
      </c>
      <c r="C222">
        <f t="shared" si="12"/>
        <v>9.8450792125991768E-2</v>
      </c>
      <c r="E222" s="18">
        <f t="shared" si="14"/>
        <v>107247.32319643808</v>
      </c>
      <c r="G222" s="30">
        <v>13.15</v>
      </c>
      <c r="H222" s="18">
        <f t="shared" si="13"/>
        <v>12.427536143363225</v>
      </c>
      <c r="I222">
        <f t="shared" ref="I222:I285" si="15">IF(H221&gt;G221,I221*G222/G221,I221)</f>
        <v>150685.54285521817</v>
      </c>
    </row>
    <row r="223" spans="1:9" ht="18" x14ac:dyDescent="0.2">
      <c r="A223" s="2">
        <v>37704</v>
      </c>
      <c r="B223" s="3">
        <v>0.1</v>
      </c>
      <c r="C223">
        <f t="shared" si="12"/>
        <v>9.8598335733040166E-2</v>
      </c>
      <c r="E223" s="18">
        <f t="shared" si="14"/>
        <v>107247.32319643808</v>
      </c>
      <c r="G223" s="30">
        <v>13.05</v>
      </c>
      <c r="H223" s="18">
        <f t="shared" si="13"/>
        <v>12.486818415423871</v>
      </c>
      <c r="I223">
        <f t="shared" si="15"/>
        <v>150685.54285521817</v>
      </c>
    </row>
    <row r="224" spans="1:9" ht="18" x14ac:dyDescent="0.2">
      <c r="A224" s="2">
        <v>37711</v>
      </c>
      <c r="B224" s="3">
        <v>0.1</v>
      </c>
      <c r="C224">
        <f t="shared" si="12"/>
        <v>9.873182756798872E-2</v>
      </c>
      <c r="E224" s="18">
        <f t="shared" si="14"/>
        <v>107247.32319643808</v>
      </c>
      <c r="G224" s="30">
        <v>13.65</v>
      </c>
      <c r="H224" s="18">
        <f t="shared" si="13"/>
        <v>12.59759761395493</v>
      </c>
      <c r="I224">
        <f t="shared" si="15"/>
        <v>150685.54285521817</v>
      </c>
    </row>
    <row r="225" spans="1:9" ht="18" x14ac:dyDescent="0.2">
      <c r="A225" s="2">
        <v>37718</v>
      </c>
      <c r="B225" s="3">
        <v>0.1</v>
      </c>
      <c r="C225">
        <f t="shared" si="12"/>
        <v>9.8852605894846943E-2</v>
      </c>
      <c r="E225" s="18">
        <f t="shared" si="14"/>
        <v>107247.32319643808</v>
      </c>
      <c r="G225" s="30">
        <v>13.85</v>
      </c>
      <c r="H225" s="18">
        <f t="shared" si="13"/>
        <v>12.716874031673507</v>
      </c>
      <c r="I225">
        <f t="shared" si="15"/>
        <v>150685.54285521817</v>
      </c>
    </row>
    <row r="226" spans="1:9" ht="18" x14ac:dyDescent="0.2">
      <c r="A226" s="2">
        <v>37725</v>
      </c>
      <c r="B226" s="3">
        <v>0.1</v>
      </c>
      <c r="C226">
        <f t="shared" si="12"/>
        <v>9.896188152390914E-2</v>
      </c>
      <c r="E226" s="18">
        <f t="shared" si="14"/>
        <v>107247.32319643808</v>
      </c>
      <c r="G226" s="30">
        <v>14.78</v>
      </c>
      <c r="H226" s="18">
        <f t="shared" si="13"/>
        <v>12.913362219133173</v>
      </c>
      <c r="I226">
        <f t="shared" si="15"/>
        <v>150685.54285521817</v>
      </c>
    </row>
    <row r="227" spans="1:9" ht="18" x14ac:dyDescent="0.2">
      <c r="A227" s="2">
        <v>37732</v>
      </c>
      <c r="B227" s="3">
        <v>0.1</v>
      </c>
      <c r="C227">
        <f t="shared" si="12"/>
        <v>9.9060749950203503E-2</v>
      </c>
      <c r="E227" s="18">
        <f t="shared" si="14"/>
        <v>107247.32319643808</v>
      </c>
      <c r="G227" s="30">
        <v>15.13</v>
      </c>
      <c r="H227" s="18">
        <f t="shared" si="13"/>
        <v>13.124470579215728</v>
      </c>
      <c r="I227">
        <f t="shared" si="15"/>
        <v>150685.54285521817</v>
      </c>
    </row>
    <row r="228" spans="1:9" ht="18" x14ac:dyDescent="0.2">
      <c r="A228" s="2">
        <v>37739</v>
      </c>
      <c r="B228" s="3">
        <v>0.12</v>
      </c>
      <c r="C228">
        <f t="shared" si="12"/>
        <v>0.10105496424066031</v>
      </c>
      <c r="E228" s="18">
        <f t="shared" si="14"/>
        <v>107247.32319643808</v>
      </c>
      <c r="G228" s="30">
        <v>16.16</v>
      </c>
      <c r="H228" s="18">
        <f t="shared" si="13"/>
        <v>13.413568619290421</v>
      </c>
      <c r="I228">
        <f t="shared" si="15"/>
        <v>150685.54285521817</v>
      </c>
    </row>
    <row r="229" spans="1:9" ht="18" x14ac:dyDescent="0.2">
      <c r="A229" s="2">
        <v>37746</v>
      </c>
      <c r="B229" s="3">
        <v>0.16</v>
      </c>
      <c r="C229">
        <f t="shared" si="12"/>
        <v>0.10666877717012123</v>
      </c>
      <c r="E229" s="18">
        <f t="shared" si="14"/>
        <v>107247.32319643808</v>
      </c>
      <c r="G229" s="30">
        <v>16.28</v>
      </c>
      <c r="H229" s="18">
        <f t="shared" si="13"/>
        <v>13.686562084119904</v>
      </c>
      <c r="I229">
        <f t="shared" si="15"/>
        <v>150685.54285521817</v>
      </c>
    </row>
    <row r="230" spans="1:9" ht="18" x14ac:dyDescent="0.2">
      <c r="A230" s="2">
        <v>37753</v>
      </c>
      <c r="B230" s="3">
        <v>0.16</v>
      </c>
      <c r="C230">
        <f t="shared" si="12"/>
        <v>0.1117479412491573</v>
      </c>
      <c r="E230" s="18">
        <f t="shared" si="14"/>
        <v>107247.32319643808</v>
      </c>
      <c r="G230" s="30">
        <v>16.91</v>
      </c>
      <c r="H230" s="18">
        <f t="shared" si="13"/>
        <v>13.993556171346579</v>
      </c>
      <c r="I230">
        <f t="shared" si="15"/>
        <v>150685.54285521817</v>
      </c>
    </row>
    <row r="231" spans="1:9" ht="18" x14ac:dyDescent="0.2">
      <c r="A231" s="2">
        <v>37760</v>
      </c>
      <c r="B231" s="3">
        <v>0.16</v>
      </c>
      <c r="C231">
        <f t="shared" si="12"/>
        <v>0.11634337541590423</v>
      </c>
      <c r="E231" s="18">
        <f t="shared" si="14"/>
        <v>107247.32319643808</v>
      </c>
      <c r="G231" s="30">
        <v>16.72</v>
      </c>
      <c r="H231" s="18">
        <f t="shared" si="13"/>
        <v>14.253217488361191</v>
      </c>
      <c r="I231">
        <f t="shared" si="15"/>
        <v>150685.54285521817</v>
      </c>
    </row>
    <row r="232" spans="1:9" ht="18" x14ac:dyDescent="0.2">
      <c r="A232" s="2">
        <v>37767</v>
      </c>
      <c r="B232" s="3">
        <v>0.2</v>
      </c>
      <c r="C232">
        <f t="shared" si="12"/>
        <v>0.12431067299534192</v>
      </c>
      <c r="E232" s="18">
        <f t="shared" si="14"/>
        <v>107247.32319643808</v>
      </c>
      <c r="G232" s="30">
        <v>17.78</v>
      </c>
      <c r="H232" s="18">
        <f t="shared" si="13"/>
        <v>14.589101537088697</v>
      </c>
      <c r="I232">
        <f t="shared" si="15"/>
        <v>150685.54285521817</v>
      </c>
    </row>
    <row r="233" spans="1:9" ht="18" x14ac:dyDescent="0.2">
      <c r="A233" s="2">
        <v>37774</v>
      </c>
      <c r="B233" s="3">
        <v>0.2</v>
      </c>
      <c r="C233">
        <f t="shared" si="12"/>
        <v>0.13151918032911888</v>
      </c>
      <c r="E233" s="18">
        <f t="shared" si="14"/>
        <v>107247.32319643808</v>
      </c>
      <c r="G233" s="30">
        <v>19.010000000000002</v>
      </c>
      <c r="H233" s="18">
        <f t="shared" si="13"/>
        <v>15.010139485937392</v>
      </c>
      <c r="I233">
        <f t="shared" si="15"/>
        <v>150685.54285521817</v>
      </c>
    </row>
    <row r="234" spans="1:9" ht="18" x14ac:dyDescent="0.2">
      <c r="A234" s="2">
        <v>37781</v>
      </c>
      <c r="B234" s="3">
        <v>0.18</v>
      </c>
      <c r="C234">
        <f t="shared" si="12"/>
        <v>0.13613640125015519</v>
      </c>
      <c r="E234" s="18">
        <f t="shared" si="14"/>
        <v>107247.32319643808</v>
      </c>
      <c r="G234" s="30">
        <v>18.78</v>
      </c>
      <c r="H234" s="18">
        <f t="shared" si="13"/>
        <v>15.369173820610021</v>
      </c>
      <c r="I234">
        <f t="shared" si="15"/>
        <v>150685.54285521817</v>
      </c>
    </row>
    <row r="235" spans="1:9" ht="18" x14ac:dyDescent="0.2">
      <c r="A235" s="2">
        <v>37788</v>
      </c>
      <c r="B235" s="3">
        <v>0.18</v>
      </c>
      <c r="C235">
        <f t="shared" si="12"/>
        <v>0.14031388684537852</v>
      </c>
      <c r="E235" s="18">
        <f t="shared" si="14"/>
        <v>107247.32319643808</v>
      </c>
      <c r="G235" s="30">
        <v>18.829999999999998</v>
      </c>
      <c r="H235" s="18">
        <f t="shared" si="13"/>
        <v>15.698776313885256</v>
      </c>
      <c r="I235">
        <f t="shared" si="15"/>
        <v>150685.54285521817</v>
      </c>
    </row>
    <row r="236" spans="1:9" ht="18" x14ac:dyDescent="0.2">
      <c r="A236" s="2">
        <v>37795</v>
      </c>
      <c r="B236" s="3">
        <v>0.17</v>
      </c>
      <c r="C236">
        <f t="shared" si="12"/>
        <v>0.14314113571724724</v>
      </c>
      <c r="E236" s="18">
        <f t="shared" si="14"/>
        <v>107247.32319643808</v>
      </c>
      <c r="G236" s="30">
        <v>18.350000000000001</v>
      </c>
      <c r="H236" s="18">
        <f t="shared" si="13"/>
        <v>15.951273807800947</v>
      </c>
      <c r="I236">
        <f t="shared" si="15"/>
        <v>150685.54285521817</v>
      </c>
    </row>
    <row r="237" spans="1:9" ht="18" x14ac:dyDescent="0.2">
      <c r="A237" s="2">
        <v>37802</v>
      </c>
      <c r="B237" s="3">
        <v>0.18</v>
      </c>
      <c r="C237">
        <f t="shared" si="12"/>
        <v>0.14665150374417607</v>
      </c>
      <c r="E237" s="18">
        <f t="shared" si="14"/>
        <v>107247.32319643808</v>
      </c>
      <c r="G237" s="30">
        <v>18.47</v>
      </c>
      <c r="H237" s="18">
        <f t="shared" si="13"/>
        <v>16.191152492772286</v>
      </c>
      <c r="I237">
        <f t="shared" si="15"/>
        <v>150685.54285521817</v>
      </c>
    </row>
    <row r="238" spans="1:9" ht="18" x14ac:dyDescent="0.2">
      <c r="A238" s="2">
        <v>37809</v>
      </c>
      <c r="B238" s="3">
        <v>0.19</v>
      </c>
      <c r="C238">
        <f t="shared" si="12"/>
        <v>0.15077993195901646</v>
      </c>
      <c r="E238" s="18">
        <f t="shared" si="14"/>
        <v>107247.32319643808</v>
      </c>
      <c r="G238" s="30">
        <v>19.55</v>
      </c>
      <c r="H238" s="18">
        <f t="shared" si="13"/>
        <v>16.511042731555879</v>
      </c>
      <c r="I238">
        <f t="shared" si="15"/>
        <v>150685.54285521817</v>
      </c>
    </row>
    <row r="239" spans="1:9" ht="18" x14ac:dyDescent="0.2">
      <c r="A239" s="2">
        <v>37816</v>
      </c>
      <c r="B239" s="3">
        <v>0.16</v>
      </c>
      <c r="C239">
        <f t="shared" si="12"/>
        <v>0.15165803367720537</v>
      </c>
      <c r="E239" s="18">
        <f t="shared" si="14"/>
        <v>107247.32319643808</v>
      </c>
      <c r="G239" s="30">
        <v>19.309999999999999</v>
      </c>
      <c r="H239" s="18">
        <f t="shared" si="13"/>
        <v>16.777610090455319</v>
      </c>
      <c r="I239">
        <f t="shared" si="15"/>
        <v>150685.54285521817</v>
      </c>
    </row>
    <row r="240" spans="1:9" ht="18" x14ac:dyDescent="0.2">
      <c r="A240" s="2">
        <v>37823</v>
      </c>
      <c r="B240" s="3">
        <v>0.16</v>
      </c>
      <c r="C240">
        <f t="shared" si="12"/>
        <v>0.15245250666032867</v>
      </c>
      <c r="E240" s="18">
        <f t="shared" si="14"/>
        <v>107247.32319643808</v>
      </c>
      <c r="G240" s="30">
        <v>19.39</v>
      </c>
      <c r="H240" s="18">
        <f t="shared" si="13"/>
        <v>17.026409129459573</v>
      </c>
      <c r="I240">
        <f t="shared" si="15"/>
        <v>150685.54285521817</v>
      </c>
    </row>
    <row r="241" spans="1:9" ht="18" x14ac:dyDescent="0.2">
      <c r="A241" s="2">
        <v>37830</v>
      </c>
      <c r="B241" s="3">
        <v>0.15</v>
      </c>
      <c r="C241">
        <f t="shared" si="12"/>
        <v>0.15221893459744024</v>
      </c>
      <c r="E241" s="18">
        <f t="shared" si="14"/>
        <v>107247.32319643808</v>
      </c>
      <c r="G241" s="30">
        <v>18.23</v>
      </c>
      <c r="H241" s="18">
        <f t="shared" si="13"/>
        <v>17.141036831415803</v>
      </c>
      <c r="I241">
        <f t="shared" si="15"/>
        <v>150685.54285521817</v>
      </c>
    </row>
    <row r="242" spans="1:9" ht="18" x14ac:dyDescent="0.2">
      <c r="A242" s="2">
        <v>37837</v>
      </c>
      <c r="B242" s="3">
        <v>0.12</v>
      </c>
      <c r="C242">
        <f t="shared" si="12"/>
        <v>0.14915046463577927</v>
      </c>
      <c r="E242" s="18">
        <f t="shared" si="14"/>
        <v>85797.858557150466</v>
      </c>
      <c r="G242" s="30">
        <v>18.03</v>
      </c>
      <c r="H242" s="18">
        <f t="shared" si="13"/>
        <v>17.225699990328586</v>
      </c>
      <c r="I242">
        <f t="shared" si="15"/>
        <v>150685.54285521817</v>
      </c>
    </row>
    <row r="243" spans="1:9" ht="18" x14ac:dyDescent="0.2">
      <c r="A243" s="2">
        <v>37844</v>
      </c>
      <c r="B243" s="3">
        <v>0.12</v>
      </c>
      <c r="C243">
        <f t="shared" si="12"/>
        <v>0.14637422990856219</v>
      </c>
      <c r="E243" s="18">
        <f t="shared" si="14"/>
        <v>85797.858557150466</v>
      </c>
      <c r="G243" s="30">
        <v>18.399999999999999</v>
      </c>
      <c r="H243" s="18">
        <f t="shared" si="13"/>
        <v>17.337538086487768</v>
      </c>
      <c r="I243">
        <f t="shared" si="15"/>
        <v>150685.54285521817</v>
      </c>
    </row>
    <row r="244" spans="1:9" ht="18" x14ac:dyDescent="0.2">
      <c r="A244" s="2">
        <v>37851</v>
      </c>
      <c r="B244" s="3">
        <v>0.14000000000000001</v>
      </c>
      <c r="C244">
        <f t="shared" si="12"/>
        <v>0.14576716039346102</v>
      </c>
      <c r="E244" s="18">
        <f t="shared" si="14"/>
        <v>100097.5016500089</v>
      </c>
      <c r="G244" s="30">
        <v>18.54</v>
      </c>
      <c r="H244" s="18">
        <f t="shared" si="13"/>
        <v>17.452058268727029</v>
      </c>
      <c r="I244">
        <f t="shared" si="15"/>
        <v>150685.54285521817</v>
      </c>
    </row>
    <row r="245" spans="1:9" ht="18" x14ac:dyDescent="0.2">
      <c r="A245" s="2">
        <v>37858</v>
      </c>
      <c r="B245" s="3">
        <v>0.14000000000000001</v>
      </c>
      <c r="C245">
        <f t="shared" si="12"/>
        <v>0.14521790702265522</v>
      </c>
      <c r="E245" s="18">
        <f t="shared" si="14"/>
        <v>100097.5016500089</v>
      </c>
      <c r="G245" s="30">
        <v>18.7</v>
      </c>
      <c r="H245" s="18">
        <f t="shared" si="13"/>
        <v>17.570909862181598</v>
      </c>
      <c r="I245">
        <f t="shared" si="15"/>
        <v>150685.54285521817</v>
      </c>
    </row>
    <row r="246" spans="1:9" ht="18" x14ac:dyDescent="0.2">
      <c r="A246" s="2">
        <v>37865</v>
      </c>
      <c r="B246" s="3">
        <v>0.14000000000000001</v>
      </c>
      <c r="C246">
        <f t="shared" si="12"/>
        <v>0.14472096349668806</v>
      </c>
      <c r="E246" s="18">
        <f t="shared" si="14"/>
        <v>100097.5016500089</v>
      </c>
      <c r="G246" s="30">
        <v>18.690000000000001</v>
      </c>
      <c r="H246" s="18">
        <f t="shared" si="13"/>
        <v>17.67748987530716</v>
      </c>
      <c r="I246">
        <f t="shared" si="15"/>
        <v>150685.54285521817</v>
      </c>
    </row>
    <row r="247" spans="1:9" ht="18" x14ac:dyDescent="0.2">
      <c r="A247" s="2">
        <v>37872</v>
      </c>
      <c r="B247" s="3">
        <v>0.15</v>
      </c>
      <c r="C247">
        <f t="shared" si="12"/>
        <v>0.14522372887795587</v>
      </c>
      <c r="E247" s="18">
        <f t="shared" si="14"/>
        <v>107247.32319643808</v>
      </c>
      <c r="G247" s="30">
        <v>18.579999999999998</v>
      </c>
      <c r="H247" s="18">
        <f t="shared" si="13"/>
        <v>17.763443220516002</v>
      </c>
      <c r="I247">
        <f t="shared" si="15"/>
        <v>150685.54285521817</v>
      </c>
    </row>
    <row r="248" spans="1:9" ht="18" x14ac:dyDescent="0.2">
      <c r="A248" s="2">
        <v>37879</v>
      </c>
      <c r="B248" s="3">
        <v>0.15</v>
      </c>
      <c r="C248">
        <f t="shared" si="12"/>
        <v>0.14567861184196007</v>
      </c>
      <c r="E248" s="18">
        <f t="shared" si="14"/>
        <v>107247.32319643808</v>
      </c>
      <c r="G248" s="30">
        <v>19.399999999999999</v>
      </c>
      <c r="H248" s="18">
        <f t="shared" si="13"/>
        <v>17.919305770943051</v>
      </c>
      <c r="I248">
        <f t="shared" si="15"/>
        <v>150685.54285521817</v>
      </c>
    </row>
    <row r="249" spans="1:9" ht="18" x14ac:dyDescent="0.2">
      <c r="A249" s="2">
        <v>37886</v>
      </c>
      <c r="B249" s="3">
        <v>0.13</v>
      </c>
      <c r="C249">
        <f t="shared" si="12"/>
        <v>0.14418541071415436</v>
      </c>
      <c r="E249" s="18">
        <f t="shared" si="14"/>
        <v>107247.32319643808</v>
      </c>
      <c r="G249" s="30">
        <v>18.690000000000001</v>
      </c>
      <c r="H249" s="18">
        <f t="shared" si="13"/>
        <v>17.992705221329427</v>
      </c>
      <c r="I249">
        <f t="shared" si="15"/>
        <v>150685.54285521817</v>
      </c>
    </row>
    <row r="250" spans="1:9" ht="18" x14ac:dyDescent="0.2">
      <c r="A250" s="2">
        <v>37893</v>
      </c>
      <c r="B250" s="3">
        <v>0.13</v>
      </c>
      <c r="C250">
        <f t="shared" si="12"/>
        <v>0.14283441921756823</v>
      </c>
      <c r="E250" s="18">
        <f t="shared" si="14"/>
        <v>107247.32319643808</v>
      </c>
      <c r="G250" s="30">
        <v>19.22</v>
      </c>
      <c r="H250" s="18">
        <f t="shared" si="13"/>
        <v>18.109590438345673</v>
      </c>
      <c r="I250">
        <f t="shared" si="15"/>
        <v>150685.54285521817</v>
      </c>
    </row>
    <row r="251" spans="1:9" ht="18" x14ac:dyDescent="0.2">
      <c r="A251" s="2">
        <v>37900</v>
      </c>
      <c r="B251" s="3">
        <v>0.13</v>
      </c>
      <c r="C251">
        <f t="shared" si="12"/>
        <v>0.14161209357779983</v>
      </c>
      <c r="E251" s="18">
        <f t="shared" si="14"/>
        <v>107247.32319643808</v>
      </c>
      <c r="G251" s="30">
        <v>19.600000000000001</v>
      </c>
      <c r="H251" s="18">
        <f t="shared" si="13"/>
        <v>18.251534206122276</v>
      </c>
      <c r="I251">
        <f t="shared" si="15"/>
        <v>150685.54285521817</v>
      </c>
    </row>
    <row r="252" spans="1:9" ht="18" x14ac:dyDescent="0.2">
      <c r="A252" s="2">
        <v>37907</v>
      </c>
      <c r="B252" s="3">
        <v>0.13</v>
      </c>
      <c r="C252">
        <f t="shared" si="12"/>
        <v>0.14050617990372366</v>
      </c>
      <c r="E252" s="18">
        <f t="shared" si="14"/>
        <v>107247.32319643808</v>
      </c>
      <c r="G252" s="30">
        <v>20.059999999999999</v>
      </c>
      <c r="H252" s="18">
        <f t="shared" si="13"/>
        <v>18.42376904363444</v>
      </c>
      <c r="I252">
        <f t="shared" si="15"/>
        <v>150685.54285521817</v>
      </c>
    </row>
    <row r="253" spans="1:9" ht="18" x14ac:dyDescent="0.2">
      <c r="A253" s="2">
        <v>37914</v>
      </c>
      <c r="B253" s="3">
        <v>0.13</v>
      </c>
      <c r="C253">
        <f t="shared" si="12"/>
        <v>0.13950559134146426</v>
      </c>
      <c r="E253" s="18">
        <f t="shared" si="14"/>
        <v>107247.32319643808</v>
      </c>
      <c r="G253" s="30">
        <v>19.190000000000001</v>
      </c>
      <c r="H253" s="18">
        <f t="shared" si="13"/>
        <v>18.496743420431159</v>
      </c>
      <c r="I253">
        <f t="shared" si="15"/>
        <v>150685.54285521817</v>
      </c>
    </row>
    <row r="254" spans="1:9" ht="18" x14ac:dyDescent="0.2">
      <c r="A254" s="2">
        <v>37921</v>
      </c>
      <c r="B254" s="3">
        <v>0.14000000000000001</v>
      </c>
      <c r="C254">
        <f t="shared" si="12"/>
        <v>0.13955267788037243</v>
      </c>
      <c r="E254" s="18">
        <f t="shared" si="14"/>
        <v>115497.1172884718</v>
      </c>
      <c r="G254" s="30">
        <v>19.809999999999999</v>
      </c>
      <c r="H254" s="18">
        <f t="shared" si="13"/>
        <v>18.621815475628193</v>
      </c>
      <c r="I254">
        <f t="shared" si="15"/>
        <v>150685.54285521817</v>
      </c>
    </row>
    <row r="255" spans="1:9" ht="18" x14ac:dyDescent="0.2">
      <c r="A255" s="2">
        <v>37928</v>
      </c>
      <c r="B255" s="3">
        <v>0.17</v>
      </c>
      <c r="C255">
        <f t="shared" si="12"/>
        <v>0.14245242284414647</v>
      </c>
      <c r="E255" s="18">
        <f t="shared" si="14"/>
        <v>115497.1172884718</v>
      </c>
      <c r="G255" s="30">
        <v>19.89</v>
      </c>
      <c r="H255" s="18">
        <f t="shared" si="13"/>
        <v>18.742594954139793</v>
      </c>
      <c r="I255">
        <f t="shared" si="15"/>
        <v>150685.54285521817</v>
      </c>
    </row>
    <row r="256" spans="1:9" ht="18" x14ac:dyDescent="0.2">
      <c r="A256" s="2">
        <v>37935</v>
      </c>
      <c r="B256" s="3">
        <v>0.15</v>
      </c>
      <c r="C256">
        <f t="shared" si="12"/>
        <v>0.14317123971613252</v>
      </c>
      <c r="E256" s="18">
        <f t="shared" si="14"/>
        <v>115497.1172884718</v>
      </c>
      <c r="G256" s="30">
        <v>19.57</v>
      </c>
      <c r="H256" s="18">
        <f t="shared" si="13"/>
        <v>18.821395434697909</v>
      </c>
      <c r="I256">
        <f t="shared" si="15"/>
        <v>150685.54285521817</v>
      </c>
    </row>
    <row r="257" spans="1:9" ht="18" x14ac:dyDescent="0.2">
      <c r="A257" s="2">
        <v>37942</v>
      </c>
      <c r="B257" s="3">
        <v>0.15</v>
      </c>
      <c r="C257">
        <f t="shared" si="12"/>
        <v>0.14382159783840562</v>
      </c>
      <c r="E257" s="18">
        <f t="shared" si="14"/>
        <v>115497.1172884718</v>
      </c>
      <c r="G257" s="30">
        <v>19.32</v>
      </c>
      <c r="H257" s="18">
        <f t="shared" si="13"/>
        <v>18.8688815837743</v>
      </c>
      <c r="I257">
        <f t="shared" si="15"/>
        <v>150685.54285521817</v>
      </c>
    </row>
    <row r="258" spans="1:9" ht="18" x14ac:dyDescent="0.2">
      <c r="A258" s="2">
        <v>37949</v>
      </c>
      <c r="B258" s="3">
        <v>0.16</v>
      </c>
      <c r="C258">
        <f t="shared" si="12"/>
        <v>0.14536239804427176</v>
      </c>
      <c r="E258" s="18">
        <f t="shared" si="14"/>
        <v>115497.1172884718</v>
      </c>
      <c r="G258" s="30">
        <v>19.54</v>
      </c>
      <c r="H258" s="18">
        <f t="shared" si="13"/>
        <v>18.932797623414842</v>
      </c>
      <c r="I258">
        <f t="shared" si="15"/>
        <v>150685.54285521817</v>
      </c>
    </row>
    <row r="259" spans="1:9" ht="18" x14ac:dyDescent="0.2">
      <c r="A259" s="2">
        <v>37956</v>
      </c>
      <c r="B259" s="3">
        <v>0.16</v>
      </c>
      <c r="C259">
        <f t="shared" si="12"/>
        <v>0.14675645537338874</v>
      </c>
      <c r="E259" s="18">
        <f t="shared" si="14"/>
        <v>115497.1172884718</v>
      </c>
      <c r="G259" s="30">
        <v>19.29</v>
      </c>
      <c r="H259" s="18">
        <f t="shared" si="13"/>
        <v>18.966816897375335</v>
      </c>
      <c r="I259">
        <f t="shared" si="15"/>
        <v>150685.54285521817</v>
      </c>
    </row>
    <row r="260" spans="1:9" ht="18" x14ac:dyDescent="0.2">
      <c r="A260" s="2">
        <v>37963</v>
      </c>
      <c r="B260" s="3">
        <v>0.16</v>
      </c>
      <c r="C260">
        <f t="shared" si="12"/>
        <v>0.14801774533782791</v>
      </c>
      <c r="E260" s="18">
        <f t="shared" si="14"/>
        <v>115497.1172884718</v>
      </c>
      <c r="G260" s="30">
        <v>19.37</v>
      </c>
      <c r="H260" s="18">
        <f t="shared" si="13"/>
        <v>19.005215288101493</v>
      </c>
      <c r="I260">
        <f t="shared" si="15"/>
        <v>150685.54285521817</v>
      </c>
    </row>
    <row r="261" spans="1:9" ht="18" x14ac:dyDescent="0.2">
      <c r="A261" s="2">
        <v>37970</v>
      </c>
      <c r="B261" s="3">
        <v>0.16</v>
      </c>
      <c r="C261">
        <f t="shared" si="12"/>
        <v>0.14915891244851096</v>
      </c>
      <c r="E261" s="18">
        <f t="shared" si="14"/>
        <v>115497.1172884718</v>
      </c>
      <c r="G261" s="30">
        <v>19.75</v>
      </c>
      <c r="H261" s="18">
        <f t="shared" si="13"/>
        <v>19.076147165425159</v>
      </c>
      <c r="I261">
        <f t="shared" si="15"/>
        <v>150685.54285521817</v>
      </c>
    </row>
    <row r="262" spans="1:9" ht="18" x14ac:dyDescent="0.2">
      <c r="A262" s="2">
        <v>37977</v>
      </c>
      <c r="B262" s="3">
        <v>0.17</v>
      </c>
      <c r="C262">
        <f t="shared" si="12"/>
        <v>0.15114377792960515</v>
      </c>
      <c r="E262" s="18">
        <f t="shared" si="14"/>
        <v>115497.1172884718</v>
      </c>
      <c r="G262" s="30">
        <v>19.989999999999998</v>
      </c>
      <c r="H262" s="18">
        <f t="shared" si="13"/>
        <v>19.163180768718</v>
      </c>
      <c r="I262">
        <f t="shared" si="15"/>
        <v>150685.54285521817</v>
      </c>
    </row>
    <row r="263" spans="1:9" ht="18" x14ac:dyDescent="0.2">
      <c r="A263" s="2">
        <v>37984</v>
      </c>
      <c r="B263" s="3">
        <v>0.18</v>
      </c>
      <c r="C263">
        <f t="shared" si="12"/>
        <v>0.15389198955535704</v>
      </c>
      <c r="E263" s="18">
        <f t="shared" si="14"/>
        <v>115497.1172884718</v>
      </c>
      <c r="G263" s="30">
        <v>20.21</v>
      </c>
      <c r="H263" s="18">
        <f t="shared" si="13"/>
        <v>19.262877838363906</v>
      </c>
      <c r="I263">
        <f t="shared" si="15"/>
        <v>150685.54285521817</v>
      </c>
    </row>
    <row r="264" spans="1:9" ht="18" x14ac:dyDescent="0.2">
      <c r="A264" s="2">
        <v>37991</v>
      </c>
      <c r="B264" s="3">
        <v>0.19</v>
      </c>
      <c r="C264">
        <f t="shared" si="12"/>
        <v>0.15733084769294209</v>
      </c>
      <c r="E264" s="18">
        <f t="shared" si="14"/>
        <v>115497.1172884718</v>
      </c>
      <c r="G264" s="30">
        <v>21.59</v>
      </c>
      <c r="H264" s="18">
        <f t="shared" si="13"/>
        <v>19.484508520424487</v>
      </c>
      <c r="I264">
        <f t="shared" si="15"/>
        <v>150685.54285521817</v>
      </c>
    </row>
    <row r="265" spans="1:9" ht="18" x14ac:dyDescent="0.2">
      <c r="A265" s="2">
        <v>37998</v>
      </c>
      <c r="B265" s="3">
        <v>0.19</v>
      </c>
      <c r="C265">
        <f t="shared" si="12"/>
        <v>0.16044219553170952</v>
      </c>
      <c r="E265" s="18">
        <f t="shared" si="14"/>
        <v>115497.1172884718</v>
      </c>
      <c r="G265" s="30">
        <v>21.88</v>
      </c>
      <c r="H265" s="18">
        <f t="shared" si="13"/>
        <v>19.712650566098347</v>
      </c>
      <c r="I265">
        <f t="shared" si="15"/>
        <v>150685.54285521817</v>
      </c>
    </row>
    <row r="266" spans="1:9" ht="18" x14ac:dyDescent="0.2">
      <c r="A266" s="2">
        <v>38005</v>
      </c>
      <c r="B266" s="3">
        <v>0.18</v>
      </c>
      <c r="C266">
        <f t="shared" si="12"/>
        <v>0.16230484357630862</v>
      </c>
      <c r="E266" s="18">
        <f t="shared" si="14"/>
        <v>115497.1172884718</v>
      </c>
      <c r="G266" s="3">
        <v>22.06</v>
      </c>
      <c r="H266" s="18">
        <f t="shared" si="13"/>
        <v>19.936207655041361</v>
      </c>
      <c r="I266">
        <f t="shared" si="15"/>
        <v>150685.54285521817</v>
      </c>
    </row>
    <row r="267" spans="1:9" ht="18" x14ac:dyDescent="0.2">
      <c r="A267" s="2">
        <v>38012</v>
      </c>
      <c r="B267" s="3">
        <v>0.17</v>
      </c>
      <c r="C267">
        <f t="shared" si="12"/>
        <v>0.16303771561666017</v>
      </c>
      <c r="E267" s="18">
        <f t="shared" si="14"/>
        <v>115497.1172884718</v>
      </c>
      <c r="G267" s="3">
        <v>21.66</v>
      </c>
      <c r="H267" s="18">
        <f t="shared" si="13"/>
        <v>20.100378354561233</v>
      </c>
      <c r="I267">
        <f t="shared" si="15"/>
        <v>150685.54285521817</v>
      </c>
    </row>
    <row r="268" spans="1:9" ht="18" x14ac:dyDescent="0.2">
      <c r="A268" s="2">
        <v>38019</v>
      </c>
      <c r="B268" s="3">
        <v>0.17</v>
      </c>
      <c r="C268">
        <f t="shared" si="12"/>
        <v>0.16370079031983539</v>
      </c>
      <c r="E268" s="18">
        <f t="shared" si="14"/>
        <v>115497.1172884718</v>
      </c>
      <c r="G268" s="3">
        <v>22.13</v>
      </c>
      <c r="H268" s="18">
        <f t="shared" si="13"/>
        <v>20.293675654126829</v>
      </c>
      <c r="I268">
        <f t="shared" si="15"/>
        <v>150685.54285521817</v>
      </c>
    </row>
    <row r="269" spans="1:9" ht="18" x14ac:dyDescent="0.2">
      <c r="A269" s="2">
        <v>38026</v>
      </c>
      <c r="B269" s="3">
        <v>0.18</v>
      </c>
      <c r="C269">
        <f t="shared" si="12"/>
        <v>0.16525309600366059</v>
      </c>
      <c r="E269" s="18">
        <f t="shared" si="14"/>
        <v>115497.1172884718</v>
      </c>
      <c r="G269" s="3">
        <v>22.37</v>
      </c>
      <c r="H269" s="18">
        <f t="shared" si="13"/>
        <v>20.491420829924273</v>
      </c>
      <c r="I269">
        <f t="shared" si="15"/>
        <v>150685.54285521817</v>
      </c>
    </row>
    <row r="270" spans="1:9" ht="18" x14ac:dyDescent="0.2">
      <c r="A270" s="2">
        <v>38033</v>
      </c>
      <c r="B270" s="3">
        <v>0.18</v>
      </c>
      <c r="C270">
        <f t="shared" si="12"/>
        <v>0.16665756305093102</v>
      </c>
      <c r="E270" s="18">
        <f t="shared" si="14"/>
        <v>115497.1172884718</v>
      </c>
      <c r="G270" s="3">
        <v>22.6</v>
      </c>
      <c r="H270" s="18">
        <f t="shared" si="13"/>
        <v>20.692237893741009</v>
      </c>
      <c r="I270">
        <f t="shared" si="15"/>
        <v>150685.54285521817</v>
      </c>
    </row>
    <row r="271" spans="1:9" ht="18" x14ac:dyDescent="0.2">
      <c r="A271" s="2">
        <v>38040</v>
      </c>
      <c r="B271" s="3">
        <v>0.17</v>
      </c>
      <c r="C271">
        <f t="shared" si="12"/>
        <v>0.16697589037941377</v>
      </c>
      <c r="E271" s="18">
        <f t="shared" si="14"/>
        <v>115497.1172884718</v>
      </c>
      <c r="G271" s="3">
        <v>22.85</v>
      </c>
      <c r="H271" s="18">
        <f t="shared" si="13"/>
        <v>20.897739046718055</v>
      </c>
      <c r="I271">
        <f t="shared" si="15"/>
        <v>150685.54285521817</v>
      </c>
    </row>
    <row r="272" spans="1:9" ht="18" x14ac:dyDescent="0.2">
      <c r="A272" s="2">
        <v>38047</v>
      </c>
      <c r="B272" s="3">
        <v>0.17</v>
      </c>
      <c r="C272">
        <f t="shared" si="12"/>
        <v>0.1672639008194696</v>
      </c>
      <c r="E272" s="18">
        <f t="shared" si="14"/>
        <v>115497.1172884718</v>
      </c>
      <c r="G272" s="3">
        <v>23.96</v>
      </c>
      <c r="H272" s="18">
        <f t="shared" si="13"/>
        <v>21.189382947030619</v>
      </c>
      <c r="I272">
        <f t="shared" si="15"/>
        <v>150685.54285521817</v>
      </c>
    </row>
    <row r="273" spans="1:9" ht="18" x14ac:dyDescent="0.2">
      <c r="A273" s="2">
        <v>38054</v>
      </c>
      <c r="B273" s="3">
        <v>0.16</v>
      </c>
      <c r="C273">
        <f t="shared" si="12"/>
        <v>0.16657210074142487</v>
      </c>
      <c r="E273" s="18">
        <f t="shared" si="14"/>
        <v>115497.1172884718</v>
      </c>
      <c r="G273" s="3">
        <v>23.13</v>
      </c>
      <c r="H273" s="18">
        <f t="shared" si="13"/>
        <v>21.374203618741991</v>
      </c>
      <c r="I273">
        <f t="shared" si="15"/>
        <v>150685.54285521817</v>
      </c>
    </row>
    <row r="274" spans="1:9" ht="18" x14ac:dyDescent="0.2">
      <c r="A274" s="2">
        <v>38061</v>
      </c>
      <c r="B274" s="3">
        <v>0.17</v>
      </c>
      <c r="C274">
        <f t="shared" si="12"/>
        <v>0.16689856733747965</v>
      </c>
      <c r="E274" s="18">
        <f t="shared" si="14"/>
        <v>122715.68711900129</v>
      </c>
      <c r="G274" s="3">
        <v>23.02</v>
      </c>
      <c r="H274" s="18">
        <f t="shared" si="13"/>
        <v>21.530946131242754</v>
      </c>
      <c r="I274">
        <f t="shared" si="15"/>
        <v>150685.54285521817</v>
      </c>
    </row>
    <row r="275" spans="1:9" ht="18" x14ac:dyDescent="0.2">
      <c r="A275" s="2">
        <v>38068</v>
      </c>
      <c r="B275" s="3">
        <v>0.19</v>
      </c>
      <c r="C275">
        <f t="shared" si="12"/>
        <v>0.16909870378152922</v>
      </c>
      <c r="E275" s="18">
        <f t="shared" si="14"/>
        <v>122715.68711900129</v>
      </c>
      <c r="G275" s="3">
        <v>22.98</v>
      </c>
      <c r="H275" s="18">
        <f t="shared" si="13"/>
        <v>21.668951261600586</v>
      </c>
      <c r="I275">
        <f t="shared" si="15"/>
        <v>150685.54285521817</v>
      </c>
    </row>
    <row r="276" spans="1:9" ht="18" x14ac:dyDescent="0.2">
      <c r="A276" s="2">
        <v>38075</v>
      </c>
      <c r="B276" s="3">
        <v>0.2</v>
      </c>
      <c r="C276">
        <f t="shared" si="12"/>
        <v>0.17204168437376452</v>
      </c>
      <c r="E276" s="18">
        <f t="shared" si="14"/>
        <v>122715.68711900129</v>
      </c>
      <c r="G276" s="3">
        <v>23.13</v>
      </c>
      <c r="H276" s="18">
        <f t="shared" si="13"/>
        <v>21.808098760495767</v>
      </c>
      <c r="I276">
        <f t="shared" si="15"/>
        <v>150685.54285521817</v>
      </c>
    </row>
    <row r="277" spans="1:9" ht="18" x14ac:dyDescent="0.2">
      <c r="A277" s="2">
        <v>38082</v>
      </c>
      <c r="B277" s="3">
        <v>0.2</v>
      </c>
      <c r="C277">
        <f t="shared" si="12"/>
        <v>0.17470438110007266</v>
      </c>
      <c r="E277" s="18">
        <f t="shared" si="14"/>
        <v>122715.68711900129</v>
      </c>
      <c r="G277" s="3">
        <v>23.11</v>
      </c>
      <c r="H277" s="18">
        <f t="shared" si="13"/>
        <v>21.932089354734266</v>
      </c>
      <c r="I277">
        <f t="shared" si="15"/>
        <v>150685.54285521817</v>
      </c>
    </row>
    <row r="278" spans="1:9" ht="18" x14ac:dyDescent="0.2">
      <c r="A278" s="2">
        <v>38089</v>
      </c>
      <c r="B278" s="3">
        <v>0.18</v>
      </c>
      <c r="C278">
        <f t="shared" si="12"/>
        <v>0.17520872575720861</v>
      </c>
      <c r="E278" s="18">
        <f t="shared" si="14"/>
        <v>122715.68711900129</v>
      </c>
      <c r="G278" s="3">
        <v>22.05</v>
      </c>
      <c r="H278" s="18">
        <f t="shared" si="13"/>
        <v>21.94331893999767</v>
      </c>
      <c r="I278">
        <f t="shared" si="15"/>
        <v>150685.54285521817</v>
      </c>
    </row>
    <row r="279" spans="1:9" ht="18" x14ac:dyDescent="0.2">
      <c r="A279" s="2">
        <v>38096</v>
      </c>
      <c r="B279" s="3">
        <v>0.18</v>
      </c>
      <c r="C279">
        <f t="shared" si="12"/>
        <v>0.17566503758985541</v>
      </c>
      <c r="E279" s="18">
        <f t="shared" si="14"/>
        <v>122715.68711900129</v>
      </c>
      <c r="G279" s="3">
        <v>21.51</v>
      </c>
      <c r="H279" s="18">
        <f t="shared" si="13"/>
        <v>21.902050469521701</v>
      </c>
      <c r="I279">
        <f t="shared" si="15"/>
        <v>150685.54285521817</v>
      </c>
    </row>
    <row r="280" spans="1:9" ht="18" x14ac:dyDescent="0.2">
      <c r="A280" s="2">
        <v>38103</v>
      </c>
      <c r="B280" s="3">
        <v>0.16</v>
      </c>
      <c r="C280">
        <f t="shared" si="12"/>
        <v>0.17417312924796441</v>
      </c>
      <c r="E280" s="18">
        <f t="shared" si="14"/>
        <v>122715.68711900129</v>
      </c>
      <c r="G280" s="3">
        <v>21.12</v>
      </c>
      <c r="H280" s="18">
        <f t="shared" si="13"/>
        <v>21.827569472424397</v>
      </c>
      <c r="I280">
        <f t="shared" si="15"/>
        <v>147953.44793594643</v>
      </c>
    </row>
    <row r="281" spans="1:9" ht="18" x14ac:dyDescent="0.2">
      <c r="A281" s="2">
        <v>38110</v>
      </c>
      <c r="B281" s="3">
        <v>0.17</v>
      </c>
      <c r="C281">
        <f t="shared" ref="C281:C344" si="16">(B281-C280)*$D$4+C280</f>
        <v>0.17377568836720589</v>
      </c>
      <c r="E281" s="18">
        <f t="shared" si="14"/>
        <v>130385.41756393888</v>
      </c>
      <c r="G281" s="3">
        <v>20.49</v>
      </c>
      <c r="H281" s="18">
        <f t="shared" si="13"/>
        <v>21.700181903622074</v>
      </c>
      <c r="I281">
        <f t="shared" si="15"/>
        <v>143540.06383558435</v>
      </c>
    </row>
    <row r="282" spans="1:9" ht="18" x14ac:dyDescent="0.2">
      <c r="A282" s="2">
        <v>38117</v>
      </c>
      <c r="B282" s="3">
        <v>0.16</v>
      </c>
      <c r="C282">
        <f t="shared" si="16"/>
        <v>0.17246371804651961</v>
      </c>
      <c r="E282" s="18">
        <f t="shared" si="14"/>
        <v>122715.68711900129</v>
      </c>
      <c r="G282" s="3">
        <v>20.03</v>
      </c>
      <c r="H282" s="18">
        <f t="shared" ref="H282:H345" si="17">(G282-H281)*$D$4+H281</f>
        <v>21.54111696041997</v>
      </c>
      <c r="I282">
        <f t="shared" si="15"/>
        <v>140317.59290516129</v>
      </c>
    </row>
    <row r="283" spans="1:9" ht="18" x14ac:dyDescent="0.2">
      <c r="A283" s="2">
        <v>38124</v>
      </c>
      <c r="B283" s="3">
        <v>0.16</v>
      </c>
      <c r="C283">
        <f t="shared" si="16"/>
        <v>0.17127669728018441</v>
      </c>
      <c r="E283" s="18">
        <f t="shared" si="14"/>
        <v>122715.68711900129</v>
      </c>
      <c r="G283" s="3">
        <v>20.260000000000002</v>
      </c>
      <c r="H283" s="18">
        <f t="shared" si="17"/>
        <v>21.419105821332355</v>
      </c>
      <c r="I283">
        <f t="shared" si="15"/>
        <v>141928.82837037282</v>
      </c>
    </row>
    <row r="284" spans="1:9" ht="18" x14ac:dyDescent="0.2">
      <c r="A284" s="2">
        <v>38131</v>
      </c>
      <c r="B284" s="3">
        <v>0.18</v>
      </c>
      <c r="C284">
        <f t="shared" si="16"/>
        <v>0.17210748801540493</v>
      </c>
      <c r="E284" s="18">
        <f t="shared" si="14"/>
        <v>138055.14800887645</v>
      </c>
      <c r="G284" s="3">
        <v>20.69</v>
      </c>
      <c r="H284" s="18">
        <f t="shared" si="17"/>
        <v>21.349667171681656</v>
      </c>
      <c r="I284">
        <f t="shared" si="15"/>
        <v>144941.13815315961</v>
      </c>
    </row>
    <row r="285" spans="1:9" ht="18" x14ac:dyDescent="0.2">
      <c r="A285" s="2">
        <v>38138</v>
      </c>
      <c r="B285" s="3">
        <v>0.17</v>
      </c>
      <c r="C285">
        <f t="shared" si="16"/>
        <v>0.17190677487108066</v>
      </c>
      <c r="E285" s="18">
        <f t="shared" ref="E285:E348" si="18">IF(C284&gt;B284,E284*B285/B284,E284)</f>
        <v>138055.14800887645</v>
      </c>
      <c r="G285" s="3">
        <v>20.94</v>
      </c>
      <c r="H285" s="18">
        <f t="shared" si="17"/>
        <v>21.310651250569116</v>
      </c>
      <c r="I285">
        <f t="shared" si="15"/>
        <v>146692.48105012867</v>
      </c>
    </row>
    <row r="286" spans="1:9" ht="18" x14ac:dyDescent="0.2">
      <c r="A286" s="2">
        <v>38145</v>
      </c>
      <c r="B286" s="3">
        <v>0.16</v>
      </c>
      <c r="C286">
        <f t="shared" si="16"/>
        <v>0.17077279631193013</v>
      </c>
      <c r="E286" s="18">
        <f t="shared" si="18"/>
        <v>129934.25694953077</v>
      </c>
      <c r="G286" s="3">
        <v>21.23</v>
      </c>
      <c r="H286" s="18">
        <f t="shared" si="17"/>
        <v>21.302970179086344</v>
      </c>
      <c r="I286">
        <f t="shared" ref="I286:I349" si="19">IF(H285&gt;G285,I285*G286/G285,I285)</f>
        <v>148724.03881061278</v>
      </c>
    </row>
    <row r="287" spans="1:9" ht="18" x14ac:dyDescent="0.2">
      <c r="A287" s="2">
        <v>38152</v>
      </c>
      <c r="B287" s="3">
        <v>0.15</v>
      </c>
      <c r="C287">
        <f t="shared" si="16"/>
        <v>0.16879443475841296</v>
      </c>
      <c r="E287" s="18">
        <f t="shared" si="18"/>
        <v>121813.36589018509</v>
      </c>
      <c r="G287" s="3">
        <v>20.91</v>
      </c>
      <c r="H287" s="18">
        <f t="shared" si="17"/>
        <v>21.265544447744787</v>
      </c>
      <c r="I287">
        <f t="shared" si="19"/>
        <v>146482.31990249237</v>
      </c>
    </row>
    <row r="288" spans="1:9" ht="18" x14ac:dyDescent="0.2">
      <c r="A288" s="2">
        <v>38159</v>
      </c>
      <c r="B288" s="3">
        <v>0.15</v>
      </c>
      <c r="C288">
        <f t="shared" si="16"/>
        <v>0.16700448859094505</v>
      </c>
      <c r="E288" s="18">
        <f t="shared" si="18"/>
        <v>121813.36589018509</v>
      </c>
      <c r="G288" s="3">
        <v>21.33</v>
      </c>
      <c r="H288" s="18">
        <f t="shared" si="17"/>
        <v>21.271683071769093</v>
      </c>
      <c r="I288">
        <f t="shared" si="19"/>
        <v>149424.57596940038</v>
      </c>
    </row>
    <row r="289" spans="1:9" ht="18" x14ac:dyDescent="0.2">
      <c r="A289" s="2">
        <v>38166</v>
      </c>
      <c r="B289" s="3">
        <v>0.15</v>
      </c>
      <c r="C289">
        <f t="shared" si="16"/>
        <v>0.16538501348704551</v>
      </c>
      <c r="E289" s="18">
        <f t="shared" si="18"/>
        <v>121813.36589018509</v>
      </c>
      <c r="G289" s="3">
        <v>21.39</v>
      </c>
      <c r="H289" s="18">
        <f t="shared" si="17"/>
        <v>21.282951350648226</v>
      </c>
      <c r="I289">
        <f t="shared" si="19"/>
        <v>149424.57596940038</v>
      </c>
    </row>
    <row r="290" spans="1:9" ht="18" x14ac:dyDescent="0.2">
      <c r="A290" s="2">
        <v>38173</v>
      </c>
      <c r="B290" s="3">
        <v>0.13</v>
      </c>
      <c r="C290">
        <f t="shared" si="16"/>
        <v>0.16201501220256498</v>
      </c>
      <c r="E290" s="18">
        <f t="shared" si="18"/>
        <v>105571.58377149374</v>
      </c>
      <c r="G290" s="3">
        <v>20.87</v>
      </c>
      <c r="H290" s="18">
        <f t="shared" si="17"/>
        <v>21.243622650586492</v>
      </c>
      <c r="I290">
        <f t="shared" si="19"/>
        <v>149424.57596940038</v>
      </c>
    </row>
    <row r="291" spans="1:9" ht="18" x14ac:dyDescent="0.2">
      <c r="A291" s="2">
        <v>38180</v>
      </c>
      <c r="B291" s="3">
        <v>0.12</v>
      </c>
      <c r="C291">
        <f t="shared" si="16"/>
        <v>0.15801358246898736</v>
      </c>
      <c r="E291" s="18">
        <f t="shared" si="18"/>
        <v>97450.692712148055</v>
      </c>
      <c r="G291" s="3">
        <v>20.32</v>
      </c>
      <c r="H291" s="18">
        <f t="shared" si="17"/>
        <v>21.155658588625872</v>
      </c>
      <c r="I291">
        <f t="shared" si="19"/>
        <v>145486.69782933471</v>
      </c>
    </row>
    <row r="292" spans="1:9" ht="18" x14ac:dyDescent="0.2">
      <c r="A292" s="2">
        <v>38187</v>
      </c>
      <c r="B292" s="3">
        <v>0.11</v>
      </c>
      <c r="C292">
        <f t="shared" si="16"/>
        <v>0.1534408603290838</v>
      </c>
      <c r="E292" s="18">
        <f t="shared" si="18"/>
        <v>89329.801652802387</v>
      </c>
      <c r="G292" s="3">
        <v>20.7</v>
      </c>
      <c r="H292" s="18">
        <f t="shared" si="17"/>
        <v>21.112262532566266</v>
      </c>
      <c r="I292">
        <f t="shared" si="19"/>
        <v>148207.41363519826</v>
      </c>
    </row>
    <row r="293" spans="1:9" ht="18" x14ac:dyDescent="0.2">
      <c r="A293" s="2">
        <v>38194</v>
      </c>
      <c r="B293" s="3">
        <v>0.12</v>
      </c>
      <c r="C293">
        <f t="shared" si="16"/>
        <v>0.15025601648821868</v>
      </c>
      <c r="E293" s="18">
        <f t="shared" si="18"/>
        <v>97450.692712148055</v>
      </c>
      <c r="G293" s="3">
        <v>21.15</v>
      </c>
      <c r="H293" s="18">
        <f t="shared" si="17"/>
        <v>21.115856577083765</v>
      </c>
      <c r="I293">
        <f t="shared" si="19"/>
        <v>151429.31393161562</v>
      </c>
    </row>
    <row r="294" spans="1:9" ht="18" x14ac:dyDescent="0.2">
      <c r="A294" s="2">
        <v>38201</v>
      </c>
      <c r="B294" s="3">
        <v>7.0000000000000007E-2</v>
      </c>
      <c r="C294">
        <f t="shared" si="16"/>
        <v>0.14261258634648358</v>
      </c>
      <c r="E294" s="18">
        <f t="shared" si="18"/>
        <v>56846.23741541971</v>
      </c>
      <c r="G294" s="3">
        <v>20.45</v>
      </c>
      <c r="H294" s="18">
        <f t="shared" si="17"/>
        <v>21.052441664980549</v>
      </c>
      <c r="I294">
        <f t="shared" si="19"/>
        <v>151429.31393161562</v>
      </c>
    </row>
    <row r="295" spans="1:9" ht="18" x14ac:dyDescent="0.2">
      <c r="A295" s="2">
        <v>38208</v>
      </c>
      <c r="B295" s="3">
        <v>0.08</v>
      </c>
      <c r="C295">
        <f t="shared" si="16"/>
        <v>0.13664948288491371</v>
      </c>
      <c r="E295" s="18">
        <f t="shared" si="18"/>
        <v>64967.128474765384</v>
      </c>
      <c r="G295" s="3">
        <v>20.89</v>
      </c>
      <c r="H295" s="18">
        <f t="shared" si="17"/>
        <v>21.036971030220496</v>
      </c>
      <c r="I295">
        <f t="shared" si="19"/>
        <v>154687.45075948411</v>
      </c>
    </row>
    <row r="296" spans="1:9" ht="18" x14ac:dyDescent="0.2">
      <c r="A296" s="2">
        <v>38215</v>
      </c>
      <c r="B296" s="3">
        <v>0.09</v>
      </c>
      <c r="C296">
        <f t="shared" si="16"/>
        <v>0.13220667499111241</v>
      </c>
      <c r="E296" s="18">
        <f t="shared" si="18"/>
        <v>73088.019534111052</v>
      </c>
      <c r="G296" s="3">
        <v>21.9</v>
      </c>
      <c r="H296" s="18">
        <f t="shared" si="17"/>
        <v>21.11916426543759</v>
      </c>
      <c r="I296">
        <f t="shared" si="19"/>
        <v>162166.3557507277</v>
      </c>
    </row>
    <row r="297" spans="1:9" ht="18" x14ac:dyDescent="0.2">
      <c r="A297" s="2">
        <v>38222</v>
      </c>
      <c r="B297" s="3">
        <v>0.1</v>
      </c>
      <c r="C297">
        <f t="shared" si="16"/>
        <v>0.12913937261100647</v>
      </c>
      <c r="E297" s="18">
        <f t="shared" si="18"/>
        <v>81208.910593456734</v>
      </c>
      <c r="G297" s="3">
        <v>22.5</v>
      </c>
      <c r="H297" s="18">
        <f t="shared" si="17"/>
        <v>21.250672430634008</v>
      </c>
      <c r="I297">
        <f t="shared" si="19"/>
        <v>162166.3557507277</v>
      </c>
    </row>
    <row r="298" spans="1:9" ht="18" x14ac:dyDescent="0.2">
      <c r="A298" s="2">
        <v>38229</v>
      </c>
      <c r="B298" s="3">
        <v>0.1</v>
      </c>
      <c r="C298">
        <f t="shared" si="16"/>
        <v>0.1263641942671011</v>
      </c>
      <c r="E298" s="18">
        <f t="shared" si="18"/>
        <v>81208.910593456734</v>
      </c>
      <c r="G298" s="3">
        <v>22.58</v>
      </c>
      <c r="H298" s="18">
        <f t="shared" si="17"/>
        <v>21.37727505628791</v>
      </c>
      <c r="I298">
        <f t="shared" si="19"/>
        <v>162166.3557507277</v>
      </c>
    </row>
    <row r="299" spans="1:9" ht="18" x14ac:dyDescent="0.2">
      <c r="A299" s="2">
        <v>38236</v>
      </c>
      <c r="B299" s="3">
        <v>0.11</v>
      </c>
      <c r="C299">
        <f t="shared" si="16"/>
        <v>0.12480569957499624</v>
      </c>
      <c r="E299" s="18">
        <f t="shared" si="18"/>
        <v>89329.801652802416</v>
      </c>
      <c r="G299" s="3">
        <v>22.55</v>
      </c>
      <c r="H299" s="18">
        <f t="shared" si="17"/>
        <v>21.488963146165251</v>
      </c>
      <c r="I299">
        <f t="shared" si="19"/>
        <v>162166.3557507277</v>
      </c>
    </row>
    <row r="300" spans="1:9" ht="18" x14ac:dyDescent="0.2">
      <c r="A300" s="2">
        <v>38243</v>
      </c>
      <c r="B300" s="3">
        <v>0.11</v>
      </c>
      <c r="C300">
        <f t="shared" si="16"/>
        <v>0.12339563294880612</v>
      </c>
      <c r="E300" s="18">
        <f t="shared" si="18"/>
        <v>89329.801652802416</v>
      </c>
      <c r="G300" s="3">
        <v>22.46</v>
      </c>
      <c r="H300" s="18">
        <f t="shared" si="17"/>
        <v>21.581442846530464</v>
      </c>
      <c r="I300">
        <f t="shared" si="19"/>
        <v>162166.3557507277</v>
      </c>
    </row>
    <row r="301" spans="1:9" ht="18" x14ac:dyDescent="0.2">
      <c r="A301" s="2">
        <v>38250</v>
      </c>
      <c r="B301" s="3">
        <v>0.11</v>
      </c>
      <c r="C301">
        <f t="shared" si="16"/>
        <v>0.12211985838225316</v>
      </c>
      <c r="E301" s="18">
        <f t="shared" si="18"/>
        <v>89329.801652802416</v>
      </c>
      <c r="G301" s="3">
        <v>22.52</v>
      </c>
      <c r="H301" s="18">
        <f t="shared" si="17"/>
        <v>21.670829242098993</v>
      </c>
      <c r="I301">
        <f t="shared" si="19"/>
        <v>162166.3557507277</v>
      </c>
    </row>
    <row r="302" spans="1:9" ht="18" x14ac:dyDescent="0.2">
      <c r="A302" s="2">
        <v>38257</v>
      </c>
      <c r="B302" s="3">
        <v>0.12</v>
      </c>
      <c r="C302">
        <f t="shared" si="16"/>
        <v>0.12191796710775285</v>
      </c>
      <c r="E302" s="18">
        <f t="shared" si="18"/>
        <v>97450.692712148084</v>
      </c>
      <c r="G302" s="3">
        <v>22.85</v>
      </c>
      <c r="H302" s="18">
        <f t="shared" si="17"/>
        <v>21.783131219041945</v>
      </c>
      <c r="I302">
        <f t="shared" si="19"/>
        <v>162166.3557507277</v>
      </c>
    </row>
    <row r="303" spans="1:9" ht="18" x14ac:dyDescent="0.2">
      <c r="A303" s="2">
        <v>38264</v>
      </c>
      <c r="B303" s="3">
        <v>0.11</v>
      </c>
      <c r="C303">
        <f t="shared" si="16"/>
        <v>0.12078292262130019</v>
      </c>
      <c r="E303" s="18">
        <f t="shared" si="18"/>
        <v>89329.801652802416</v>
      </c>
      <c r="G303" s="3">
        <v>22.46</v>
      </c>
      <c r="H303" s="18">
        <f t="shared" si="17"/>
        <v>21.847594912466523</v>
      </c>
      <c r="I303">
        <f t="shared" si="19"/>
        <v>162166.3557507277</v>
      </c>
    </row>
    <row r="304" spans="1:9" ht="18" x14ac:dyDescent="0.2">
      <c r="A304" s="2">
        <v>38271</v>
      </c>
      <c r="B304" s="3">
        <v>0.1</v>
      </c>
      <c r="C304">
        <f t="shared" si="16"/>
        <v>0.11880359665736684</v>
      </c>
      <c r="E304" s="18">
        <f t="shared" si="18"/>
        <v>81208.910593456749</v>
      </c>
      <c r="G304" s="3">
        <v>22.13</v>
      </c>
      <c r="H304" s="18">
        <f t="shared" si="17"/>
        <v>21.874490635088758</v>
      </c>
      <c r="I304">
        <f t="shared" si="19"/>
        <v>162166.3557507277</v>
      </c>
    </row>
    <row r="305" spans="1:9" ht="18" x14ac:dyDescent="0.2">
      <c r="A305" s="2">
        <v>38278</v>
      </c>
      <c r="B305" s="3">
        <v>0.1</v>
      </c>
      <c r="C305">
        <f t="shared" si="16"/>
        <v>0.11701277792809381</v>
      </c>
      <c r="E305" s="18">
        <f t="shared" si="18"/>
        <v>81208.910593456749</v>
      </c>
      <c r="G305" s="3">
        <v>21.41</v>
      </c>
      <c r="H305" s="18">
        <f t="shared" si="17"/>
        <v>21.830253431746971</v>
      </c>
      <c r="I305">
        <f t="shared" si="19"/>
        <v>162166.3557507277</v>
      </c>
    </row>
    <row r="306" spans="1:9" ht="18" x14ac:dyDescent="0.2">
      <c r="A306" s="2">
        <v>38285</v>
      </c>
      <c r="B306" s="3">
        <v>0.11</v>
      </c>
      <c r="C306">
        <f t="shared" si="16"/>
        <v>0.1163448943158944</v>
      </c>
      <c r="E306" s="18">
        <f t="shared" si="18"/>
        <v>89329.801652802416</v>
      </c>
      <c r="G306" s="3">
        <v>22.05</v>
      </c>
      <c r="H306" s="18">
        <f t="shared" si="17"/>
        <v>21.851181676342499</v>
      </c>
      <c r="I306">
        <f t="shared" si="19"/>
        <v>167013.92546957242</v>
      </c>
    </row>
    <row r="307" spans="1:9" ht="18" x14ac:dyDescent="0.2">
      <c r="A307" s="2">
        <v>38292</v>
      </c>
      <c r="B307" s="3">
        <v>0.13</v>
      </c>
      <c r="C307">
        <f t="shared" si="16"/>
        <v>0.1176453805715235</v>
      </c>
      <c r="E307" s="18">
        <f t="shared" si="18"/>
        <v>105571.58377149377</v>
      </c>
      <c r="G307" s="3">
        <v>22.48</v>
      </c>
      <c r="H307" s="18">
        <f t="shared" si="17"/>
        <v>21.911069135738451</v>
      </c>
      <c r="I307">
        <f t="shared" si="19"/>
        <v>167013.92546957242</v>
      </c>
    </row>
    <row r="308" spans="1:9" ht="18" x14ac:dyDescent="0.2">
      <c r="A308" s="2">
        <v>38299</v>
      </c>
      <c r="B308" s="3">
        <v>0.14000000000000001</v>
      </c>
      <c r="C308">
        <f t="shared" si="16"/>
        <v>0.11977439194566412</v>
      </c>
      <c r="E308" s="18">
        <f t="shared" si="18"/>
        <v>105571.58377149377</v>
      </c>
      <c r="G308" s="3">
        <v>22.38</v>
      </c>
      <c r="H308" s="18">
        <f t="shared" si="17"/>
        <v>21.955729218049076</v>
      </c>
      <c r="I308">
        <f t="shared" si="19"/>
        <v>167013.92546957242</v>
      </c>
    </row>
    <row r="309" spans="1:9" ht="18" x14ac:dyDescent="0.2">
      <c r="A309" s="2">
        <v>38306</v>
      </c>
      <c r="B309" s="3">
        <v>0.14000000000000001</v>
      </c>
      <c r="C309">
        <f t="shared" si="16"/>
        <v>0.12170064033179136</v>
      </c>
      <c r="E309" s="18">
        <f t="shared" si="18"/>
        <v>105571.58377149377</v>
      </c>
      <c r="G309" s="3">
        <v>21.38</v>
      </c>
      <c r="H309" s="18">
        <f t="shared" si="17"/>
        <v>21.900897863949165</v>
      </c>
      <c r="I309">
        <f t="shared" si="19"/>
        <v>167013.92546957242</v>
      </c>
    </row>
    <row r="310" spans="1:9" ht="18" x14ac:dyDescent="0.2">
      <c r="A310" s="2">
        <v>38313</v>
      </c>
      <c r="B310" s="3">
        <v>0.15</v>
      </c>
      <c r="C310">
        <f t="shared" si="16"/>
        <v>0.12439581744304933</v>
      </c>
      <c r="E310" s="18">
        <f t="shared" si="18"/>
        <v>105571.58377149377</v>
      </c>
      <c r="G310" s="3">
        <v>21.53</v>
      </c>
      <c r="H310" s="18">
        <f t="shared" si="17"/>
        <v>21.865574257858768</v>
      </c>
      <c r="I310">
        <f t="shared" si="19"/>
        <v>168185.67892235241</v>
      </c>
    </row>
    <row r="311" spans="1:9" ht="18" x14ac:dyDescent="0.2">
      <c r="A311" s="2">
        <v>38320</v>
      </c>
      <c r="B311" s="3">
        <v>0.16</v>
      </c>
      <c r="C311">
        <f t="shared" si="16"/>
        <v>0.12778669197228273</v>
      </c>
      <c r="E311" s="18">
        <f t="shared" si="18"/>
        <v>105571.58377149377</v>
      </c>
      <c r="G311" s="3">
        <v>21.75</v>
      </c>
      <c r="H311" s="18">
        <f t="shared" si="17"/>
        <v>21.854567185681741</v>
      </c>
      <c r="I311">
        <f t="shared" si="19"/>
        <v>169904.25065309636</v>
      </c>
    </row>
    <row r="312" spans="1:9" ht="18" x14ac:dyDescent="0.2">
      <c r="A312" s="2">
        <v>38327</v>
      </c>
      <c r="B312" s="3">
        <v>0.18</v>
      </c>
      <c r="C312">
        <f t="shared" si="16"/>
        <v>0.13275938797492248</v>
      </c>
      <c r="E312" s="18">
        <f t="shared" si="18"/>
        <v>105571.58377149377</v>
      </c>
      <c r="G312" s="3">
        <v>21.5</v>
      </c>
      <c r="H312" s="18">
        <f t="shared" si="17"/>
        <v>21.82079888228348</v>
      </c>
      <c r="I312">
        <f t="shared" si="19"/>
        <v>167951.32823179642</v>
      </c>
    </row>
    <row r="313" spans="1:9" ht="18" x14ac:dyDescent="0.2">
      <c r="A313" s="2">
        <v>38334</v>
      </c>
      <c r="B313" s="3">
        <v>0.18</v>
      </c>
      <c r="C313">
        <f t="shared" si="16"/>
        <v>0.13725849388207273</v>
      </c>
      <c r="E313" s="18">
        <f t="shared" si="18"/>
        <v>105571.58377149377</v>
      </c>
      <c r="G313" s="3">
        <v>22.01</v>
      </c>
      <c r="H313" s="18">
        <f t="shared" si="17"/>
        <v>21.838818036351721</v>
      </c>
      <c r="I313">
        <f t="shared" si="19"/>
        <v>171935.28997124836</v>
      </c>
    </row>
    <row r="314" spans="1:9" ht="18" x14ac:dyDescent="0.2">
      <c r="A314" s="2">
        <v>38341</v>
      </c>
      <c r="B314" s="3">
        <v>0.18</v>
      </c>
      <c r="C314">
        <f t="shared" si="16"/>
        <v>0.14132911351235153</v>
      </c>
      <c r="E314" s="18">
        <f t="shared" si="18"/>
        <v>105571.58377149377</v>
      </c>
      <c r="G314" s="3">
        <v>22.37</v>
      </c>
      <c r="H314" s="18">
        <f t="shared" si="17"/>
        <v>21.889406794794414</v>
      </c>
      <c r="I314">
        <f t="shared" si="19"/>
        <v>171935.28997124836</v>
      </c>
    </row>
    <row r="315" spans="1:9" ht="18" x14ac:dyDescent="0.2">
      <c r="A315" s="2">
        <v>38348</v>
      </c>
      <c r="B315" s="3">
        <v>0.18</v>
      </c>
      <c r="C315">
        <f t="shared" si="16"/>
        <v>0.14501205508260376</v>
      </c>
      <c r="E315" s="18">
        <f t="shared" si="18"/>
        <v>105571.58377149377</v>
      </c>
      <c r="G315" s="3">
        <v>22.29</v>
      </c>
      <c r="H315" s="18">
        <f t="shared" si="17"/>
        <v>21.927558528623518</v>
      </c>
      <c r="I315">
        <f t="shared" si="19"/>
        <v>171935.28997124836</v>
      </c>
    </row>
    <row r="316" spans="1:9" ht="18" x14ac:dyDescent="0.2">
      <c r="A316" s="2">
        <v>38355</v>
      </c>
      <c r="B316" s="3">
        <v>0.17</v>
      </c>
      <c r="C316">
        <f t="shared" si="16"/>
        <v>0.14739185936045102</v>
      </c>
      <c r="E316" s="18">
        <f t="shared" si="18"/>
        <v>105571.58377149377</v>
      </c>
      <c r="G316" s="30">
        <v>21.94</v>
      </c>
      <c r="H316" s="18">
        <f t="shared" si="17"/>
        <v>21.928743430659374</v>
      </c>
      <c r="I316">
        <f t="shared" si="19"/>
        <v>171935.28997124836</v>
      </c>
    </row>
    <row r="317" spans="1:9" ht="18" x14ac:dyDescent="0.2">
      <c r="A317" s="2">
        <v>38362</v>
      </c>
      <c r="B317" s="3">
        <v>0.16</v>
      </c>
      <c r="C317">
        <f t="shared" si="16"/>
        <v>0.14859263465945569</v>
      </c>
      <c r="E317" s="18">
        <f t="shared" si="18"/>
        <v>105571.58377149377</v>
      </c>
      <c r="G317" s="30">
        <v>21.79</v>
      </c>
      <c r="H317" s="18">
        <f t="shared" si="17"/>
        <v>21.915529770596578</v>
      </c>
      <c r="I317">
        <f t="shared" si="19"/>
        <v>171935.28997124836</v>
      </c>
    </row>
    <row r="318" spans="1:9" ht="18" x14ac:dyDescent="0.2">
      <c r="A318" s="2">
        <v>38369</v>
      </c>
      <c r="B318" s="3">
        <v>0.16</v>
      </c>
      <c r="C318">
        <f t="shared" si="16"/>
        <v>0.14967905040617419</v>
      </c>
      <c r="E318" s="18">
        <f t="shared" si="18"/>
        <v>105571.58377149377</v>
      </c>
      <c r="G318" s="30">
        <v>21.24</v>
      </c>
      <c r="H318" s="18">
        <f t="shared" si="17"/>
        <v>21.851193601968333</v>
      </c>
      <c r="I318">
        <f t="shared" si="19"/>
        <v>167595.48228496168</v>
      </c>
    </row>
    <row r="319" spans="1:9" ht="18" x14ac:dyDescent="0.2">
      <c r="A319" s="2">
        <v>38376</v>
      </c>
      <c r="B319" s="3">
        <v>0.17</v>
      </c>
      <c r="C319">
        <f t="shared" si="16"/>
        <v>0.15161437893891949</v>
      </c>
      <c r="E319" s="18">
        <f t="shared" si="18"/>
        <v>105571.58377149377</v>
      </c>
      <c r="G319" s="30">
        <v>21.33</v>
      </c>
      <c r="H319" s="18">
        <f t="shared" si="17"/>
        <v>21.801556116066585</v>
      </c>
      <c r="I319">
        <f t="shared" si="19"/>
        <v>168305.63263362675</v>
      </c>
    </row>
    <row r="320" spans="1:9" ht="18" x14ac:dyDescent="0.2">
      <c r="A320" s="2">
        <v>38383</v>
      </c>
      <c r="B320" s="3">
        <v>0.2</v>
      </c>
      <c r="C320">
        <f t="shared" si="16"/>
        <v>0.15622253332568906</v>
      </c>
      <c r="E320" s="18">
        <f t="shared" si="18"/>
        <v>105571.58377149377</v>
      </c>
      <c r="G320" s="30">
        <v>21.72</v>
      </c>
      <c r="H320" s="18">
        <f t="shared" si="17"/>
        <v>21.793788866917385</v>
      </c>
      <c r="I320">
        <f t="shared" si="19"/>
        <v>171382.95081117548</v>
      </c>
    </row>
    <row r="321" spans="1:9" ht="18" x14ac:dyDescent="0.2">
      <c r="A321" s="2">
        <v>38390</v>
      </c>
      <c r="B321" s="3">
        <v>0.2</v>
      </c>
      <c r="C321">
        <f t="shared" si="16"/>
        <v>0.16039181586609963</v>
      </c>
      <c r="E321" s="18">
        <f t="shared" si="18"/>
        <v>105571.58377149377</v>
      </c>
      <c r="G321" s="30">
        <v>21.6</v>
      </c>
      <c r="H321" s="18">
        <f t="shared" si="17"/>
        <v>21.775332784353825</v>
      </c>
      <c r="I321">
        <f t="shared" si="19"/>
        <v>170436.08367962207</v>
      </c>
    </row>
    <row r="322" spans="1:9" ht="18" x14ac:dyDescent="0.2">
      <c r="A322" s="2">
        <v>38397</v>
      </c>
      <c r="B322" s="3">
        <v>0.22</v>
      </c>
      <c r="C322">
        <f t="shared" si="16"/>
        <v>0.16606878578361395</v>
      </c>
      <c r="E322" s="18">
        <f t="shared" si="18"/>
        <v>105571.58377149377</v>
      </c>
      <c r="G322" s="30">
        <v>21.04</v>
      </c>
      <c r="H322" s="18">
        <f t="shared" si="17"/>
        <v>21.705301090605843</v>
      </c>
      <c r="I322">
        <f t="shared" si="19"/>
        <v>166017.37039903927</v>
      </c>
    </row>
    <row r="323" spans="1:9" ht="18" x14ac:dyDescent="0.2">
      <c r="A323" s="2">
        <v>38404</v>
      </c>
      <c r="B323" s="3">
        <v>0.22</v>
      </c>
      <c r="C323">
        <f t="shared" si="16"/>
        <v>0.17120509189946023</v>
      </c>
      <c r="E323" s="18">
        <f t="shared" si="18"/>
        <v>105571.58377149377</v>
      </c>
      <c r="G323" s="30">
        <v>21.31</v>
      </c>
      <c r="H323" s="18">
        <f t="shared" si="17"/>
        <v>21.667653367691003</v>
      </c>
      <c r="I323">
        <f t="shared" si="19"/>
        <v>168147.82144503455</v>
      </c>
    </row>
    <row r="324" spans="1:9" ht="18" x14ac:dyDescent="0.2">
      <c r="A324" s="2">
        <v>38411</v>
      </c>
      <c r="B324" s="3">
        <v>0.21</v>
      </c>
      <c r="C324">
        <f t="shared" si="16"/>
        <v>0.1748998450518926</v>
      </c>
      <c r="E324" s="18">
        <f t="shared" si="18"/>
        <v>105571.58377149377</v>
      </c>
      <c r="G324" s="30">
        <v>21.62</v>
      </c>
      <c r="H324" s="18">
        <f t="shared" si="17"/>
        <v>21.663114951720431</v>
      </c>
      <c r="I324">
        <f t="shared" si="19"/>
        <v>170593.89486821435</v>
      </c>
    </row>
    <row r="325" spans="1:9" ht="18" x14ac:dyDescent="0.2">
      <c r="A325" s="2">
        <v>38418</v>
      </c>
      <c r="B325" s="3">
        <v>0.19</v>
      </c>
      <c r="C325">
        <f t="shared" si="16"/>
        <v>0.17633795504695043</v>
      </c>
      <c r="E325" s="18">
        <f t="shared" si="18"/>
        <v>105571.58377149377</v>
      </c>
      <c r="G325" s="30">
        <v>20.81</v>
      </c>
      <c r="H325" s="18">
        <f t="shared" si="17"/>
        <v>21.581865908699438</v>
      </c>
      <c r="I325">
        <f t="shared" si="19"/>
        <v>164202.54173022852</v>
      </c>
    </row>
    <row r="326" spans="1:9" ht="18" x14ac:dyDescent="0.2">
      <c r="A326" s="2">
        <v>38425</v>
      </c>
      <c r="B326" s="3">
        <v>0.18</v>
      </c>
      <c r="C326">
        <f t="shared" si="16"/>
        <v>0.17668672123295515</v>
      </c>
      <c r="E326" s="18">
        <f t="shared" si="18"/>
        <v>105571.58377149377</v>
      </c>
      <c r="G326" s="30">
        <v>20.76</v>
      </c>
      <c r="H326" s="18">
        <f t="shared" si="17"/>
        <v>21.503592965013777</v>
      </c>
      <c r="I326">
        <f t="shared" si="19"/>
        <v>163808.01375874795</v>
      </c>
    </row>
    <row r="327" spans="1:9" ht="18" x14ac:dyDescent="0.2">
      <c r="A327" s="2">
        <v>38432</v>
      </c>
      <c r="B327" s="3">
        <v>0.19</v>
      </c>
      <c r="C327">
        <f t="shared" si="16"/>
        <v>0.17795465254410228</v>
      </c>
      <c r="E327" s="18">
        <f t="shared" si="18"/>
        <v>105571.58377149377</v>
      </c>
      <c r="G327" s="30">
        <v>20.13</v>
      </c>
      <c r="H327" s="18">
        <f t="shared" si="17"/>
        <v>21.372774587393415</v>
      </c>
      <c r="I327">
        <f t="shared" si="19"/>
        <v>158836.9613180923</v>
      </c>
    </row>
    <row r="328" spans="1:9" ht="18" x14ac:dyDescent="0.2">
      <c r="A328" s="2">
        <v>38439</v>
      </c>
      <c r="B328" s="3">
        <v>0.18</v>
      </c>
      <c r="C328">
        <f t="shared" si="16"/>
        <v>0.17814944753990206</v>
      </c>
      <c r="E328" s="18">
        <f t="shared" si="18"/>
        <v>105571.58377149377</v>
      </c>
      <c r="G328" s="30">
        <v>19.739999999999998</v>
      </c>
      <c r="H328" s="18">
        <f t="shared" si="17"/>
        <v>21.217272245736901</v>
      </c>
      <c r="I328">
        <f t="shared" si="19"/>
        <v>155759.64314054354</v>
      </c>
    </row>
    <row r="329" spans="1:9" ht="18" x14ac:dyDescent="0.2">
      <c r="A329" s="2">
        <v>38446</v>
      </c>
      <c r="B329" s="3">
        <v>0.18</v>
      </c>
      <c r="C329">
        <f t="shared" si="16"/>
        <v>0.17832569063133996</v>
      </c>
      <c r="E329" s="18">
        <f t="shared" si="18"/>
        <v>105571.58377149377</v>
      </c>
      <c r="G329" s="30">
        <v>19.88</v>
      </c>
      <c r="H329" s="18">
        <f t="shared" si="17"/>
        <v>21.089912984238147</v>
      </c>
      <c r="I329">
        <f t="shared" si="19"/>
        <v>156864.32146068924</v>
      </c>
    </row>
    <row r="330" spans="1:9" ht="18" x14ac:dyDescent="0.2">
      <c r="A330" s="2">
        <v>38453</v>
      </c>
      <c r="B330" s="3">
        <v>0.16</v>
      </c>
      <c r="C330">
        <f t="shared" si="16"/>
        <v>0.17658038676168852</v>
      </c>
      <c r="E330" s="18">
        <f t="shared" si="18"/>
        <v>105571.58377149377</v>
      </c>
      <c r="G330" s="30">
        <v>19.75</v>
      </c>
      <c r="H330" s="18">
        <f t="shared" si="17"/>
        <v>20.962302223834513</v>
      </c>
      <c r="I330">
        <f t="shared" si="19"/>
        <v>155838.54873483969</v>
      </c>
    </row>
    <row r="331" spans="1:9" ht="18" x14ac:dyDescent="0.2">
      <c r="A331" s="2">
        <v>38460</v>
      </c>
      <c r="B331" s="3">
        <v>0.17</v>
      </c>
      <c r="C331">
        <f t="shared" si="16"/>
        <v>0.17595368326057534</v>
      </c>
      <c r="E331" s="18">
        <f t="shared" si="18"/>
        <v>112169.80775721213</v>
      </c>
      <c r="G331" s="30">
        <v>20.3</v>
      </c>
      <c r="H331" s="18">
        <f t="shared" si="17"/>
        <v>20.89922582156456</v>
      </c>
      <c r="I331">
        <f t="shared" si="19"/>
        <v>160178.35642112637</v>
      </c>
    </row>
    <row r="332" spans="1:9" ht="18" x14ac:dyDescent="0.2">
      <c r="A332" s="2">
        <v>38467</v>
      </c>
      <c r="B332" s="3">
        <v>0.17</v>
      </c>
      <c r="C332">
        <f t="shared" si="16"/>
        <v>0.1753866658071872</v>
      </c>
      <c r="E332" s="18">
        <f t="shared" si="18"/>
        <v>112169.80775721211</v>
      </c>
      <c r="G332" s="30">
        <v>20.66</v>
      </c>
      <c r="H332" s="18">
        <f t="shared" si="17"/>
        <v>20.876442409986982</v>
      </c>
      <c r="I332">
        <f t="shared" si="19"/>
        <v>163018.95781578674</v>
      </c>
    </row>
    <row r="333" spans="1:9" ht="18" x14ac:dyDescent="0.2">
      <c r="A333" s="2">
        <v>38474</v>
      </c>
      <c r="B333" s="3">
        <v>0.18</v>
      </c>
      <c r="C333">
        <f t="shared" si="16"/>
        <v>0.17582603096840746</v>
      </c>
      <c r="E333" s="18">
        <f t="shared" si="18"/>
        <v>118768.03174293046</v>
      </c>
      <c r="G333" s="30">
        <v>20.73</v>
      </c>
      <c r="H333" s="18">
        <f t="shared" si="17"/>
        <v>20.862495513797747</v>
      </c>
      <c r="I333">
        <f t="shared" si="19"/>
        <v>163571.29697585959</v>
      </c>
    </row>
    <row r="334" spans="1:9" ht="18" x14ac:dyDescent="0.2">
      <c r="A334" s="2">
        <v>38481</v>
      </c>
      <c r="B334" s="3">
        <v>0.19</v>
      </c>
      <c r="C334">
        <f t="shared" si="16"/>
        <v>0.17717593278094007</v>
      </c>
      <c r="E334" s="18">
        <f t="shared" si="18"/>
        <v>118768.03174293046</v>
      </c>
      <c r="G334" s="30">
        <v>20.059999999999999</v>
      </c>
      <c r="H334" s="18">
        <f t="shared" si="17"/>
        <v>20.786067369626533</v>
      </c>
      <c r="I334">
        <f t="shared" si="19"/>
        <v>158284.62215801943</v>
      </c>
    </row>
    <row r="335" spans="1:9" ht="18" x14ac:dyDescent="0.2">
      <c r="A335" s="2">
        <v>38488</v>
      </c>
      <c r="B335" s="3">
        <v>0.2</v>
      </c>
      <c r="C335">
        <f t="shared" si="16"/>
        <v>0.17934965346846959</v>
      </c>
      <c r="E335" s="18">
        <f t="shared" si="18"/>
        <v>118768.03174293046</v>
      </c>
      <c r="G335" s="30">
        <v>20.99</v>
      </c>
      <c r="H335" s="18">
        <f t="shared" si="17"/>
        <v>20.805489524900196</v>
      </c>
      <c r="I335">
        <f t="shared" si="19"/>
        <v>165622.8424275587</v>
      </c>
    </row>
    <row r="336" spans="1:9" ht="18" x14ac:dyDescent="0.2">
      <c r="A336" s="2">
        <v>38495</v>
      </c>
      <c r="B336" s="3">
        <v>0.21</v>
      </c>
      <c r="C336">
        <f t="shared" si="16"/>
        <v>0.18226873409052011</v>
      </c>
      <c r="E336" s="18">
        <f t="shared" si="18"/>
        <v>118768.03174293046</v>
      </c>
      <c r="G336" s="30">
        <v>20.84</v>
      </c>
      <c r="H336" s="18">
        <f t="shared" si="17"/>
        <v>20.808776236814463</v>
      </c>
      <c r="I336">
        <f t="shared" si="19"/>
        <v>165622.8424275587</v>
      </c>
    </row>
    <row r="337" spans="1:9" ht="18" x14ac:dyDescent="0.2">
      <c r="A337" s="2">
        <v>38502</v>
      </c>
      <c r="B337" s="3">
        <v>0.22</v>
      </c>
      <c r="C337">
        <f t="shared" si="16"/>
        <v>0.18586218798666104</v>
      </c>
      <c r="E337" s="18">
        <f t="shared" si="18"/>
        <v>118768.03174293046</v>
      </c>
      <c r="G337" s="30">
        <v>20.7</v>
      </c>
      <c r="H337" s="18">
        <f t="shared" si="17"/>
        <v>20.798416595213087</v>
      </c>
      <c r="I337">
        <f t="shared" si="19"/>
        <v>165622.8424275587</v>
      </c>
    </row>
    <row r="338" spans="1:9" ht="18" x14ac:dyDescent="0.2">
      <c r="A338" s="2">
        <v>38509</v>
      </c>
      <c r="B338" s="3">
        <v>0.21</v>
      </c>
      <c r="C338">
        <f t="shared" si="16"/>
        <v>0.18816102722602665</v>
      </c>
      <c r="E338" s="18">
        <f t="shared" si="18"/>
        <v>118768.03174293046</v>
      </c>
      <c r="G338" s="30">
        <v>20.63</v>
      </c>
      <c r="H338" s="18">
        <f t="shared" si="17"/>
        <v>20.782376919478509</v>
      </c>
      <c r="I338">
        <f t="shared" si="19"/>
        <v>165062.76518263458</v>
      </c>
    </row>
    <row r="339" spans="1:9" ht="18" x14ac:dyDescent="0.2">
      <c r="A339" s="2">
        <v>38516</v>
      </c>
      <c r="B339" s="3">
        <v>0.21</v>
      </c>
      <c r="C339">
        <f t="shared" si="16"/>
        <v>0.1902409293949765</v>
      </c>
      <c r="E339" s="18">
        <f t="shared" si="18"/>
        <v>118768.03174293046</v>
      </c>
      <c r="G339" s="30">
        <v>21</v>
      </c>
      <c r="H339" s="18">
        <f t="shared" si="17"/>
        <v>20.803102927147222</v>
      </c>
      <c r="I339">
        <f t="shared" si="19"/>
        <v>168023.17347723347</v>
      </c>
    </row>
    <row r="340" spans="1:9" ht="18" x14ac:dyDescent="0.2">
      <c r="A340" s="2">
        <v>38523</v>
      </c>
      <c r="B340" s="3">
        <v>0.21</v>
      </c>
      <c r="C340">
        <f t="shared" si="16"/>
        <v>0.19212274564307397</v>
      </c>
      <c r="E340" s="18">
        <f t="shared" si="18"/>
        <v>118768.03174293046</v>
      </c>
      <c r="G340" s="30">
        <v>20.71</v>
      </c>
      <c r="H340" s="18">
        <f t="shared" si="17"/>
        <v>20.794235981704631</v>
      </c>
      <c r="I340">
        <f t="shared" si="19"/>
        <v>168023.17347723347</v>
      </c>
    </row>
    <row r="341" spans="1:9" ht="18" x14ac:dyDescent="0.2">
      <c r="A341" s="2">
        <v>38530</v>
      </c>
      <c r="B341" s="3">
        <v>0.21</v>
      </c>
      <c r="C341">
        <f t="shared" si="16"/>
        <v>0.19382534129611453</v>
      </c>
      <c r="E341" s="18">
        <f t="shared" si="18"/>
        <v>118768.03174293046</v>
      </c>
      <c r="G341" s="30">
        <v>20.41</v>
      </c>
      <c r="H341" s="18">
        <f t="shared" si="17"/>
        <v>20.757642078685141</v>
      </c>
      <c r="I341">
        <f t="shared" si="19"/>
        <v>165589.23083874144</v>
      </c>
    </row>
    <row r="342" spans="1:9" ht="18" x14ac:dyDescent="0.2">
      <c r="A342" s="2">
        <v>38537</v>
      </c>
      <c r="B342" s="3">
        <v>0.22</v>
      </c>
      <c r="C342">
        <f t="shared" si="16"/>
        <v>0.19631816593457982</v>
      </c>
      <c r="E342" s="18">
        <f t="shared" si="18"/>
        <v>118768.03174293046</v>
      </c>
      <c r="G342" s="30">
        <v>20.46</v>
      </c>
      <c r="H342" s="18">
        <f t="shared" si="17"/>
        <v>20.729295214048459</v>
      </c>
      <c r="I342">
        <f t="shared" si="19"/>
        <v>165994.88794515678</v>
      </c>
    </row>
    <row r="343" spans="1:9" ht="18" x14ac:dyDescent="0.2">
      <c r="A343" s="2">
        <v>38544</v>
      </c>
      <c r="B343" s="3">
        <v>0.21</v>
      </c>
      <c r="C343">
        <f t="shared" si="16"/>
        <v>0.19762119775033413</v>
      </c>
      <c r="E343" s="18">
        <f t="shared" si="18"/>
        <v>118768.03174293046</v>
      </c>
      <c r="G343" s="30">
        <v>21.08</v>
      </c>
      <c r="H343" s="18">
        <f t="shared" si="17"/>
        <v>20.762695669853368</v>
      </c>
      <c r="I343">
        <f t="shared" si="19"/>
        <v>171025.03606470695</v>
      </c>
    </row>
    <row r="344" spans="1:9" ht="18" x14ac:dyDescent="0.2">
      <c r="A344" s="2">
        <v>38551</v>
      </c>
      <c r="B344" s="3">
        <v>0.2</v>
      </c>
      <c r="C344">
        <f t="shared" si="16"/>
        <v>0.19784775034554039</v>
      </c>
      <c r="E344" s="18">
        <f t="shared" si="18"/>
        <v>118768.03174293046</v>
      </c>
      <c r="G344" s="30">
        <v>20.93</v>
      </c>
      <c r="H344" s="18">
        <f t="shared" si="17"/>
        <v>20.778629415581619</v>
      </c>
      <c r="I344">
        <f t="shared" si="19"/>
        <v>171025.03606470695</v>
      </c>
    </row>
    <row r="345" spans="1:9" ht="18" x14ac:dyDescent="0.2">
      <c r="A345" s="2">
        <v>38558</v>
      </c>
      <c r="B345" s="3">
        <v>0.21</v>
      </c>
      <c r="C345">
        <f t="shared" ref="C345:C408" si="20">(B345-C344)*$D$4+C344</f>
        <v>0.19900510745548891</v>
      </c>
      <c r="E345" s="18">
        <f t="shared" si="18"/>
        <v>118768.03174293046</v>
      </c>
      <c r="G345" s="30">
        <v>20.66</v>
      </c>
      <c r="H345" s="18">
        <f t="shared" si="17"/>
        <v>20.767331376002417</v>
      </c>
      <c r="I345">
        <f t="shared" si="19"/>
        <v>171025.03606470695</v>
      </c>
    </row>
    <row r="346" spans="1:9" ht="18" x14ac:dyDescent="0.2">
      <c r="A346" s="2">
        <v>38565</v>
      </c>
      <c r="B346" s="3">
        <v>0.22</v>
      </c>
      <c r="C346">
        <f t="shared" si="20"/>
        <v>0.20100462103115663</v>
      </c>
      <c r="E346" s="18">
        <f t="shared" si="18"/>
        <v>118768.03174293046</v>
      </c>
      <c r="G346" s="30">
        <v>20.72</v>
      </c>
      <c r="H346" s="18">
        <f t="shared" ref="H346:H409" si="21">(G346-H345)*$D$4+H345</f>
        <v>20.76282362590695</v>
      </c>
      <c r="I346">
        <f t="shared" si="19"/>
        <v>171521.72058377191</v>
      </c>
    </row>
    <row r="347" spans="1:9" ht="18" x14ac:dyDescent="0.2">
      <c r="A347" s="2">
        <v>38572</v>
      </c>
      <c r="B347" s="3">
        <v>0.23</v>
      </c>
      <c r="C347">
        <f t="shared" si="20"/>
        <v>0.20376608569485599</v>
      </c>
      <c r="E347" s="18">
        <f t="shared" si="18"/>
        <v>118768.03174293046</v>
      </c>
      <c r="G347" s="30">
        <v>20.170000000000002</v>
      </c>
      <c r="H347" s="18">
        <f t="shared" si="21"/>
        <v>20.706364232963431</v>
      </c>
      <c r="I347">
        <f t="shared" si="19"/>
        <v>166968.77915900963</v>
      </c>
    </row>
    <row r="348" spans="1:9" ht="18" x14ac:dyDescent="0.2">
      <c r="A348" s="2">
        <v>38579</v>
      </c>
      <c r="B348" s="3">
        <v>0.22</v>
      </c>
      <c r="C348">
        <f t="shared" si="20"/>
        <v>0.20531217277153638</v>
      </c>
      <c r="E348" s="18">
        <f t="shared" si="18"/>
        <v>118768.03174293046</v>
      </c>
      <c r="G348" s="30">
        <v>20.3</v>
      </c>
      <c r="H348" s="18">
        <f t="shared" si="21"/>
        <v>20.667662877443103</v>
      </c>
      <c r="I348">
        <f t="shared" si="19"/>
        <v>168044.92895031709</v>
      </c>
    </row>
    <row r="349" spans="1:9" ht="18" x14ac:dyDescent="0.2">
      <c r="A349" s="2">
        <v>38586</v>
      </c>
      <c r="B349" s="3">
        <v>0.22</v>
      </c>
      <c r="C349">
        <f t="shared" si="20"/>
        <v>0.20671101345996148</v>
      </c>
      <c r="E349" s="18">
        <f t="shared" ref="E349:E412" si="22">IF(C348&gt;B348,E348*B349/B348,E348)</f>
        <v>118768.03174293046</v>
      </c>
      <c r="G349" s="30">
        <v>19.78</v>
      </c>
      <c r="H349" s="18">
        <f t="shared" si="21"/>
        <v>20.583123555781857</v>
      </c>
      <c r="I349">
        <f t="shared" si="19"/>
        <v>163740.32978508729</v>
      </c>
    </row>
    <row r="350" spans="1:9" ht="18" x14ac:dyDescent="0.2">
      <c r="A350" s="2">
        <v>38593</v>
      </c>
      <c r="B350" s="3">
        <v>0.23</v>
      </c>
      <c r="C350">
        <f t="shared" si="20"/>
        <v>0.2089290121780604</v>
      </c>
      <c r="E350" s="18">
        <f t="shared" si="22"/>
        <v>118768.03174293046</v>
      </c>
      <c r="G350" s="30">
        <v>20.05</v>
      </c>
      <c r="H350" s="18">
        <f t="shared" si="21"/>
        <v>20.532349883802631</v>
      </c>
      <c r="I350">
        <f t="shared" ref="I350:I413" si="23">IF(H349&gt;G349,I349*G350/G349,I349)</f>
        <v>165975.41012087968</v>
      </c>
    </row>
    <row r="351" spans="1:9" ht="18" x14ac:dyDescent="0.2">
      <c r="A351" s="2">
        <v>38600</v>
      </c>
      <c r="B351" s="3">
        <v>0.25</v>
      </c>
      <c r="C351">
        <f t="shared" si="20"/>
        <v>0.21284053482776893</v>
      </c>
      <c r="E351" s="18">
        <f t="shared" si="22"/>
        <v>118768.03174293046</v>
      </c>
      <c r="G351" s="30">
        <v>20.47</v>
      </c>
      <c r="H351" s="18">
        <f t="shared" si="21"/>
        <v>20.526411799630953</v>
      </c>
      <c r="I351">
        <f t="shared" si="23"/>
        <v>169452.2017543345</v>
      </c>
    </row>
    <row r="352" spans="1:9" ht="18" x14ac:dyDescent="0.2">
      <c r="A352" s="2">
        <v>38607</v>
      </c>
      <c r="B352" s="3">
        <v>0.25</v>
      </c>
      <c r="C352">
        <f t="shared" si="20"/>
        <v>0.21637953151083855</v>
      </c>
      <c r="E352" s="18">
        <f t="shared" si="22"/>
        <v>118768.03174293046</v>
      </c>
      <c r="G352" s="30">
        <v>20.57</v>
      </c>
      <c r="H352" s="18">
        <f t="shared" si="21"/>
        <v>20.530563056808958</v>
      </c>
      <c r="I352">
        <f t="shared" si="23"/>
        <v>170280.00928610947</v>
      </c>
    </row>
    <row r="353" spans="1:9" ht="18" x14ac:dyDescent="0.2">
      <c r="A353" s="2">
        <v>38614</v>
      </c>
      <c r="B353" s="3">
        <v>0.25</v>
      </c>
      <c r="C353">
        <f t="shared" si="20"/>
        <v>0.21958148089075868</v>
      </c>
      <c r="E353" s="18">
        <f t="shared" si="22"/>
        <v>118768.03174293046</v>
      </c>
      <c r="G353" s="30">
        <v>20.03</v>
      </c>
      <c r="H353" s="18">
        <f t="shared" si="21"/>
        <v>20.482890384731913</v>
      </c>
      <c r="I353">
        <f t="shared" si="23"/>
        <v>170280.00928610947</v>
      </c>
    </row>
    <row r="354" spans="1:9" ht="18" x14ac:dyDescent="0.2">
      <c r="A354" s="2">
        <v>38621</v>
      </c>
      <c r="B354" s="3">
        <v>0.26</v>
      </c>
      <c r="C354">
        <f t="shared" si="20"/>
        <v>0.22343086366306739</v>
      </c>
      <c r="E354" s="18">
        <f t="shared" si="22"/>
        <v>118768.03174293046</v>
      </c>
      <c r="G354" s="30">
        <v>19.940000000000001</v>
      </c>
      <c r="H354" s="18">
        <f t="shared" si="21"/>
        <v>20.431186538566969</v>
      </c>
      <c r="I354">
        <f t="shared" si="23"/>
        <v>169514.89691288181</v>
      </c>
    </row>
    <row r="355" spans="1:9" ht="18" x14ac:dyDescent="0.2">
      <c r="A355" s="2">
        <v>38628</v>
      </c>
      <c r="B355" s="3">
        <v>0.25</v>
      </c>
      <c r="C355">
        <f t="shared" si="20"/>
        <v>0.22596125759991811</v>
      </c>
      <c r="E355" s="18">
        <f t="shared" si="22"/>
        <v>118768.03174293046</v>
      </c>
      <c r="G355" s="30">
        <v>19.93</v>
      </c>
      <c r="H355" s="18">
        <f t="shared" si="21"/>
        <v>20.383454487274875</v>
      </c>
      <c r="I355">
        <f t="shared" si="23"/>
        <v>169429.88442696762</v>
      </c>
    </row>
    <row r="356" spans="1:9" ht="18" x14ac:dyDescent="0.2">
      <c r="A356" s="2">
        <v>38635</v>
      </c>
      <c r="B356" s="3">
        <v>0.24</v>
      </c>
      <c r="C356">
        <f t="shared" si="20"/>
        <v>0.2272982806856402</v>
      </c>
      <c r="E356" s="18">
        <f t="shared" si="22"/>
        <v>118768.03174293046</v>
      </c>
      <c r="G356" s="30">
        <v>20.23</v>
      </c>
      <c r="H356" s="18">
        <f t="shared" si="21"/>
        <v>20.368839774201078</v>
      </c>
      <c r="I356">
        <f t="shared" si="23"/>
        <v>171980.25900439313</v>
      </c>
    </row>
    <row r="357" spans="1:9" ht="18" x14ac:dyDescent="0.2">
      <c r="A357" s="2">
        <v>38642</v>
      </c>
      <c r="B357" s="3">
        <v>0.24</v>
      </c>
      <c r="C357">
        <f t="shared" si="20"/>
        <v>0.22850796823938876</v>
      </c>
      <c r="E357" s="18">
        <f t="shared" si="22"/>
        <v>118768.03174293046</v>
      </c>
      <c r="G357" s="30">
        <v>20.86</v>
      </c>
      <c r="H357" s="18">
        <f t="shared" si="21"/>
        <v>20.415616938562881</v>
      </c>
      <c r="I357">
        <f t="shared" si="23"/>
        <v>177336.04561698667</v>
      </c>
    </row>
    <row r="358" spans="1:9" ht="18" x14ac:dyDescent="0.2">
      <c r="A358" s="2">
        <v>38649</v>
      </c>
      <c r="B358" s="3">
        <v>0.25</v>
      </c>
      <c r="C358">
        <f t="shared" si="20"/>
        <v>0.23055482840706604</v>
      </c>
      <c r="E358" s="18">
        <f t="shared" si="22"/>
        <v>118768.03174293046</v>
      </c>
      <c r="G358" s="30">
        <v>21.64</v>
      </c>
      <c r="H358" s="18">
        <f t="shared" si="21"/>
        <v>20.53222484917594</v>
      </c>
      <c r="I358">
        <f t="shared" si="23"/>
        <v>177336.04561698667</v>
      </c>
    </row>
    <row r="359" spans="1:9" ht="18" x14ac:dyDescent="0.2">
      <c r="A359" s="2">
        <v>38656</v>
      </c>
      <c r="B359" s="3">
        <v>0.26</v>
      </c>
      <c r="C359">
        <f t="shared" si="20"/>
        <v>0.23335913046353593</v>
      </c>
      <c r="E359" s="18">
        <f t="shared" si="22"/>
        <v>118768.03174293046</v>
      </c>
      <c r="G359" s="30">
        <v>22.15</v>
      </c>
      <c r="H359" s="18">
        <f t="shared" si="21"/>
        <v>20.686298673063945</v>
      </c>
      <c r="I359">
        <f t="shared" si="23"/>
        <v>177336.04561698667</v>
      </c>
    </row>
    <row r="360" spans="1:9" ht="18" x14ac:dyDescent="0.2">
      <c r="A360" s="2">
        <v>38663</v>
      </c>
      <c r="B360" s="3">
        <v>0.26</v>
      </c>
      <c r="C360">
        <f t="shared" si="20"/>
        <v>0.23589635613367538</v>
      </c>
      <c r="E360" s="18">
        <f t="shared" si="22"/>
        <v>118768.03174293046</v>
      </c>
      <c r="G360" s="30">
        <v>22.72</v>
      </c>
      <c r="H360" s="18">
        <f t="shared" si="21"/>
        <v>20.879984513724523</v>
      </c>
      <c r="I360">
        <f t="shared" si="23"/>
        <v>177336.04561698667</v>
      </c>
    </row>
    <row r="361" spans="1:9" ht="18" x14ac:dyDescent="0.2">
      <c r="A361" s="2">
        <v>38670</v>
      </c>
      <c r="B361" s="3">
        <v>0.28000000000000003</v>
      </c>
      <c r="C361">
        <f t="shared" si="20"/>
        <v>0.24009670316856344</v>
      </c>
      <c r="E361" s="18">
        <f t="shared" si="22"/>
        <v>118768.03174293046</v>
      </c>
      <c r="G361" s="30">
        <v>22.58</v>
      </c>
      <c r="H361" s="18">
        <f t="shared" si="21"/>
        <v>21.041890750512664</v>
      </c>
      <c r="I361">
        <f t="shared" si="23"/>
        <v>177336.04561698667</v>
      </c>
    </row>
    <row r="362" spans="1:9" ht="18" x14ac:dyDescent="0.2">
      <c r="A362" s="2">
        <v>38677</v>
      </c>
      <c r="B362" s="3">
        <v>0.28999999999999998</v>
      </c>
      <c r="C362">
        <f t="shared" si="20"/>
        <v>0.24484939810489073</v>
      </c>
      <c r="E362" s="18">
        <f t="shared" si="22"/>
        <v>118768.03174293046</v>
      </c>
      <c r="G362" s="30">
        <v>23.07</v>
      </c>
      <c r="H362" s="18">
        <f t="shared" si="21"/>
        <v>21.235044012368601</v>
      </c>
      <c r="I362">
        <f t="shared" si="23"/>
        <v>177336.04561698667</v>
      </c>
    </row>
    <row r="363" spans="1:9" ht="18" x14ac:dyDescent="0.2">
      <c r="A363" s="2">
        <v>38684</v>
      </c>
      <c r="B363" s="3">
        <v>0.28000000000000003</v>
      </c>
      <c r="C363">
        <f t="shared" si="20"/>
        <v>0.24819707447585351</v>
      </c>
      <c r="E363" s="18">
        <f t="shared" si="22"/>
        <v>118768.03174293046</v>
      </c>
      <c r="G363" s="30">
        <v>23.15</v>
      </c>
      <c r="H363" s="18">
        <f t="shared" si="21"/>
        <v>21.417420773095401</v>
      </c>
      <c r="I363">
        <f t="shared" si="23"/>
        <v>177336.04561698667</v>
      </c>
    </row>
    <row r="364" spans="1:9" ht="18" x14ac:dyDescent="0.2">
      <c r="A364" s="2">
        <v>38691</v>
      </c>
      <c r="B364" s="3">
        <v>0.28000000000000003</v>
      </c>
      <c r="C364">
        <f t="shared" si="20"/>
        <v>0.25122592452577225</v>
      </c>
      <c r="E364" s="18">
        <f t="shared" si="22"/>
        <v>118768.03174293046</v>
      </c>
      <c r="G364" s="30">
        <v>23.23</v>
      </c>
      <c r="H364" s="18">
        <f t="shared" si="21"/>
        <v>21.590047366133934</v>
      </c>
      <c r="I364">
        <f t="shared" si="23"/>
        <v>177336.04561698667</v>
      </c>
    </row>
    <row r="365" spans="1:9" ht="18" x14ac:dyDescent="0.2">
      <c r="A365" s="2">
        <v>38698</v>
      </c>
      <c r="B365" s="3">
        <v>0.28000000000000003</v>
      </c>
      <c r="C365">
        <f t="shared" si="20"/>
        <v>0.25396631266617492</v>
      </c>
      <c r="E365" s="18">
        <f t="shared" si="22"/>
        <v>118768.03174293046</v>
      </c>
      <c r="G365" s="30">
        <v>23.62</v>
      </c>
      <c r="H365" s="18">
        <f t="shared" si="21"/>
        <v>21.783376188406894</v>
      </c>
      <c r="I365">
        <f t="shared" si="23"/>
        <v>177336.04561698667</v>
      </c>
    </row>
    <row r="366" spans="1:9" ht="18" x14ac:dyDescent="0.2">
      <c r="A366" s="2">
        <v>38705</v>
      </c>
      <c r="B366" s="3">
        <v>0.28999999999999998</v>
      </c>
      <c r="C366">
        <f t="shared" si="20"/>
        <v>0.25739809241225348</v>
      </c>
      <c r="E366" s="18">
        <f t="shared" si="22"/>
        <v>118768.03174293046</v>
      </c>
      <c r="G366" s="30">
        <v>23.87</v>
      </c>
      <c r="H366" s="18">
        <f t="shared" si="21"/>
        <v>21.982102265701474</v>
      </c>
      <c r="I366">
        <f t="shared" si="23"/>
        <v>177336.04561698667</v>
      </c>
    </row>
    <row r="367" spans="1:9" ht="18" x14ac:dyDescent="0.2">
      <c r="A367" s="2">
        <v>38712</v>
      </c>
      <c r="B367" s="3">
        <v>0.28000000000000003</v>
      </c>
      <c r="C367">
        <f t="shared" si="20"/>
        <v>0.25955065503965791</v>
      </c>
      <c r="E367" s="18">
        <f t="shared" si="22"/>
        <v>118768.03174293046</v>
      </c>
      <c r="G367" s="30">
        <v>23.56</v>
      </c>
      <c r="H367" s="18">
        <f t="shared" si="21"/>
        <v>22.132378240396573</v>
      </c>
      <c r="I367">
        <f t="shared" si="23"/>
        <v>177336.04561698667</v>
      </c>
    </row>
    <row r="368" spans="1:9" ht="18" x14ac:dyDescent="0.2">
      <c r="A368" s="2">
        <v>38719</v>
      </c>
      <c r="B368" s="3">
        <v>0.31</v>
      </c>
      <c r="C368">
        <f t="shared" si="20"/>
        <v>0.2643553545596905</v>
      </c>
      <c r="E368" s="18">
        <f t="shared" si="22"/>
        <v>118768.03174293046</v>
      </c>
      <c r="G368" s="30">
        <v>23.76</v>
      </c>
      <c r="H368" s="18">
        <f t="shared" si="21"/>
        <v>22.287389836549281</v>
      </c>
      <c r="I368">
        <f t="shared" si="23"/>
        <v>177336.04561698667</v>
      </c>
    </row>
    <row r="369" spans="1:9" ht="18" x14ac:dyDescent="0.2">
      <c r="A369" s="2">
        <v>38726</v>
      </c>
      <c r="B369" s="3">
        <v>0.32</v>
      </c>
      <c r="C369">
        <f t="shared" si="20"/>
        <v>0.26965484460162475</v>
      </c>
      <c r="E369" s="18">
        <f t="shared" si="22"/>
        <v>118768.03174293046</v>
      </c>
      <c r="G369" s="30">
        <v>23.9</v>
      </c>
      <c r="H369" s="18">
        <f t="shared" si="21"/>
        <v>22.440971756877921</v>
      </c>
      <c r="I369">
        <f t="shared" si="23"/>
        <v>177336.04561698667</v>
      </c>
    </row>
    <row r="370" spans="1:9" ht="18" x14ac:dyDescent="0.2">
      <c r="A370" s="2">
        <v>38733</v>
      </c>
      <c r="B370" s="3">
        <v>0.33</v>
      </c>
      <c r="C370">
        <f t="shared" si="20"/>
        <v>0.27540200225861289</v>
      </c>
      <c r="E370" s="18">
        <f t="shared" si="22"/>
        <v>118768.03174293046</v>
      </c>
      <c r="G370" s="3">
        <v>21.94</v>
      </c>
      <c r="H370" s="18">
        <f t="shared" si="21"/>
        <v>22.393260160984788</v>
      </c>
      <c r="I370">
        <f t="shared" si="23"/>
        <v>177336.04561698667</v>
      </c>
    </row>
    <row r="371" spans="1:9" ht="18" x14ac:dyDescent="0.2">
      <c r="A371" s="2">
        <v>38740</v>
      </c>
      <c r="B371" s="3">
        <v>0.35</v>
      </c>
      <c r="C371">
        <f t="shared" si="20"/>
        <v>0.2825065734720783</v>
      </c>
      <c r="E371" s="18">
        <f t="shared" si="22"/>
        <v>118768.03174293046</v>
      </c>
      <c r="G371" s="3">
        <v>21.79</v>
      </c>
      <c r="H371" s="18">
        <f t="shared" si="21"/>
        <v>22.335806812319571</v>
      </c>
      <c r="I371">
        <f t="shared" si="23"/>
        <v>176123.6296259863</v>
      </c>
    </row>
    <row r="372" spans="1:9" ht="18" x14ac:dyDescent="0.2">
      <c r="A372" s="2">
        <v>38747</v>
      </c>
      <c r="B372" s="3">
        <v>0.34</v>
      </c>
      <c r="C372">
        <f t="shared" si="20"/>
        <v>0.28798213790330895</v>
      </c>
      <c r="E372" s="18">
        <f t="shared" si="22"/>
        <v>118768.03174293046</v>
      </c>
      <c r="G372" s="3">
        <v>21.24</v>
      </c>
      <c r="H372" s="18">
        <f t="shared" si="21"/>
        <v>22.231444258765325</v>
      </c>
      <c r="I372">
        <f t="shared" si="23"/>
        <v>171678.10432565163</v>
      </c>
    </row>
    <row r="373" spans="1:9" ht="18" x14ac:dyDescent="0.2">
      <c r="A373" s="2">
        <v>38754</v>
      </c>
      <c r="B373" s="3">
        <v>0.34</v>
      </c>
      <c r="C373">
        <f t="shared" si="20"/>
        <v>0.29293622000775571</v>
      </c>
      <c r="E373" s="18">
        <f t="shared" si="22"/>
        <v>118768.03174293046</v>
      </c>
      <c r="G373" s="3">
        <v>21.33</v>
      </c>
      <c r="H373" s="18">
        <f t="shared" si="21"/>
        <v>22.145592424597201</v>
      </c>
      <c r="I373">
        <f t="shared" si="23"/>
        <v>172405.55392025184</v>
      </c>
    </row>
    <row r="374" spans="1:9" ht="18" x14ac:dyDescent="0.2">
      <c r="A374" s="2">
        <v>38761</v>
      </c>
      <c r="B374" s="3">
        <v>0.36</v>
      </c>
      <c r="C374">
        <f t="shared" si="20"/>
        <v>0.29932324667368376</v>
      </c>
      <c r="E374" s="18">
        <f t="shared" si="22"/>
        <v>118768.03174293046</v>
      </c>
      <c r="G374" s="3">
        <v>21.72</v>
      </c>
      <c r="H374" s="18">
        <f t="shared" si="21"/>
        <v>22.105059812730801</v>
      </c>
      <c r="I374">
        <f t="shared" si="23"/>
        <v>175557.83549685279</v>
      </c>
    </row>
    <row r="375" spans="1:9" ht="18" x14ac:dyDescent="0.2">
      <c r="A375" s="2">
        <v>38768</v>
      </c>
      <c r="B375" s="3">
        <v>0.35</v>
      </c>
      <c r="C375">
        <f t="shared" si="20"/>
        <v>0.30414960413333292</v>
      </c>
      <c r="E375" s="18">
        <f t="shared" si="22"/>
        <v>118768.03174293046</v>
      </c>
      <c r="G375" s="3">
        <v>21.6</v>
      </c>
      <c r="H375" s="18">
        <f t="shared" si="21"/>
        <v>22.056958878185011</v>
      </c>
      <c r="I375">
        <f t="shared" si="23"/>
        <v>174587.90270405251</v>
      </c>
    </row>
    <row r="376" spans="1:9" ht="18" x14ac:dyDescent="0.2">
      <c r="A376" s="2">
        <v>38775</v>
      </c>
      <c r="B376" s="3">
        <v>0.38</v>
      </c>
      <c r="C376">
        <f t="shared" si="20"/>
        <v>0.31137345135872979</v>
      </c>
      <c r="E376" s="18">
        <f t="shared" si="22"/>
        <v>118768.03174293046</v>
      </c>
      <c r="G376" s="3">
        <v>21.04</v>
      </c>
      <c r="H376" s="18">
        <f t="shared" si="21"/>
        <v>21.960105651691201</v>
      </c>
      <c r="I376">
        <f t="shared" si="23"/>
        <v>170061.54967098447</v>
      </c>
    </row>
    <row r="377" spans="1:9" ht="18" x14ac:dyDescent="0.2">
      <c r="A377" s="2">
        <v>38782</v>
      </c>
      <c r="B377" s="3">
        <v>0.36</v>
      </c>
      <c r="C377">
        <f t="shared" si="20"/>
        <v>0.31600455122932697</v>
      </c>
      <c r="E377" s="18">
        <f t="shared" si="22"/>
        <v>118768.03174293046</v>
      </c>
      <c r="G377" s="3">
        <v>21.31</v>
      </c>
      <c r="H377" s="18">
        <f t="shared" si="21"/>
        <v>21.898190827720612</v>
      </c>
      <c r="I377">
        <f t="shared" si="23"/>
        <v>172243.89845478514</v>
      </c>
    </row>
    <row r="378" spans="1:9" ht="18" x14ac:dyDescent="0.2">
      <c r="A378" s="2">
        <v>38789</v>
      </c>
      <c r="B378" s="3">
        <v>0.37</v>
      </c>
      <c r="C378">
        <f t="shared" si="20"/>
        <v>0.32114697492177202</v>
      </c>
      <c r="E378" s="18">
        <f t="shared" si="22"/>
        <v>118768.03174293046</v>
      </c>
      <c r="G378" s="3">
        <v>21.62</v>
      </c>
      <c r="H378" s="18">
        <f t="shared" si="21"/>
        <v>21.871696463175791</v>
      </c>
      <c r="I378">
        <f t="shared" si="23"/>
        <v>174749.55816951927</v>
      </c>
    </row>
    <row r="379" spans="1:9" ht="18" x14ac:dyDescent="0.2">
      <c r="A379" s="2">
        <v>38796</v>
      </c>
      <c r="B379" s="3">
        <v>0.4</v>
      </c>
      <c r="C379">
        <f t="shared" si="20"/>
        <v>0.32865678683398419</v>
      </c>
      <c r="E379" s="18">
        <f t="shared" si="22"/>
        <v>118768.03174293046</v>
      </c>
      <c r="G379" s="3">
        <v>20.81</v>
      </c>
      <c r="H379" s="18">
        <f t="shared" si="21"/>
        <v>21.770582514301907</v>
      </c>
      <c r="I379">
        <f t="shared" si="23"/>
        <v>168202.51181811729</v>
      </c>
    </row>
    <row r="380" spans="1:9" ht="18" x14ac:dyDescent="0.2">
      <c r="A380" s="2">
        <v>38803</v>
      </c>
      <c r="B380" s="3">
        <v>0.44</v>
      </c>
      <c r="C380">
        <f t="shared" si="20"/>
        <v>0.33926090237360473</v>
      </c>
      <c r="E380" s="18">
        <f t="shared" si="22"/>
        <v>118768.03174293046</v>
      </c>
      <c r="G380" s="3">
        <v>20.76</v>
      </c>
      <c r="H380" s="18">
        <f t="shared" si="21"/>
        <v>21.674336560558867</v>
      </c>
      <c r="I380">
        <f t="shared" si="23"/>
        <v>167798.37315445053</v>
      </c>
    </row>
    <row r="381" spans="1:9" ht="18" x14ac:dyDescent="0.2">
      <c r="A381" s="2">
        <v>38810</v>
      </c>
      <c r="B381" s="3">
        <v>0.47</v>
      </c>
      <c r="C381">
        <f t="shared" si="20"/>
        <v>0.35171224500469001</v>
      </c>
      <c r="E381" s="18">
        <f t="shared" si="22"/>
        <v>118768.03174293046</v>
      </c>
      <c r="G381" s="3">
        <v>20.13</v>
      </c>
      <c r="H381" s="18">
        <f t="shared" si="21"/>
        <v>21.52725688812469</v>
      </c>
      <c r="I381">
        <f t="shared" si="23"/>
        <v>162706.22599224898</v>
      </c>
    </row>
    <row r="382" spans="1:9" ht="18" x14ac:dyDescent="0.2">
      <c r="A382" s="2">
        <v>38817</v>
      </c>
      <c r="B382" s="3">
        <v>0.45</v>
      </c>
      <c r="C382">
        <f t="shared" si="20"/>
        <v>0.36107298357567191</v>
      </c>
      <c r="E382" s="18">
        <f t="shared" si="22"/>
        <v>118768.03174293046</v>
      </c>
      <c r="G382" s="3">
        <v>19.739999999999998</v>
      </c>
      <c r="H382" s="18">
        <f t="shared" si="21"/>
        <v>21.357041946398528</v>
      </c>
      <c r="I382">
        <f t="shared" si="23"/>
        <v>159553.94441564803</v>
      </c>
    </row>
    <row r="383" spans="1:9" ht="18" x14ac:dyDescent="0.2">
      <c r="A383" s="2">
        <v>38824</v>
      </c>
      <c r="B383" s="3">
        <v>0.43</v>
      </c>
      <c r="C383">
        <f t="shared" si="20"/>
        <v>0.36763746133036984</v>
      </c>
      <c r="E383" s="18">
        <f t="shared" si="22"/>
        <v>118768.03174293046</v>
      </c>
      <c r="G383" s="3">
        <v>19.88</v>
      </c>
      <c r="H383" s="18">
        <f t="shared" si="21"/>
        <v>21.216371284836764</v>
      </c>
      <c r="I383">
        <f t="shared" si="23"/>
        <v>160685.53267391503</v>
      </c>
    </row>
    <row r="384" spans="1:9" ht="18" x14ac:dyDescent="0.2">
      <c r="A384" s="2">
        <v>38831</v>
      </c>
      <c r="B384" s="3">
        <v>0.45</v>
      </c>
      <c r="C384">
        <f t="shared" si="20"/>
        <v>0.37548151263223939</v>
      </c>
      <c r="E384" s="18">
        <f t="shared" si="22"/>
        <v>118768.03174293046</v>
      </c>
      <c r="G384" s="3">
        <v>19.75</v>
      </c>
      <c r="H384" s="18">
        <f t="shared" si="21"/>
        <v>21.076716876757072</v>
      </c>
      <c r="I384">
        <f t="shared" si="23"/>
        <v>159634.77214838139</v>
      </c>
    </row>
    <row r="385" spans="1:9" ht="18" x14ac:dyDescent="0.2">
      <c r="A385" s="2">
        <v>38838</v>
      </c>
      <c r="B385" s="3">
        <v>0.48</v>
      </c>
      <c r="C385">
        <f t="shared" si="20"/>
        <v>0.38543565428631182</v>
      </c>
      <c r="E385" s="18">
        <f t="shared" si="22"/>
        <v>118768.03174293046</v>
      </c>
      <c r="G385" s="3">
        <v>20.3</v>
      </c>
      <c r="H385" s="18">
        <f t="shared" si="21"/>
        <v>21.002743840875446</v>
      </c>
      <c r="I385">
        <f t="shared" si="23"/>
        <v>164080.29744871607</v>
      </c>
    </row>
    <row r="386" spans="1:9" ht="18" x14ac:dyDescent="0.2">
      <c r="A386" s="2">
        <v>38845</v>
      </c>
      <c r="B386" s="3">
        <v>0.4</v>
      </c>
      <c r="C386">
        <f t="shared" si="20"/>
        <v>0.38682273483047258</v>
      </c>
      <c r="E386" s="18">
        <f t="shared" si="22"/>
        <v>118768.03174293046</v>
      </c>
      <c r="G386" s="3">
        <v>20.66</v>
      </c>
      <c r="H386" s="18">
        <f t="shared" si="21"/>
        <v>20.97010157031588</v>
      </c>
      <c r="I386">
        <f t="shared" si="23"/>
        <v>166990.09582711695</v>
      </c>
    </row>
    <row r="387" spans="1:9" ht="18" x14ac:dyDescent="0.2">
      <c r="A387" s="2">
        <v>38852</v>
      </c>
      <c r="B387" s="3">
        <v>0.37</v>
      </c>
      <c r="C387">
        <f t="shared" si="20"/>
        <v>0.3852205696085228</v>
      </c>
      <c r="E387" s="18">
        <f t="shared" si="22"/>
        <v>118768.03174293046</v>
      </c>
      <c r="G387" s="3">
        <v>20.73</v>
      </c>
      <c r="H387" s="18">
        <f t="shared" si="21"/>
        <v>20.947234754095319</v>
      </c>
      <c r="I387">
        <f t="shared" si="23"/>
        <v>167555.88995625047</v>
      </c>
    </row>
    <row r="388" spans="1:9" ht="18" x14ac:dyDescent="0.2">
      <c r="A388" s="2">
        <v>38859</v>
      </c>
      <c r="B388" s="3">
        <v>0.37</v>
      </c>
      <c r="C388">
        <f t="shared" si="20"/>
        <v>0.38377099155056826</v>
      </c>
      <c r="E388" s="18">
        <f t="shared" si="22"/>
        <v>118768.03174293046</v>
      </c>
      <c r="G388" s="3">
        <v>20.059999999999999</v>
      </c>
      <c r="H388" s="18">
        <f t="shared" si="21"/>
        <v>20.86273620608624</v>
      </c>
      <c r="I388">
        <f t="shared" si="23"/>
        <v>162140.43186311549</v>
      </c>
    </row>
    <row r="389" spans="1:9" ht="18" x14ac:dyDescent="0.2">
      <c r="A389" s="2">
        <v>38866</v>
      </c>
      <c r="B389" s="3">
        <v>0.36</v>
      </c>
      <c r="C389">
        <f t="shared" si="20"/>
        <v>0.38150708759337126</v>
      </c>
      <c r="E389" s="18">
        <f t="shared" si="22"/>
        <v>115558.08493906746</v>
      </c>
      <c r="G389" s="3">
        <v>20.99</v>
      </c>
      <c r="H389" s="18">
        <f t="shared" si="21"/>
        <v>20.87485656741136</v>
      </c>
      <c r="I389">
        <f t="shared" si="23"/>
        <v>169657.41100731774</v>
      </c>
    </row>
    <row r="390" spans="1:9" ht="18" x14ac:dyDescent="0.2">
      <c r="A390" s="2">
        <v>38873</v>
      </c>
      <c r="B390" s="3">
        <v>0.33</v>
      </c>
      <c r="C390">
        <f t="shared" si="20"/>
        <v>0.37660165067971685</v>
      </c>
      <c r="E390" s="18">
        <f t="shared" si="22"/>
        <v>105928.24452747851</v>
      </c>
      <c r="G390" s="3">
        <v>20.84</v>
      </c>
      <c r="H390" s="18">
        <f t="shared" si="21"/>
        <v>20.871536894324564</v>
      </c>
      <c r="I390">
        <f t="shared" si="23"/>
        <v>169657.41100731774</v>
      </c>
    </row>
    <row r="391" spans="1:9" ht="18" x14ac:dyDescent="0.2">
      <c r="A391" s="2">
        <v>38880</v>
      </c>
      <c r="B391" s="3">
        <v>0.33</v>
      </c>
      <c r="C391">
        <f t="shared" si="20"/>
        <v>0.37216339823402955</v>
      </c>
      <c r="E391" s="18">
        <f t="shared" si="22"/>
        <v>105928.2445274785</v>
      </c>
      <c r="G391" s="3">
        <v>20.7</v>
      </c>
      <c r="H391" s="18">
        <f t="shared" si="21"/>
        <v>20.855200047246033</v>
      </c>
      <c r="I391">
        <f t="shared" si="23"/>
        <v>168517.67791993651</v>
      </c>
    </row>
    <row r="392" spans="1:9" ht="18" x14ac:dyDescent="0.2">
      <c r="A392" s="2">
        <v>38887</v>
      </c>
      <c r="B392" s="3">
        <v>0.31</v>
      </c>
      <c r="C392">
        <f t="shared" si="20"/>
        <v>0.3662430745926934</v>
      </c>
      <c r="E392" s="18">
        <f t="shared" si="22"/>
        <v>99508.350919752513</v>
      </c>
      <c r="G392" s="3">
        <v>20.63</v>
      </c>
      <c r="H392" s="18">
        <f t="shared" si="21"/>
        <v>20.83375242369879</v>
      </c>
      <c r="I392">
        <f t="shared" si="23"/>
        <v>167947.8113762459</v>
      </c>
    </row>
    <row r="393" spans="1:9" ht="18" x14ac:dyDescent="0.2">
      <c r="A393" s="2">
        <v>38894</v>
      </c>
      <c r="B393" s="3">
        <v>0.33</v>
      </c>
      <c r="C393">
        <f t="shared" si="20"/>
        <v>0.36279135320291306</v>
      </c>
      <c r="E393" s="18">
        <f t="shared" si="22"/>
        <v>105928.24452747848</v>
      </c>
      <c r="G393" s="3">
        <v>21</v>
      </c>
      <c r="H393" s="18">
        <f t="shared" si="21"/>
        <v>20.849585526203668</v>
      </c>
      <c r="I393">
        <f t="shared" si="23"/>
        <v>170959.96310718197</v>
      </c>
    </row>
    <row r="394" spans="1:9" ht="18" x14ac:dyDescent="0.2">
      <c r="A394" s="2">
        <v>38901</v>
      </c>
      <c r="B394" s="3">
        <v>0.3</v>
      </c>
      <c r="C394">
        <f t="shared" si="20"/>
        <v>0.35681122432644513</v>
      </c>
      <c r="E394" s="18">
        <f t="shared" si="22"/>
        <v>96298.404115889527</v>
      </c>
      <c r="G394" s="3">
        <v>20.71</v>
      </c>
      <c r="H394" s="18">
        <f t="shared" si="21"/>
        <v>20.836291666565224</v>
      </c>
      <c r="I394">
        <f t="shared" si="23"/>
        <v>170959.96310718197</v>
      </c>
    </row>
    <row r="395" spans="1:9" ht="18" x14ac:dyDescent="0.2">
      <c r="A395" s="2">
        <v>38908</v>
      </c>
      <c r="B395" s="3">
        <v>0.27</v>
      </c>
      <c r="C395">
        <f t="shared" si="20"/>
        <v>0.34854348867630752</v>
      </c>
      <c r="E395" s="18">
        <f t="shared" si="22"/>
        <v>86668.563704300585</v>
      </c>
      <c r="G395" s="3">
        <v>20.41</v>
      </c>
      <c r="H395" s="18">
        <f t="shared" si="21"/>
        <v>20.795692460225677</v>
      </c>
      <c r="I395">
        <f t="shared" si="23"/>
        <v>168483.47885164578</v>
      </c>
    </row>
    <row r="396" spans="1:9" ht="18" x14ac:dyDescent="0.2">
      <c r="A396" s="2">
        <v>38915</v>
      </c>
      <c r="B396" s="3">
        <v>0.27</v>
      </c>
      <c r="C396">
        <f t="shared" si="20"/>
        <v>0.3410631564214211</v>
      </c>
      <c r="E396" s="18">
        <f t="shared" si="22"/>
        <v>86668.563704300585</v>
      </c>
      <c r="G396" s="3">
        <v>20.46</v>
      </c>
      <c r="H396" s="18">
        <f t="shared" si="21"/>
        <v>20.763721749727992</v>
      </c>
      <c r="I396">
        <f t="shared" si="23"/>
        <v>168896.22622756849</v>
      </c>
    </row>
    <row r="397" spans="1:9" ht="18" x14ac:dyDescent="0.2">
      <c r="A397" s="2">
        <v>38922</v>
      </c>
      <c r="B397" s="3">
        <v>0.35</v>
      </c>
      <c r="C397">
        <f t="shared" si="20"/>
        <v>0.34191428438128574</v>
      </c>
      <c r="E397" s="18">
        <f t="shared" si="22"/>
        <v>112348.13813520446</v>
      </c>
      <c r="G397" s="3">
        <v>21.08</v>
      </c>
      <c r="H397" s="18">
        <f t="shared" si="21"/>
        <v>20.793843487849134</v>
      </c>
      <c r="I397">
        <f t="shared" si="23"/>
        <v>174014.29368900994</v>
      </c>
    </row>
    <row r="398" spans="1:9" ht="18" x14ac:dyDescent="0.2">
      <c r="A398" s="2">
        <v>38929</v>
      </c>
      <c r="B398" s="3">
        <v>0.37</v>
      </c>
      <c r="C398">
        <f t="shared" si="20"/>
        <v>0.3445891144402109</v>
      </c>
      <c r="E398" s="18">
        <f t="shared" si="22"/>
        <v>112348.13813520446</v>
      </c>
      <c r="G398" s="3">
        <v>20.93</v>
      </c>
      <c r="H398" s="18">
        <f t="shared" si="21"/>
        <v>20.806810774720645</v>
      </c>
      <c r="I398">
        <f t="shared" si="23"/>
        <v>174014.29368900994</v>
      </c>
    </row>
    <row r="399" spans="1:9" ht="18" x14ac:dyDescent="0.2">
      <c r="A399" s="2">
        <v>38936</v>
      </c>
      <c r="B399" s="3">
        <v>0.36</v>
      </c>
      <c r="C399">
        <f t="shared" si="20"/>
        <v>0.34605681782685749</v>
      </c>
      <c r="E399" s="18">
        <f t="shared" si="22"/>
        <v>112348.13813520446</v>
      </c>
      <c r="G399" s="3">
        <v>20.66</v>
      </c>
      <c r="H399" s="18">
        <f t="shared" si="21"/>
        <v>20.792828796175822</v>
      </c>
      <c r="I399">
        <f t="shared" si="23"/>
        <v>174014.29368900994</v>
      </c>
    </row>
    <row r="400" spans="1:9" ht="18" x14ac:dyDescent="0.2">
      <c r="A400" s="2">
        <v>38943</v>
      </c>
      <c r="B400" s="3">
        <v>0.42</v>
      </c>
      <c r="C400">
        <f t="shared" si="20"/>
        <v>0.35309902565287105</v>
      </c>
      <c r="E400" s="18">
        <f t="shared" si="22"/>
        <v>112348.13813520446</v>
      </c>
      <c r="G400" s="3">
        <v>20.72</v>
      </c>
      <c r="H400" s="18">
        <f t="shared" si="21"/>
        <v>20.785892720349555</v>
      </c>
      <c r="I400">
        <f t="shared" si="23"/>
        <v>174519.65949836816</v>
      </c>
    </row>
    <row r="401" spans="1:9" ht="18" x14ac:dyDescent="0.2">
      <c r="A401" s="2">
        <v>38950</v>
      </c>
      <c r="B401" s="3">
        <v>0.4</v>
      </c>
      <c r="C401">
        <f t="shared" si="20"/>
        <v>0.35756578511450238</v>
      </c>
      <c r="E401" s="18">
        <f t="shared" si="22"/>
        <v>112348.13813520446</v>
      </c>
      <c r="G401" s="3">
        <v>20.170000000000002</v>
      </c>
      <c r="H401" s="18">
        <f t="shared" si="21"/>
        <v>20.727236270792453</v>
      </c>
      <c r="I401">
        <f t="shared" si="23"/>
        <v>169887.13957925126</v>
      </c>
    </row>
    <row r="402" spans="1:9" ht="18" x14ac:dyDescent="0.2">
      <c r="A402" s="2">
        <v>38957</v>
      </c>
      <c r="B402" s="3">
        <v>0.43</v>
      </c>
      <c r="C402">
        <f t="shared" si="20"/>
        <v>0.36446428177026408</v>
      </c>
      <c r="E402" s="18">
        <f t="shared" si="22"/>
        <v>112348.13813520446</v>
      </c>
      <c r="G402" s="3">
        <v>20.3</v>
      </c>
      <c r="H402" s="18">
        <f t="shared" si="21"/>
        <v>20.686547102145553</v>
      </c>
      <c r="I402">
        <f t="shared" si="23"/>
        <v>170982.09883286071</v>
      </c>
    </row>
    <row r="403" spans="1:9" ht="18" x14ac:dyDescent="0.2">
      <c r="A403" s="2">
        <v>38964</v>
      </c>
      <c r="B403" s="3">
        <v>0.42</v>
      </c>
      <c r="C403">
        <f t="shared" si="20"/>
        <v>0.36975339779214367</v>
      </c>
      <c r="E403" s="18">
        <f t="shared" si="22"/>
        <v>112348.13813520446</v>
      </c>
      <c r="G403" s="3">
        <v>19.78</v>
      </c>
      <c r="H403" s="18">
        <f t="shared" si="21"/>
        <v>20.600209282893594</v>
      </c>
      <c r="I403">
        <f t="shared" si="23"/>
        <v>166602.26181842291</v>
      </c>
    </row>
    <row r="404" spans="1:9" ht="18" x14ac:dyDescent="0.2">
      <c r="A404" s="2">
        <v>38971</v>
      </c>
      <c r="B404" s="3">
        <v>0.45</v>
      </c>
      <c r="C404">
        <f t="shared" si="20"/>
        <v>0.37739593133574906</v>
      </c>
      <c r="E404" s="18">
        <f t="shared" si="22"/>
        <v>112348.13813520446</v>
      </c>
      <c r="G404" s="3">
        <v>20.05</v>
      </c>
      <c r="H404" s="18">
        <f t="shared" si="21"/>
        <v>20.547808398808492</v>
      </c>
      <c r="I404">
        <f t="shared" si="23"/>
        <v>168876.40796053485</v>
      </c>
    </row>
    <row r="405" spans="1:9" ht="18" x14ac:dyDescent="0.2">
      <c r="A405" s="2">
        <v>38978</v>
      </c>
      <c r="B405" s="3">
        <v>0.46</v>
      </c>
      <c r="C405">
        <f t="shared" si="20"/>
        <v>0.38526298549424914</v>
      </c>
      <c r="E405" s="18">
        <f t="shared" si="22"/>
        <v>112348.13813520446</v>
      </c>
      <c r="G405" s="3">
        <v>20.47</v>
      </c>
      <c r="H405" s="18">
        <f t="shared" si="21"/>
        <v>20.540398075112446</v>
      </c>
      <c r="I405">
        <f t="shared" si="23"/>
        <v>172413.9686260423</v>
      </c>
    </row>
    <row r="406" spans="1:9" ht="18" x14ac:dyDescent="0.2">
      <c r="A406" s="2">
        <v>38985</v>
      </c>
      <c r="B406" s="3">
        <v>0.45</v>
      </c>
      <c r="C406">
        <f t="shared" si="20"/>
        <v>0.39142841544717782</v>
      </c>
      <c r="E406" s="18">
        <f t="shared" si="22"/>
        <v>112348.13813520446</v>
      </c>
      <c r="G406" s="3">
        <v>20.57</v>
      </c>
      <c r="H406" s="18">
        <f t="shared" si="21"/>
        <v>20.543217306054117</v>
      </c>
      <c r="I406">
        <f t="shared" si="23"/>
        <v>173256.24497497268</v>
      </c>
    </row>
    <row r="407" spans="1:9" ht="18" x14ac:dyDescent="0.2">
      <c r="A407" s="2">
        <v>38992</v>
      </c>
      <c r="B407" s="3">
        <v>0.47</v>
      </c>
      <c r="C407">
        <f t="shared" si="20"/>
        <v>0.39891142349982756</v>
      </c>
      <c r="E407" s="18">
        <f t="shared" si="22"/>
        <v>112348.13813520446</v>
      </c>
      <c r="G407" s="3">
        <v>20.03</v>
      </c>
      <c r="H407" s="18">
        <f t="shared" si="21"/>
        <v>20.494339467382297</v>
      </c>
      <c r="I407">
        <f t="shared" si="23"/>
        <v>173256.24497497268</v>
      </c>
    </row>
    <row r="408" spans="1:9" ht="18" x14ac:dyDescent="0.2">
      <c r="A408" s="2">
        <v>38999</v>
      </c>
      <c r="B408" s="3">
        <v>0.52</v>
      </c>
      <c r="C408">
        <f t="shared" si="20"/>
        <v>0.41044366888079636</v>
      </c>
      <c r="E408" s="18">
        <f t="shared" si="22"/>
        <v>112348.13813520446</v>
      </c>
      <c r="G408" s="3">
        <v>19.940000000000001</v>
      </c>
      <c r="H408" s="18">
        <f t="shared" si="21"/>
        <v>20.441545232393505</v>
      </c>
      <c r="I408">
        <f t="shared" si="23"/>
        <v>172477.75960064679</v>
      </c>
    </row>
    <row r="409" spans="1:9" ht="18" x14ac:dyDescent="0.2">
      <c r="A409" s="2">
        <v>39006</v>
      </c>
      <c r="B409" s="3">
        <v>0.49</v>
      </c>
      <c r="C409">
        <f t="shared" ref="C409:C472" si="24">(B409-C408)*$D$4+C408</f>
        <v>0.41802046232072054</v>
      </c>
      <c r="E409" s="18">
        <f t="shared" si="22"/>
        <v>112348.13813520446</v>
      </c>
      <c r="G409" s="3">
        <v>19.93</v>
      </c>
      <c r="H409" s="18">
        <f t="shared" si="21"/>
        <v>20.392826638832219</v>
      </c>
      <c r="I409">
        <f t="shared" si="23"/>
        <v>172391.26122572168</v>
      </c>
    </row>
    <row r="410" spans="1:9" ht="18" x14ac:dyDescent="0.2">
      <c r="A410" s="2">
        <v>39013</v>
      </c>
      <c r="B410" s="3">
        <v>0.49</v>
      </c>
      <c r="C410">
        <f t="shared" si="24"/>
        <v>0.4248756563854138</v>
      </c>
      <c r="E410" s="18">
        <f t="shared" si="22"/>
        <v>112348.13813520446</v>
      </c>
      <c r="G410" s="3">
        <v>20.23</v>
      </c>
      <c r="H410" s="18">
        <f t="shared" ref="H410:H473" si="25">(G410-H409)*$D$4+H409</f>
        <v>20.377319339895816</v>
      </c>
      <c r="I410">
        <f t="shared" si="23"/>
        <v>174986.21247347465</v>
      </c>
    </row>
    <row r="411" spans="1:9" ht="18" x14ac:dyDescent="0.2">
      <c r="A411" s="2">
        <v>39020</v>
      </c>
      <c r="B411" s="3">
        <v>0.5</v>
      </c>
      <c r="C411">
        <f t="shared" si="24"/>
        <v>0.43203035577727916</v>
      </c>
      <c r="E411" s="18">
        <f t="shared" si="22"/>
        <v>112348.13813520446</v>
      </c>
      <c r="G411" s="3">
        <v>20.86</v>
      </c>
      <c r="H411" s="18">
        <f t="shared" si="25"/>
        <v>20.423288926572404</v>
      </c>
      <c r="I411">
        <f t="shared" si="23"/>
        <v>180435.61009375585</v>
      </c>
    </row>
    <row r="412" spans="1:9" ht="18" x14ac:dyDescent="0.2">
      <c r="A412" s="2">
        <v>39027</v>
      </c>
      <c r="B412" s="3">
        <v>0.53</v>
      </c>
      <c r="C412">
        <f t="shared" si="24"/>
        <v>0.44136079808420497</v>
      </c>
      <c r="E412" s="18">
        <f t="shared" si="22"/>
        <v>112348.13813520446</v>
      </c>
      <c r="G412" s="3">
        <v>21.64</v>
      </c>
      <c r="H412" s="18">
        <f t="shared" si="25"/>
        <v>20.539166171660746</v>
      </c>
      <c r="I412">
        <f t="shared" si="23"/>
        <v>180435.61009375585</v>
      </c>
    </row>
    <row r="413" spans="1:9" ht="18" x14ac:dyDescent="0.2">
      <c r="A413" s="2">
        <v>39034</v>
      </c>
      <c r="B413" s="3">
        <v>0.56000000000000005</v>
      </c>
      <c r="C413">
        <f t="shared" si="24"/>
        <v>0.45265976969523308</v>
      </c>
      <c r="E413" s="18">
        <f t="shared" ref="E413:E476" si="26">IF(C412&gt;B412,E412*B413/B412,E412)</f>
        <v>112348.13813520446</v>
      </c>
      <c r="G413" s="3">
        <v>22.15</v>
      </c>
      <c r="H413" s="18">
        <f t="shared" si="25"/>
        <v>20.692578917216863</v>
      </c>
      <c r="I413">
        <f t="shared" si="23"/>
        <v>180435.61009375585</v>
      </c>
    </row>
    <row r="414" spans="1:9" ht="18" x14ac:dyDescent="0.2">
      <c r="A414" s="2">
        <v>39041</v>
      </c>
      <c r="B414" s="3">
        <v>0.56999999999999995</v>
      </c>
      <c r="C414">
        <f t="shared" si="24"/>
        <v>0.4638350297242585</v>
      </c>
      <c r="E414" s="18">
        <f t="shared" si="26"/>
        <v>112348.13813520446</v>
      </c>
      <c r="G414" s="3">
        <v>22.72</v>
      </c>
      <c r="H414" s="18">
        <f t="shared" si="25"/>
        <v>20.885666639386685</v>
      </c>
      <c r="I414">
        <f t="shared" ref="I414:I477" si="27">IF(H413&gt;G413,I413*G414/G413,I413)</f>
        <v>180435.61009375585</v>
      </c>
    </row>
    <row r="415" spans="1:9" ht="18" x14ac:dyDescent="0.2">
      <c r="A415" s="2">
        <v>39048</v>
      </c>
      <c r="B415" s="3">
        <v>0.54</v>
      </c>
      <c r="C415">
        <f t="shared" si="24"/>
        <v>0.47108883641718624</v>
      </c>
      <c r="E415" s="18">
        <f t="shared" si="26"/>
        <v>112348.13813520446</v>
      </c>
      <c r="G415" s="3">
        <v>22.58</v>
      </c>
      <c r="H415" s="18">
        <f t="shared" si="25"/>
        <v>21.047031721349857</v>
      </c>
      <c r="I415">
        <f t="shared" si="27"/>
        <v>180435.61009375585</v>
      </c>
    </row>
    <row r="416" spans="1:9" ht="18" x14ac:dyDescent="0.2">
      <c r="A416" s="2">
        <v>39055</v>
      </c>
      <c r="B416" s="3">
        <v>0.54</v>
      </c>
      <c r="C416">
        <f t="shared" si="24"/>
        <v>0.47765180437745425</v>
      </c>
      <c r="E416" s="18">
        <f t="shared" si="26"/>
        <v>112348.13813520446</v>
      </c>
      <c r="G416" s="3">
        <v>23.07</v>
      </c>
      <c r="H416" s="18">
        <f t="shared" si="25"/>
        <v>21.239695366935585</v>
      </c>
      <c r="I416">
        <f t="shared" si="27"/>
        <v>180435.61009375585</v>
      </c>
    </row>
    <row r="417" spans="1:9" ht="18" x14ac:dyDescent="0.2">
      <c r="A417" s="2">
        <v>39062</v>
      </c>
      <c r="B417" s="3">
        <v>0.56999999999999995</v>
      </c>
      <c r="C417">
        <f t="shared" si="24"/>
        <v>0.48644687062722053</v>
      </c>
      <c r="E417" s="18">
        <f t="shared" si="26"/>
        <v>112348.13813520446</v>
      </c>
      <c r="G417" s="3">
        <v>23.15</v>
      </c>
      <c r="H417" s="18">
        <f t="shared" si="25"/>
        <v>21.421629141513147</v>
      </c>
      <c r="I417">
        <f t="shared" si="27"/>
        <v>180435.61009375585</v>
      </c>
    </row>
    <row r="418" spans="1:9" ht="18" x14ac:dyDescent="0.2">
      <c r="A418" s="2">
        <v>39069</v>
      </c>
      <c r="B418" s="3">
        <v>0.56999999999999995</v>
      </c>
      <c r="C418">
        <f t="shared" si="24"/>
        <v>0.49440431151986619</v>
      </c>
      <c r="E418" s="18">
        <f t="shared" si="26"/>
        <v>112348.13813520446</v>
      </c>
      <c r="G418" s="3">
        <v>23.23</v>
      </c>
      <c r="H418" s="18">
        <f t="shared" si="25"/>
        <v>21.593854937559513</v>
      </c>
      <c r="I418">
        <f t="shared" si="27"/>
        <v>180435.61009375585</v>
      </c>
    </row>
    <row r="419" spans="1:9" ht="18" x14ac:dyDescent="0.2">
      <c r="A419" s="2">
        <v>39076</v>
      </c>
      <c r="B419" s="3">
        <v>0.56999999999999995</v>
      </c>
      <c r="C419">
        <f t="shared" si="24"/>
        <v>0.50160390089892659</v>
      </c>
      <c r="E419" s="18">
        <f t="shared" si="26"/>
        <v>112348.13813520446</v>
      </c>
      <c r="G419" s="3">
        <v>23.62</v>
      </c>
      <c r="H419" s="18">
        <f t="shared" si="25"/>
        <v>21.786821133982418</v>
      </c>
      <c r="I419">
        <f t="shared" si="27"/>
        <v>180435.61009375585</v>
      </c>
    </row>
    <row r="420" spans="1:9" ht="18" x14ac:dyDescent="0.2">
      <c r="A420" s="2">
        <v>39083</v>
      </c>
      <c r="B420" s="3">
        <v>0.51</v>
      </c>
      <c r="C420">
        <f t="shared" si="24"/>
        <v>0.50240352938474309</v>
      </c>
      <c r="E420" s="18">
        <f t="shared" si="26"/>
        <v>112348.13813520446</v>
      </c>
      <c r="G420" s="3">
        <v>23.87</v>
      </c>
      <c r="H420" s="18">
        <f t="shared" si="25"/>
        <v>21.985219121222187</v>
      </c>
      <c r="I420">
        <f t="shared" si="27"/>
        <v>180435.61009375585</v>
      </c>
    </row>
    <row r="421" spans="1:9" ht="18" x14ac:dyDescent="0.2">
      <c r="A421" s="2">
        <v>39090</v>
      </c>
      <c r="B421" s="3">
        <v>0.54</v>
      </c>
      <c r="C421">
        <f t="shared" si="24"/>
        <v>0.50598414563381522</v>
      </c>
      <c r="E421" s="18">
        <f t="shared" si="26"/>
        <v>112348.13813520446</v>
      </c>
      <c r="G421" s="3">
        <v>23.56</v>
      </c>
      <c r="H421" s="18">
        <f t="shared" si="25"/>
        <v>22.135198252534359</v>
      </c>
      <c r="I421">
        <f t="shared" si="27"/>
        <v>180435.61009375585</v>
      </c>
    </row>
    <row r="422" spans="1:9" ht="18" x14ac:dyDescent="0.2">
      <c r="A422" s="2">
        <v>39097</v>
      </c>
      <c r="B422" s="3">
        <v>0.49</v>
      </c>
      <c r="C422">
        <f t="shared" si="24"/>
        <v>0.50446184604964239</v>
      </c>
      <c r="E422" s="18">
        <f t="shared" si="26"/>
        <v>112348.13813520446</v>
      </c>
      <c r="G422" s="3">
        <v>23.76</v>
      </c>
      <c r="H422" s="18">
        <f t="shared" si="25"/>
        <v>22.289941276102514</v>
      </c>
      <c r="I422">
        <f t="shared" si="27"/>
        <v>180435.61009375585</v>
      </c>
    </row>
    <row r="423" spans="1:9" ht="18" x14ac:dyDescent="0.2">
      <c r="A423" s="2">
        <v>39104</v>
      </c>
      <c r="B423" s="3">
        <v>0.48</v>
      </c>
      <c r="C423">
        <f t="shared" si="24"/>
        <v>0.5021321464258669</v>
      </c>
      <c r="E423" s="18">
        <f t="shared" si="26"/>
        <v>110055.31898958804</v>
      </c>
      <c r="G423" s="3">
        <v>23.9</v>
      </c>
      <c r="H423" s="18">
        <f t="shared" si="25"/>
        <v>22.443280202187989</v>
      </c>
      <c r="I423">
        <f t="shared" si="27"/>
        <v>180435.61009375585</v>
      </c>
    </row>
    <row r="424" spans="1:9" ht="18" x14ac:dyDescent="0.2">
      <c r="A424" s="2">
        <v>39111</v>
      </c>
      <c r="B424" s="3">
        <v>0.49</v>
      </c>
      <c r="C424">
        <f t="shared" si="24"/>
        <v>0.50097670390911764</v>
      </c>
      <c r="E424" s="18">
        <f t="shared" si="26"/>
        <v>112348.13813520446</v>
      </c>
      <c r="G424" s="3">
        <v>22.78</v>
      </c>
      <c r="H424" s="18">
        <f t="shared" si="25"/>
        <v>22.47534875436056</v>
      </c>
      <c r="I424">
        <f t="shared" si="27"/>
        <v>180435.61009375585</v>
      </c>
    </row>
    <row r="425" spans="1:9" ht="18" x14ac:dyDescent="0.2">
      <c r="A425" s="2">
        <v>39118</v>
      </c>
      <c r="B425" s="3">
        <v>0.5</v>
      </c>
      <c r="C425">
        <f t="shared" si="24"/>
        <v>0.50088368448920162</v>
      </c>
      <c r="E425" s="18">
        <f t="shared" si="26"/>
        <v>114640.95728082088</v>
      </c>
      <c r="G425" s="3">
        <v>23.8</v>
      </c>
      <c r="H425" s="18">
        <f t="shared" si="25"/>
        <v>22.601506015850031</v>
      </c>
      <c r="I425">
        <f t="shared" si="27"/>
        <v>180435.61009375585</v>
      </c>
    </row>
    <row r="426" spans="1:9" ht="18" x14ac:dyDescent="0.2">
      <c r="A426" s="2">
        <v>39125</v>
      </c>
      <c r="B426" s="3">
        <v>0.5</v>
      </c>
      <c r="C426">
        <f t="shared" si="24"/>
        <v>0.50079952406165862</v>
      </c>
      <c r="E426" s="18">
        <f t="shared" si="26"/>
        <v>114640.95728082088</v>
      </c>
      <c r="G426" s="3">
        <v>23.67</v>
      </c>
      <c r="H426" s="18">
        <f t="shared" si="25"/>
        <v>22.703267347673837</v>
      </c>
      <c r="I426">
        <f t="shared" si="27"/>
        <v>180435.61009375585</v>
      </c>
    </row>
    <row r="427" spans="1:9" ht="18" x14ac:dyDescent="0.2">
      <c r="A427" s="2">
        <v>39132</v>
      </c>
      <c r="B427" s="3">
        <v>0.5</v>
      </c>
      <c r="C427">
        <f t="shared" si="24"/>
        <v>0.50072337891292917</v>
      </c>
      <c r="E427" s="18">
        <f t="shared" si="26"/>
        <v>114640.95728082088</v>
      </c>
      <c r="G427" s="3">
        <v>23.9</v>
      </c>
      <c r="H427" s="18">
        <f t="shared" si="25"/>
        <v>22.817241885990615</v>
      </c>
      <c r="I427">
        <f t="shared" si="27"/>
        <v>180435.61009375585</v>
      </c>
    </row>
    <row r="428" spans="1:9" ht="18" x14ac:dyDescent="0.2">
      <c r="A428" s="2">
        <v>39139</v>
      </c>
      <c r="B428" s="3">
        <v>0.45</v>
      </c>
      <c r="C428">
        <f t="shared" si="24"/>
        <v>0.49589258092122163</v>
      </c>
      <c r="E428" s="18">
        <f t="shared" si="26"/>
        <v>103176.86155273879</v>
      </c>
      <c r="G428" s="3">
        <v>24.42</v>
      </c>
      <c r="H428" s="18">
        <f t="shared" si="25"/>
        <v>22.969885515896269</v>
      </c>
      <c r="I428">
        <f t="shared" si="27"/>
        <v>180435.61009375585</v>
      </c>
    </row>
    <row r="429" spans="1:9" ht="18" x14ac:dyDescent="0.2">
      <c r="A429" s="2">
        <v>39146</v>
      </c>
      <c r="B429" s="3">
        <v>0.47</v>
      </c>
      <c r="C429">
        <f t="shared" si="24"/>
        <v>0.49342662083348621</v>
      </c>
      <c r="E429" s="18">
        <f t="shared" si="26"/>
        <v>107762.49984397161</v>
      </c>
      <c r="G429" s="3">
        <v>24.95</v>
      </c>
      <c r="H429" s="18">
        <f t="shared" si="25"/>
        <v>23.158467847715674</v>
      </c>
      <c r="I429">
        <f t="shared" si="27"/>
        <v>180435.61009375585</v>
      </c>
    </row>
    <row r="430" spans="1:9" ht="18" x14ac:dyDescent="0.2">
      <c r="A430" s="2">
        <v>39153</v>
      </c>
      <c r="B430" s="3">
        <v>0.43</v>
      </c>
      <c r="C430">
        <f t="shared" si="24"/>
        <v>0.48738599027791607</v>
      </c>
      <c r="E430" s="18">
        <f t="shared" si="26"/>
        <v>98591.223261505947</v>
      </c>
      <c r="G430" s="3">
        <v>24.9</v>
      </c>
      <c r="H430" s="18">
        <f t="shared" si="25"/>
        <v>23.324328052695133</v>
      </c>
      <c r="I430">
        <f t="shared" si="27"/>
        <v>180435.61009375585</v>
      </c>
    </row>
    <row r="431" spans="1:9" ht="18" x14ac:dyDescent="0.2">
      <c r="A431" s="2">
        <v>39160</v>
      </c>
      <c r="B431" s="3">
        <v>0.46</v>
      </c>
      <c r="C431">
        <f t="shared" si="24"/>
        <v>0.48477780072763837</v>
      </c>
      <c r="E431" s="18">
        <f t="shared" si="26"/>
        <v>105469.68069835521</v>
      </c>
      <c r="G431" s="3">
        <v>24.63</v>
      </c>
      <c r="H431" s="18">
        <f t="shared" si="25"/>
        <v>23.448677761962262</v>
      </c>
      <c r="I431">
        <f t="shared" si="27"/>
        <v>180435.61009375585</v>
      </c>
    </row>
    <row r="432" spans="1:9" ht="18" x14ac:dyDescent="0.2">
      <c r="A432" s="2">
        <v>39167</v>
      </c>
      <c r="B432" s="3">
        <v>0.44</v>
      </c>
      <c r="C432">
        <f t="shared" si="24"/>
        <v>0.48051324827738712</v>
      </c>
      <c r="E432" s="18">
        <f t="shared" si="26"/>
        <v>100884.04240712237</v>
      </c>
      <c r="G432" s="3">
        <v>24.79</v>
      </c>
      <c r="H432" s="18">
        <f t="shared" si="25"/>
        <v>23.576422737013477</v>
      </c>
      <c r="I432">
        <f t="shared" si="27"/>
        <v>180435.61009375585</v>
      </c>
    </row>
    <row r="433" spans="1:9" ht="18" x14ac:dyDescent="0.2">
      <c r="A433" s="2">
        <v>39174</v>
      </c>
      <c r="B433" s="3">
        <v>0.47</v>
      </c>
      <c r="C433">
        <f t="shared" si="24"/>
        <v>0.47951198653668359</v>
      </c>
      <c r="E433" s="18">
        <f t="shared" si="26"/>
        <v>107762.49984397161</v>
      </c>
      <c r="G433" s="3">
        <v>25.21</v>
      </c>
      <c r="H433" s="18">
        <f t="shared" si="25"/>
        <v>23.732001523964573</v>
      </c>
      <c r="I433">
        <f t="shared" si="27"/>
        <v>180435.61009375585</v>
      </c>
    </row>
    <row r="434" spans="1:9" ht="18" x14ac:dyDescent="0.2">
      <c r="A434" s="2">
        <v>39181</v>
      </c>
      <c r="B434" s="3">
        <v>0.47</v>
      </c>
      <c r="C434">
        <f t="shared" si="24"/>
        <v>0.47860608305699942</v>
      </c>
      <c r="E434" s="18">
        <f t="shared" si="26"/>
        <v>107762.49984397161</v>
      </c>
      <c r="G434" s="3">
        <v>24.93</v>
      </c>
      <c r="H434" s="18">
        <f t="shared" si="25"/>
        <v>23.846096616920327</v>
      </c>
      <c r="I434">
        <f t="shared" si="27"/>
        <v>180435.61009375585</v>
      </c>
    </row>
    <row r="435" spans="1:9" ht="18" x14ac:dyDescent="0.2">
      <c r="A435" s="2">
        <v>39188</v>
      </c>
      <c r="B435" s="3">
        <v>0.49</v>
      </c>
      <c r="C435">
        <f t="shared" si="24"/>
        <v>0.47969121800395187</v>
      </c>
      <c r="E435" s="18">
        <f t="shared" si="26"/>
        <v>112348.13813520446</v>
      </c>
      <c r="G435" s="3">
        <v>24.97</v>
      </c>
      <c r="H435" s="18">
        <f t="shared" si="25"/>
        <v>23.953135034356485</v>
      </c>
      <c r="I435">
        <f t="shared" si="27"/>
        <v>180435.61009375585</v>
      </c>
    </row>
    <row r="436" spans="1:9" ht="18" x14ac:dyDescent="0.2">
      <c r="A436" s="2">
        <v>39195</v>
      </c>
      <c r="B436" s="3">
        <v>0.51</v>
      </c>
      <c r="C436">
        <f t="shared" si="24"/>
        <v>0.48257776867024216</v>
      </c>
      <c r="E436" s="18">
        <f t="shared" si="26"/>
        <v>112348.13813520446</v>
      </c>
      <c r="G436" s="3">
        <v>25.47</v>
      </c>
      <c r="H436" s="18">
        <f t="shared" si="25"/>
        <v>24.097598364417774</v>
      </c>
      <c r="I436">
        <f t="shared" si="27"/>
        <v>180435.61009375585</v>
      </c>
    </row>
    <row r="437" spans="1:9" ht="18" x14ac:dyDescent="0.2">
      <c r="A437" s="2">
        <v>39202</v>
      </c>
      <c r="B437" s="3">
        <v>0.52</v>
      </c>
      <c r="C437">
        <f t="shared" si="24"/>
        <v>0.48614179070164765</v>
      </c>
      <c r="E437" s="18">
        <f t="shared" si="26"/>
        <v>112348.13813520446</v>
      </c>
      <c r="G437" s="3">
        <v>25.66</v>
      </c>
      <c r="H437" s="18">
        <f t="shared" si="25"/>
        <v>24.246398520187508</v>
      </c>
      <c r="I437">
        <f t="shared" si="27"/>
        <v>180435.61009375585</v>
      </c>
    </row>
    <row r="438" spans="1:9" ht="18" x14ac:dyDescent="0.2">
      <c r="A438" s="2">
        <v>39209</v>
      </c>
      <c r="B438" s="3">
        <v>0.54</v>
      </c>
      <c r="C438">
        <f t="shared" si="24"/>
        <v>0.49127114396815741</v>
      </c>
      <c r="E438" s="18">
        <f t="shared" si="26"/>
        <v>112348.13813520446</v>
      </c>
      <c r="G438" s="3">
        <v>27.4</v>
      </c>
      <c r="H438" s="18">
        <f t="shared" si="25"/>
        <v>24.546741518264888</v>
      </c>
      <c r="I438">
        <f t="shared" si="27"/>
        <v>180435.61009375585</v>
      </c>
    </row>
    <row r="439" spans="1:9" ht="18" x14ac:dyDescent="0.2">
      <c r="A439" s="2">
        <v>39216</v>
      </c>
      <c r="B439" s="3">
        <v>0.54</v>
      </c>
      <c r="C439">
        <f t="shared" si="24"/>
        <v>0.49591198739976144</v>
      </c>
      <c r="E439" s="18">
        <f t="shared" si="26"/>
        <v>112348.13813520446</v>
      </c>
      <c r="G439" s="3">
        <v>28.16</v>
      </c>
      <c r="H439" s="18">
        <f t="shared" si="25"/>
        <v>24.890861373668233</v>
      </c>
      <c r="I439">
        <f t="shared" si="27"/>
        <v>180435.61009375585</v>
      </c>
    </row>
    <row r="440" spans="1:9" ht="18" x14ac:dyDescent="0.2">
      <c r="A440" s="2">
        <v>39223</v>
      </c>
      <c r="B440" s="3">
        <v>0.51</v>
      </c>
      <c r="C440">
        <f t="shared" si="24"/>
        <v>0.49725370288549847</v>
      </c>
      <c r="E440" s="18">
        <f t="shared" si="26"/>
        <v>112348.13813520446</v>
      </c>
      <c r="G440" s="3">
        <v>26.76</v>
      </c>
      <c r="H440" s="18">
        <f t="shared" si="25"/>
        <v>25.068874576176022</v>
      </c>
      <c r="I440">
        <f t="shared" si="27"/>
        <v>180435.61009375585</v>
      </c>
    </row>
    <row r="441" spans="1:9" ht="18" x14ac:dyDescent="0.2">
      <c r="A441" s="2">
        <v>39230</v>
      </c>
      <c r="B441" s="3">
        <v>0.53</v>
      </c>
      <c r="C441">
        <f t="shared" si="24"/>
        <v>0.50037239784878429</v>
      </c>
      <c r="E441" s="18">
        <f t="shared" si="26"/>
        <v>112348.13813520446</v>
      </c>
      <c r="G441" s="3">
        <v>25.81</v>
      </c>
      <c r="H441" s="18">
        <f t="shared" si="25"/>
        <v>25.139457949873542</v>
      </c>
      <c r="I441">
        <f t="shared" si="27"/>
        <v>180435.61009375585</v>
      </c>
    </row>
    <row r="442" spans="1:9" ht="18" x14ac:dyDescent="0.2">
      <c r="A442" s="2">
        <v>39237</v>
      </c>
      <c r="B442" s="3">
        <v>0.56000000000000005</v>
      </c>
      <c r="C442">
        <f t="shared" si="24"/>
        <v>0.50605121710128098</v>
      </c>
      <c r="E442" s="18">
        <f t="shared" si="26"/>
        <v>112348.13813520446</v>
      </c>
      <c r="G442" s="3">
        <v>26.1</v>
      </c>
      <c r="H442" s="18">
        <f t="shared" si="25"/>
        <v>25.23093814512368</v>
      </c>
      <c r="I442">
        <f t="shared" si="27"/>
        <v>180435.61009375585</v>
      </c>
    </row>
    <row r="443" spans="1:9" ht="18" x14ac:dyDescent="0.2">
      <c r="A443" s="2">
        <v>39244</v>
      </c>
      <c r="B443" s="3">
        <v>0.6</v>
      </c>
      <c r="C443">
        <f t="shared" si="24"/>
        <v>0.51499872023449234</v>
      </c>
      <c r="E443" s="18">
        <f t="shared" si="26"/>
        <v>112348.13813520446</v>
      </c>
      <c r="G443" s="3">
        <v>26.45</v>
      </c>
      <c r="H443" s="18">
        <f t="shared" si="25"/>
        <v>25.347039274159521</v>
      </c>
      <c r="I443">
        <f t="shared" si="27"/>
        <v>180435.61009375585</v>
      </c>
    </row>
    <row r="444" spans="1:9" ht="18" x14ac:dyDescent="0.2">
      <c r="A444" s="2">
        <v>39251</v>
      </c>
      <c r="B444" s="3">
        <v>0.67</v>
      </c>
      <c r="C444">
        <f t="shared" si="24"/>
        <v>0.52976074687882635</v>
      </c>
      <c r="E444" s="18">
        <f t="shared" si="26"/>
        <v>112348.13813520446</v>
      </c>
      <c r="G444" s="3">
        <v>25.42</v>
      </c>
      <c r="H444" s="18">
        <f t="shared" si="25"/>
        <v>25.353987914715756</v>
      </c>
      <c r="I444">
        <f t="shared" si="27"/>
        <v>180435.61009375585</v>
      </c>
    </row>
    <row r="445" spans="1:9" ht="18" x14ac:dyDescent="0.2">
      <c r="A445" s="2">
        <v>39258</v>
      </c>
      <c r="B445" s="3">
        <v>0.63</v>
      </c>
      <c r="C445">
        <f t="shared" si="24"/>
        <v>0.53930734241417622</v>
      </c>
      <c r="E445" s="18">
        <f t="shared" si="26"/>
        <v>112348.13813520446</v>
      </c>
      <c r="G445" s="3">
        <v>24.24</v>
      </c>
      <c r="H445" s="18">
        <f t="shared" si="25"/>
        <v>25.24789382759997</v>
      </c>
      <c r="I445">
        <f t="shared" si="27"/>
        <v>180435.61009375585</v>
      </c>
    </row>
    <row r="446" spans="1:9" ht="18" x14ac:dyDescent="0.2">
      <c r="A446" s="2">
        <v>39265</v>
      </c>
      <c r="B446" s="3">
        <v>0.67</v>
      </c>
      <c r="C446">
        <f t="shared" si="24"/>
        <v>0.55175426218425472</v>
      </c>
      <c r="E446" s="18">
        <f t="shared" si="26"/>
        <v>112348.13813520446</v>
      </c>
      <c r="G446" s="3">
        <v>24.67</v>
      </c>
      <c r="H446" s="18">
        <f t="shared" si="25"/>
        <v>25.192856320209497</v>
      </c>
      <c r="I446">
        <f t="shared" si="27"/>
        <v>183636.40680746522</v>
      </c>
    </row>
    <row r="447" spans="1:9" ht="18" x14ac:dyDescent="0.2">
      <c r="A447" s="2">
        <v>39272</v>
      </c>
      <c r="B447" s="3">
        <v>0.7</v>
      </c>
      <c r="C447">
        <f t="shared" si="24"/>
        <v>0.56587290388099232</v>
      </c>
      <c r="E447" s="18">
        <f t="shared" si="26"/>
        <v>112348.13813520446</v>
      </c>
      <c r="G447" s="3">
        <v>25.35</v>
      </c>
      <c r="H447" s="18">
        <f t="shared" si="25"/>
        <v>25.207822384951449</v>
      </c>
      <c r="I447">
        <f t="shared" si="27"/>
        <v>188698.13184309861</v>
      </c>
    </row>
    <row r="448" spans="1:9" ht="18" x14ac:dyDescent="0.2">
      <c r="A448" s="2">
        <v>39279</v>
      </c>
      <c r="B448" s="3">
        <v>0.69</v>
      </c>
      <c r="C448">
        <f t="shared" si="24"/>
        <v>0.57769453208280253</v>
      </c>
      <c r="E448" s="18">
        <f t="shared" si="26"/>
        <v>112348.13813520446</v>
      </c>
      <c r="G448" s="3">
        <v>25.6</v>
      </c>
      <c r="H448" s="18">
        <f t="shared" si="25"/>
        <v>25.245172634003691</v>
      </c>
      <c r="I448">
        <f t="shared" si="27"/>
        <v>188698.13184309861</v>
      </c>
    </row>
    <row r="449" spans="1:9" ht="18" x14ac:dyDescent="0.2">
      <c r="A449" s="2">
        <v>39286</v>
      </c>
      <c r="B449" s="3">
        <v>0.68</v>
      </c>
      <c r="C449">
        <f t="shared" si="24"/>
        <v>0.58743790997967849</v>
      </c>
      <c r="E449" s="18">
        <f t="shared" si="26"/>
        <v>112348.13813520446</v>
      </c>
      <c r="G449" s="3">
        <v>24.89</v>
      </c>
      <c r="H449" s="18">
        <f t="shared" si="25"/>
        <v>25.211346668860482</v>
      </c>
      <c r="I449">
        <f t="shared" si="27"/>
        <v>188698.13184309861</v>
      </c>
    </row>
    <row r="450" spans="1:9" ht="18" x14ac:dyDescent="0.2">
      <c r="A450" s="2">
        <v>39293</v>
      </c>
      <c r="B450" s="3">
        <v>0.65</v>
      </c>
      <c r="C450">
        <f t="shared" si="24"/>
        <v>0.5933962042673282</v>
      </c>
      <c r="E450" s="18">
        <f t="shared" si="26"/>
        <v>112348.13813520446</v>
      </c>
      <c r="G450" s="3">
        <v>26.26</v>
      </c>
      <c r="H450" s="18">
        <f t="shared" si="25"/>
        <v>25.311218414683292</v>
      </c>
      <c r="I450">
        <f t="shared" si="27"/>
        <v>199084.48944153354</v>
      </c>
    </row>
    <row r="451" spans="1:9" ht="18" x14ac:dyDescent="0.2">
      <c r="A451" s="2">
        <v>39300</v>
      </c>
      <c r="B451" s="3">
        <v>0.67</v>
      </c>
      <c r="C451">
        <f t="shared" si="24"/>
        <v>0.60069180386091603</v>
      </c>
      <c r="E451" s="18">
        <f t="shared" si="26"/>
        <v>112348.13813520446</v>
      </c>
      <c r="G451" s="3">
        <v>27.68</v>
      </c>
      <c r="H451" s="18">
        <f t="shared" si="25"/>
        <v>25.536816660903931</v>
      </c>
      <c r="I451">
        <f t="shared" si="27"/>
        <v>199084.48944153354</v>
      </c>
    </row>
    <row r="452" spans="1:9" ht="18" x14ac:dyDescent="0.2">
      <c r="A452" s="2">
        <v>39307</v>
      </c>
      <c r="B452" s="3">
        <v>0.69</v>
      </c>
      <c r="C452">
        <f t="shared" si="24"/>
        <v>0.60919734635035261</v>
      </c>
      <c r="E452" s="18">
        <f t="shared" si="26"/>
        <v>112348.13813520446</v>
      </c>
      <c r="G452" s="3">
        <v>27.46</v>
      </c>
      <c r="H452" s="18">
        <f t="shared" si="25"/>
        <v>25.719976978913081</v>
      </c>
      <c r="I452">
        <f t="shared" si="27"/>
        <v>199084.48944153354</v>
      </c>
    </row>
    <row r="453" spans="1:9" ht="18" x14ac:dyDescent="0.2">
      <c r="A453" s="2">
        <v>39314</v>
      </c>
      <c r="B453" s="3">
        <v>0.74</v>
      </c>
      <c r="C453">
        <f t="shared" si="24"/>
        <v>0.62165474193603332</v>
      </c>
      <c r="E453" s="18">
        <f t="shared" si="26"/>
        <v>112348.13813520446</v>
      </c>
      <c r="G453" s="3">
        <v>26.74</v>
      </c>
      <c r="H453" s="18">
        <f t="shared" si="25"/>
        <v>25.817122028540407</v>
      </c>
      <c r="I453">
        <f t="shared" si="27"/>
        <v>199084.48944153354</v>
      </c>
    </row>
    <row r="454" spans="1:9" ht="18" x14ac:dyDescent="0.2">
      <c r="A454" s="2">
        <v>39321</v>
      </c>
      <c r="B454" s="3">
        <v>0.78</v>
      </c>
      <c r="C454">
        <f t="shared" si="24"/>
        <v>0.63673524270403015</v>
      </c>
      <c r="E454" s="18">
        <f t="shared" si="26"/>
        <v>112348.13813520446</v>
      </c>
      <c r="G454" s="3">
        <v>27.82</v>
      </c>
      <c r="H454" s="18">
        <f t="shared" si="25"/>
        <v>26.007872311536559</v>
      </c>
      <c r="I454">
        <f t="shared" si="27"/>
        <v>199084.48944153354</v>
      </c>
    </row>
    <row r="455" spans="1:9" ht="18" x14ac:dyDescent="0.2">
      <c r="A455" s="2">
        <v>39328</v>
      </c>
      <c r="B455" s="3">
        <v>0.77</v>
      </c>
      <c r="C455">
        <f t="shared" si="24"/>
        <v>0.64942712435126537</v>
      </c>
      <c r="E455" s="18">
        <f t="shared" si="26"/>
        <v>112348.13813520446</v>
      </c>
      <c r="G455" s="3">
        <v>27.7</v>
      </c>
      <c r="H455" s="18">
        <f t="shared" si="25"/>
        <v>26.169027329485459</v>
      </c>
      <c r="I455">
        <f t="shared" si="27"/>
        <v>199084.48944153354</v>
      </c>
    </row>
    <row r="456" spans="1:9" ht="18" x14ac:dyDescent="0.2">
      <c r="A456" s="2">
        <v>39335</v>
      </c>
      <c r="B456" s="3">
        <v>0.74</v>
      </c>
      <c r="C456">
        <f t="shared" si="24"/>
        <v>0.65805311250828769</v>
      </c>
      <c r="E456" s="18">
        <f t="shared" si="26"/>
        <v>112348.13813520446</v>
      </c>
      <c r="G456" s="3">
        <v>27.83</v>
      </c>
      <c r="H456" s="18">
        <f t="shared" si="25"/>
        <v>26.327215202867798</v>
      </c>
      <c r="I456">
        <f t="shared" si="27"/>
        <v>199084.48944153354</v>
      </c>
    </row>
    <row r="457" spans="1:9" ht="18" x14ac:dyDescent="0.2">
      <c r="A457" s="2">
        <v>39342</v>
      </c>
      <c r="B457" s="3">
        <v>0.79</v>
      </c>
      <c r="C457">
        <f t="shared" si="24"/>
        <v>0.67061948274559358</v>
      </c>
      <c r="E457" s="18">
        <f t="shared" si="26"/>
        <v>112348.13813520446</v>
      </c>
      <c r="G457" s="3">
        <v>27.55</v>
      </c>
      <c r="H457" s="18">
        <f t="shared" si="25"/>
        <v>26.443670897832771</v>
      </c>
      <c r="I457">
        <f t="shared" si="27"/>
        <v>199084.48944153354</v>
      </c>
    </row>
    <row r="458" spans="1:9" ht="18" x14ac:dyDescent="0.2">
      <c r="A458" s="2">
        <v>39349</v>
      </c>
      <c r="B458" s="3">
        <v>0.83</v>
      </c>
      <c r="C458">
        <f t="shared" si="24"/>
        <v>0.68579857962696567</v>
      </c>
      <c r="E458" s="18">
        <f t="shared" si="26"/>
        <v>112348.13813520446</v>
      </c>
      <c r="G458" s="3">
        <v>28.57</v>
      </c>
      <c r="H458" s="18">
        <f t="shared" si="25"/>
        <v>26.646178431372508</v>
      </c>
      <c r="I458">
        <f t="shared" si="27"/>
        <v>199084.48944153354</v>
      </c>
    </row>
    <row r="459" spans="1:9" ht="18" x14ac:dyDescent="0.2">
      <c r="A459" s="2">
        <v>39356</v>
      </c>
      <c r="B459" s="3">
        <v>0.85</v>
      </c>
      <c r="C459">
        <f t="shared" si="24"/>
        <v>0.7014368101386832</v>
      </c>
      <c r="E459" s="18">
        <f t="shared" si="26"/>
        <v>112348.13813520446</v>
      </c>
      <c r="G459" s="3">
        <v>28.5</v>
      </c>
      <c r="H459" s="18">
        <f t="shared" si="25"/>
        <v>26.822732866479889</v>
      </c>
      <c r="I459">
        <f t="shared" si="27"/>
        <v>199084.48944153354</v>
      </c>
    </row>
    <row r="460" spans="1:9" ht="18" x14ac:dyDescent="0.2">
      <c r="A460" s="2">
        <v>39363</v>
      </c>
      <c r="B460" s="3">
        <v>0.83</v>
      </c>
      <c r="C460">
        <f t="shared" si="24"/>
        <v>0.71368092345880862</v>
      </c>
      <c r="E460" s="18">
        <f t="shared" si="26"/>
        <v>112348.13813520446</v>
      </c>
      <c r="G460" s="3">
        <v>28.58</v>
      </c>
      <c r="H460" s="18">
        <f t="shared" si="25"/>
        <v>26.99009164110085</v>
      </c>
      <c r="I460">
        <f t="shared" si="27"/>
        <v>199084.48944153354</v>
      </c>
    </row>
    <row r="461" spans="1:9" ht="18" x14ac:dyDescent="0.2">
      <c r="A461" s="2">
        <v>39370</v>
      </c>
      <c r="B461" s="3">
        <v>0.86</v>
      </c>
      <c r="C461">
        <f t="shared" si="24"/>
        <v>0.72761607360558878</v>
      </c>
      <c r="E461" s="18">
        <f t="shared" si="26"/>
        <v>112348.13813520446</v>
      </c>
      <c r="G461" s="3">
        <v>28.52</v>
      </c>
      <c r="H461" s="18">
        <f t="shared" si="25"/>
        <v>27.135797199091247</v>
      </c>
      <c r="I461">
        <f t="shared" si="27"/>
        <v>199084.48944153354</v>
      </c>
    </row>
    <row r="462" spans="1:9" ht="18" x14ac:dyDescent="0.2">
      <c r="A462" s="2">
        <v>39377</v>
      </c>
      <c r="B462" s="3">
        <v>0.79</v>
      </c>
      <c r="C462">
        <f t="shared" si="24"/>
        <v>0.73355739992886604</v>
      </c>
      <c r="E462" s="18">
        <f t="shared" si="26"/>
        <v>112348.13813520446</v>
      </c>
      <c r="G462" s="3">
        <v>29.52</v>
      </c>
      <c r="H462" s="18">
        <f t="shared" si="25"/>
        <v>27.362864132511127</v>
      </c>
      <c r="I462">
        <f t="shared" si="27"/>
        <v>199084.48944153354</v>
      </c>
    </row>
    <row r="463" spans="1:9" ht="18" x14ac:dyDescent="0.2">
      <c r="A463" s="2">
        <v>39384</v>
      </c>
      <c r="B463" s="3">
        <v>0.84</v>
      </c>
      <c r="C463">
        <f t="shared" si="24"/>
        <v>0.74369479041183117</v>
      </c>
      <c r="E463" s="18">
        <f t="shared" si="26"/>
        <v>112348.13813520446</v>
      </c>
      <c r="G463" s="3">
        <v>28.88</v>
      </c>
      <c r="H463" s="18">
        <f t="shared" si="25"/>
        <v>27.507353262748161</v>
      </c>
      <c r="I463">
        <f t="shared" si="27"/>
        <v>199084.48944153354</v>
      </c>
    </row>
    <row r="464" spans="1:9" ht="18" x14ac:dyDescent="0.2">
      <c r="A464" s="2">
        <v>39391</v>
      </c>
      <c r="B464" s="3">
        <v>0.76</v>
      </c>
      <c r="C464">
        <f t="shared" si="24"/>
        <v>0.74524766751546634</v>
      </c>
      <c r="E464" s="18">
        <f t="shared" si="26"/>
        <v>112348.13813520446</v>
      </c>
      <c r="G464" s="3">
        <v>28.99</v>
      </c>
      <c r="H464" s="18">
        <f t="shared" si="25"/>
        <v>27.648557713915004</v>
      </c>
      <c r="I464">
        <f t="shared" si="27"/>
        <v>199084.48944153354</v>
      </c>
    </row>
    <row r="465" spans="1:9" ht="18" x14ac:dyDescent="0.2">
      <c r="A465" s="2">
        <v>39398</v>
      </c>
      <c r="B465" s="3">
        <v>0.74</v>
      </c>
      <c r="C465">
        <f t="shared" si="24"/>
        <v>0.74474788965685046</v>
      </c>
      <c r="E465" s="18">
        <f t="shared" si="26"/>
        <v>112348.13813520446</v>
      </c>
      <c r="G465" s="3">
        <v>28.74</v>
      </c>
      <c r="H465" s="18">
        <f t="shared" si="25"/>
        <v>27.75250459830405</v>
      </c>
      <c r="I465">
        <f t="shared" si="27"/>
        <v>199084.48944153354</v>
      </c>
    </row>
    <row r="466" spans="1:9" ht="18" x14ac:dyDescent="0.2">
      <c r="A466" s="2">
        <v>39405</v>
      </c>
      <c r="B466" s="3">
        <v>0.69</v>
      </c>
      <c r="C466">
        <f t="shared" si="24"/>
        <v>0.73953380492762655</v>
      </c>
      <c r="E466" s="18">
        <f t="shared" si="26"/>
        <v>104757.04772066361</v>
      </c>
      <c r="G466" s="3">
        <v>29.18</v>
      </c>
      <c r="H466" s="18">
        <f t="shared" si="25"/>
        <v>27.888456541322711</v>
      </c>
      <c r="I466">
        <f t="shared" si="27"/>
        <v>199084.48944153354</v>
      </c>
    </row>
    <row r="467" spans="1:9" ht="18" x14ac:dyDescent="0.2">
      <c r="A467" s="2">
        <v>39412</v>
      </c>
      <c r="B467" s="3">
        <v>0.72</v>
      </c>
      <c r="C467">
        <f t="shared" si="24"/>
        <v>0.73767344255356693</v>
      </c>
      <c r="E467" s="18">
        <f t="shared" si="26"/>
        <v>109311.70196938812</v>
      </c>
      <c r="G467" s="3">
        <v>29.21</v>
      </c>
      <c r="H467" s="18">
        <f t="shared" si="25"/>
        <v>28.0143178231015</v>
      </c>
      <c r="I467">
        <f t="shared" si="27"/>
        <v>199084.48944153354</v>
      </c>
    </row>
    <row r="468" spans="1:9" ht="18" x14ac:dyDescent="0.2">
      <c r="A468" s="2">
        <v>39419</v>
      </c>
      <c r="B468" s="3">
        <v>0.78</v>
      </c>
      <c r="C468">
        <f t="shared" si="24"/>
        <v>0.74170454326275104</v>
      </c>
      <c r="E468" s="18">
        <f t="shared" si="26"/>
        <v>118421.01046683714</v>
      </c>
      <c r="G468" s="3">
        <v>28.98</v>
      </c>
      <c r="H468" s="18">
        <f t="shared" si="25"/>
        <v>28.10628755423469</v>
      </c>
      <c r="I468">
        <f t="shared" si="27"/>
        <v>199084.48944153354</v>
      </c>
    </row>
    <row r="469" spans="1:9" ht="18" x14ac:dyDescent="0.2">
      <c r="A469" s="2">
        <v>39426</v>
      </c>
      <c r="B469" s="3">
        <v>0.8</v>
      </c>
      <c r="C469">
        <f t="shared" si="24"/>
        <v>0.74725649152344142</v>
      </c>
      <c r="E469" s="18">
        <f t="shared" si="26"/>
        <v>118421.01046683714</v>
      </c>
      <c r="G469" s="3">
        <v>28.2</v>
      </c>
      <c r="H469" s="18">
        <f t="shared" si="25"/>
        <v>28.115212549069483</v>
      </c>
      <c r="I469">
        <f t="shared" si="27"/>
        <v>199084.48944153354</v>
      </c>
    </row>
    <row r="470" spans="1:9" ht="18" x14ac:dyDescent="0.2">
      <c r="A470" s="2">
        <v>39433</v>
      </c>
      <c r="B470" s="3">
        <v>0.81</v>
      </c>
      <c r="C470">
        <f t="shared" si="24"/>
        <v>0.75323206375930418</v>
      </c>
      <c r="E470" s="18">
        <f t="shared" si="26"/>
        <v>118421.01046683714</v>
      </c>
      <c r="G470" s="3">
        <v>28.66</v>
      </c>
      <c r="H470" s="18">
        <f t="shared" si="25"/>
        <v>28.167097068205724</v>
      </c>
      <c r="I470">
        <f t="shared" si="27"/>
        <v>199084.48944153354</v>
      </c>
    </row>
    <row r="471" spans="1:9" ht="18" x14ac:dyDescent="0.2">
      <c r="A471" s="2">
        <v>39440</v>
      </c>
      <c r="B471" s="3">
        <v>0.8</v>
      </c>
      <c r="C471">
        <f t="shared" si="24"/>
        <v>0.75768615292508479</v>
      </c>
      <c r="E471" s="18">
        <f t="shared" si="26"/>
        <v>118421.01046683714</v>
      </c>
      <c r="G471" s="3">
        <v>29.61</v>
      </c>
      <c r="H471" s="18">
        <f t="shared" si="25"/>
        <v>28.304516395043272</v>
      </c>
      <c r="I471">
        <f t="shared" si="27"/>
        <v>199084.48944153354</v>
      </c>
    </row>
    <row r="472" spans="1:9" ht="18" x14ac:dyDescent="0.2">
      <c r="A472" s="2">
        <v>39447</v>
      </c>
      <c r="B472" s="3">
        <v>0.69</v>
      </c>
      <c r="C472">
        <f t="shared" si="24"/>
        <v>0.75123985264650528</v>
      </c>
      <c r="E472" s="18">
        <f t="shared" si="26"/>
        <v>118421.01046683714</v>
      </c>
      <c r="G472" s="3">
        <v>29.36</v>
      </c>
      <c r="H472" s="18">
        <f t="shared" si="25"/>
        <v>28.40503864313439</v>
      </c>
      <c r="I472">
        <f t="shared" si="27"/>
        <v>199084.48944153354</v>
      </c>
    </row>
    <row r="473" spans="1:9" ht="18" x14ac:dyDescent="0.2">
      <c r="A473" s="2">
        <v>39454</v>
      </c>
      <c r="B473" s="3">
        <v>0.62</v>
      </c>
      <c r="C473">
        <f t="shared" ref="C473:C536" si="28">(B473-C472)*$D$4+C472</f>
        <v>0.73874081906112388</v>
      </c>
      <c r="E473" s="18">
        <f t="shared" si="26"/>
        <v>106407.28476730295</v>
      </c>
      <c r="G473" s="3">
        <v>29.61</v>
      </c>
      <c r="H473" s="18">
        <f t="shared" si="25"/>
        <v>28.51979686759778</v>
      </c>
      <c r="I473">
        <f t="shared" si="27"/>
        <v>199084.48944153354</v>
      </c>
    </row>
    <row r="474" spans="1:9" ht="18" x14ac:dyDescent="0.2">
      <c r="A474" s="2">
        <v>39461</v>
      </c>
      <c r="B474" s="3">
        <v>0.56999999999999995</v>
      </c>
      <c r="C474">
        <f t="shared" si="28"/>
        <v>0.72267026486482633</v>
      </c>
      <c r="E474" s="18">
        <f t="shared" si="26"/>
        <v>97826.052124778507</v>
      </c>
      <c r="G474" s="3">
        <v>30.1</v>
      </c>
      <c r="H474" s="18">
        <f t="shared" ref="H474:H537" si="29">(G474-H473)*$D$4+H473</f>
        <v>28.67029240401704</v>
      </c>
      <c r="I474">
        <f t="shared" si="27"/>
        <v>199084.48944153354</v>
      </c>
    </row>
    <row r="475" spans="1:9" ht="18" x14ac:dyDescent="0.2">
      <c r="A475" s="2">
        <v>39468</v>
      </c>
      <c r="B475" s="3">
        <v>0.56999999999999995</v>
      </c>
      <c r="C475">
        <f t="shared" si="28"/>
        <v>0.70813023963960475</v>
      </c>
      <c r="E475" s="18">
        <f t="shared" si="26"/>
        <v>97826.052124778507</v>
      </c>
      <c r="G475" s="3">
        <v>30.68</v>
      </c>
      <c r="H475" s="18">
        <f t="shared" si="29"/>
        <v>28.861693127443989</v>
      </c>
      <c r="I475">
        <f t="shared" si="27"/>
        <v>199084.48944153354</v>
      </c>
    </row>
    <row r="476" spans="1:9" ht="18" x14ac:dyDescent="0.2">
      <c r="A476" s="2">
        <v>39475</v>
      </c>
      <c r="B476" s="3">
        <v>0.62</v>
      </c>
      <c r="C476">
        <f t="shared" si="28"/>
        <v>0.69973688348345187</v>
      </c>
      <c r="E476" s="18">
        <f t="shared" si="26"/>
        <v>106407.28476730295</v>
      </c>
      <c r="G476" s="3">
        <v>31.44</v>
      </c>
      <c r="H476" s="18">
        <f t="shared" si="29"/>
        <v>29.107246162925513</v>
      </c>
      <c r="I476">
        <f t="shared" si="27"/>
        <v>199084.48944153354</v>
      </c>
    </row>
    <row r="477" spans="1:9" ht="18" x14ac:dyDescent="0.2">
      <c r="A477" s="2">
        <v>39482</v>
      </c>
      <c r="B477" s="3">
        <v>0.56999999999999995</v>
      </c>
      <c r="C477">
        <f t="shared" si="28"/>
        <v>0.68738098981836115</v>
      </c>
      <c r="E477" s="18">
        <f t="shared" ref="E477:E540" si="30">IF(C476&gt;B476,E476*B477/B476,E476)</f>
        <v>97826.052124778507</v>
      </c>
      <c r="G477" s="3">
        <v>31.13</v>
      </c>
      <c r="H477" s="18">
        <f t="shared" si="29"/>
        <v>29.299889385504034</v>
      </c>
      <c r="I477">
        <f t="shared" si="27"/>
        <v>199084.48944153354</v>
      </c>
    </row>
    <row r="478" spans="1:9" ht="18" x14ac:dyDescent="0.2">
      <c r="A478" s="2">
        <v>39489</v>
      </c>
      <c r="B478" s="3">
        <v>0.51</v>
      </c>
      <c r="C478">
        <f t="shared" si="28"/>
        <v>0.67048756221661243</v>
      </c>
      <c r="E478" s="18">
        <f t="shared" si="30"/>
        <v>87528.572953749201</v>
      </c>
      <c r="G478" s="3">
        <v>31.64</v>
      </c>
      <c r="H478" s="18">
        <f t="shared" si="29"/>
        <v>29.52275706307508</v>
      </c>
      <c r="I478">
        <f t="shared" ref="I478:I541" si="31">IF(H477&gt;G477,I477*G478/G477,I477)</f>
        <v>199084.48944153354</v>
      </c>
    </row>
    <row r="479" spans="1:9" ht="18" x14ac:dyDescent="0.2">
      <c r="A479" s="2">
        <v>39496</v>
      </c>
      <c r="B479" s="3">
        <v>0.51</v>
      </c>
      <c r="C479">
        <f t="shared" si="28"/>
        <v>0.65520303248169698</v>
      </c>
      <c r="E479" s="18">
        <f t="shared" si="30"/>
        <v>87528.572953749201</v>
      </c>
      <c r="G479" s="3">
        <v>31.5</v>
      </c>
      <c r="H479" s="18">
        <f t="shared" si="29"/>
        <v>29.711065914210785</v>
      </c>
      <c r="I479">
        <f t="shared" si="31"/>
        <v>199084.48944153354</v>
      </c>
    </row>
    <row r="480" spans="1:9" ht="18" x14ac:dyDescent="0.2">
      <c r="A480" s="2">
        <v>39503</v>
      </c>
      <c r="B480" s="3">
        <v>0.49</v>
      </c>
      <c r="C480">
        <f t="shared" si="28"/>
        <v>0.63946941034058302</v>
      </c>
      <c r="E480" s="18">
        <f t="shared" si="30"/>
        <v>84096.079896739422</v>
      </c>
      <c r="G480" s="3">
        <v>29.75</v>
      </c>
      <c r="H480" s="18">
        <f t="shared" si="29"/>
        <v>29.714773922381188</v>
      </c>
      <c r="I480">
        <f t="shared" si="31"/>
        <v>199084.48944153354</v>
      </c>
    </row>
    <row r="481" spans="1:9" ht="18" x14ac:dyDescent="0.2">
      <c r="A481" s="2">
        <v>39510</v>
      </c>
      <c r="B481" s="3">
        <v>0.45</v>
      </c>
      <c r="C481">
        <f t="shared" si="28"/>
        <v>0.62142470459386079</v>
      </c>
      <c r="E481" s="18">
        <f t="shared" si="30"/>
        <v>77231.09378271988</v>
      </c>
      <c r="G481" s="3">
        <v>30.14</v>
      </c>
      <c r="H481" s="18">
        <f t="shared" si="29"/>
        <v>29.755271644059171</v>
      </c>
      <c r="I481">
        <f t="shared" si="31"/>
        <v>199084.48944153354</v>
      </c>
    </row>
    <row r="482" spans="1:9" ht="18" x14ac:dyDescent="0.2">
      <c r="A482" s="2">
        <v>39517</v>
      </c>
      <c r="B482" s="3">
        <v>0.42</v>
      </c>
      <c r="C482">
        <f t="shared" si="28"/>
        <v>0.60224139939444543</v>
      </c>
      <c r="E482" s="18">
        <f t="shared" si="30"/>
        <v>72082.354197205219</v>
      </c>
      <c r="G482" s="3">
        <v>29.03</v>
      </c>
      <c r="H482" s="18">
        <f t="shared" si="29"/>
        <v>29.686198154148773</v>
      </c>
      <c r="I482">
        <f t="shared" si="31"/>
        <v>199084.48944153354</v>
      </c>
    </row>
    <row r="483" spans="1:9" ht="18" x14ac:dyDescent="0.2">
      <c r="A483" s="2">
        <v>39524</v>
      </c>
      <c r="B483" s="3">
        <v>0.42</v>
      </c>
      <c r="C483">
        <f t="shared" si="28"/>
        <v>0.58488507564259351</v>
      </c>
      <c r="E483" s="18">
        <f t="shared" si="30"/>
        <v>72082.354197205219</v>
      </c>
      <c r="G483" s="3">
        <v>29.95</v>
      </c>
      <c r="H483" s="18">
        <f t="shared" si="29"/>
        <v>29.711322139467939</v>
      </c>
      <c r="I483">
        <f t="shared" si="31"/>
        <v>205393.74642693522</v>
      </c>
    </row>
    <row r="484" spans="1:9" ht="18" x14ac:dyDescent="0.2">
      <c r="A484" s="2">
        <v>39531</v>
      </c>
      <c r="B484" s="3">
        <v>0.45</v>
      </c>
      <c r="C484">
        <f t="shared" si="28"/>
        <v>0.57203887796234654</v>
      </c>
      <c r="E484" s="18">
        <f t="shared" si="30"/>
        <v>77231.09378271988</v>
      </c>
      <c r="G484" s="3">
        <v>29.87</v>
      </c>
      <c r="H484" s="18">
        <f t="shared" si="29"/>
        <v>29.726434316661468</v>
      </c>
      <c r="I484">
        <f t="shared" si="31"/>
        <v>205393.74642693522</v>
      </c>
    </row>
    <row r="485" spans="1:9" ht="18" x14ac:dyDescent="0.2">
      <c r="A485" s="2">
        <v>39538</v>
      </c>
      <c r="B485" s="3">
        <v>0.43</v>
      </c>
      <c r="C485">
        <f t="shared" si="28"/>
        <v>0.55851136577545635</v>
      </c>
      <c r="E485" s="18">
        <f t="shared" si="30"/>
        <v>73798.600725710116</v>
      </c>
      <c r="G485" s="3">
        <v>30.11</v>
      </c>
      <c r="H485" s="18">
        <f t="shared" si="29"/>
        <v>29.762964381741327</v>
      </c>
      <c r="I485">
        <f t="shared" si="31"/>
        <v>205393.74642693522</v>
      </c>
    </row>
    <row r="486" spans="1:9" ht="18" x14ac:dyDescent="0.2">
      <c r="A486" s="2">
        <v>39545</v>
      </c>
      <c r="B486" s="3">
        <v>0.42</v>
      </c>
      <c r="C486">
        <f t="shared" si="28"/>
        <v>0.54531980713017481</v>
      </c>
      <c r="E486" s="18">
        <f t="shared" si="30"/>
        <v>72082.354197205219</v>
      </c>
      <c r="G486" s="3">
        <v>30.52</v>
      </c>
      <c r="H486" s="18">
        <f t="shared" si="29"/>
        <v>29.835063012051677</v>
      </c>
      <c r="I486">
        <f t="shared" si="31"/>
        <v>205393.74642693522</v>
      </c>
    </row>
    <row r="487" spans="1:9" ht="18" x14ac:dyDescent="0.2">
      <c r="A487" s="2">
        <v>39552</v>
      </c>
      <c r="B487" s="3">
        <v>0.44</v>
      </c>
      <c r="C487">
        <f t="shared" si="28"/>
        <v>0.53528934930825345</v>
      </c>
      <c r="E487" s="18">
        <f t="shared" si="30"/>
        <v>75514.847254214998</v>
      </c>
      <c r="G487" s="3">
        <v>32.659999999999997</v>
      </c>
      <c r="H487" s="18">
        <f t="shared" si="29"/>
        <v>30.104104629951518</v>
      </c>
      <c r="I487">
        <f t="shared" si="31"/>
        <v>205393.74642693522</v>
      </c>
    </row>
    <row r="488" spans="1:9" ht="18" x14ac:dyDescent="0.2">
      <c r="A488" s="2">
        <v>39559</v>
      </c>
      <c r="B488" s="3">
        <v>0.46</v>
      </c>
      <c r="C488">
        <f t="shared" si="28"/>
        <v>0.52811893508841978</v>
      </c>
      <c r="E488" s="18">
        <f t="shared" si="30"/>
        <v>78947.340311224776</v>
      </c>
      <c r="G488" s="3">
        <v>32.67</v>
      </c>
      <c r="H488" s="18">
        <f t="shared" si="29"/>
        <v>30.348475617575183</v>
      </c>
      <c r="I488">
        <f t="shared" si="31"/>
        <v>205393.74642693522</v>
      </c>
    </row>
    <row r="489" spans="1:9" ht="18" x14ac:dyDescent="0.2">
      <c r="A489" s="2">
        <v>39566</v>
      </c>
      <c r="B489" s="3">
        <v>0.52</v>
      </c>
      <c r="C489">
        <f t="shared" si="28"/>
        <v>0.52734570317523699</v>
      </c>
      <c r="E489" s="18">
        <f t="shared" si="30"/>
        <v>89244.819482254097</v>
      </c>
      <c r="G489" s="3">
        <v>32.72</v>
      </c>
      <c r="H489" s="18">
        <f t="shared" si="29"/>
        <v>30.574335082568023</v>
      </c>
      <c r="I489">
        <f t="shared" si="31"/>
        <v>205393.74642693522</v>
      </c>
    </row>
    <row r="490" spans="1:9" ht="18" x14ac:dyDescent="0.2">
      <c r="A490" s="2">
        <v>39573</v>
      </c>
      <c r="B490" s="3">
        <v>0.52</v>
      </c>
      <c r="C490">
        <f t="shared" si="28"/>
        <v>0.52664611239664294</v>
      </c>
      <c r="E490" s="18">
        <f t="shared" si="30"/>
        <v>89244.819482254097</v>
      </c>
      <c r="G490" s="3">
        <v>32.42</v>
      </c>
      <c r="H490" s="18">
        <f t="shared" si="29"/>
        <v>30.750112693752023</v>
      </c>
      <c r="I490">
        <f t="shared" si="31"/>
        <v>205393.74642693522</v>
      </c>
    </row>
    <row r="491" spans="1:9" ht="18" x14ac:dyDescent="0.2">
      <c r="A491" s="2">
        <v>39580</v>
      </c>
      <c r="B491" s="3">
        <v>0.56000000000000005</v>
      </c>
      <c r="C491">
        <f t="shared" si="28"/>
        <v>0.52982267312077214</v>
      </c>
      <c r="E491" s="18">
        <f t="shared" si="30"/>
        <v>96109.80559627364</v>
      </c>
      <c r="G491" s="3">
        <v>32.659999999999997</v>
      </c>
      <c r="H491" s="18">
        <f t="shared" si="29"/>
        <v>30.932006722918498</v>
      </c>
      <c r="I491">
        <f t="shared" si="31"/>
        <v>205393.74642693522</v>
      </c>
    </row>
    <row r="492" spans="1:9" ht="18" x14ac:dyDescent="0.2">
      <c r="A492" s="2">
        <v>39587</v>
      </c>
      <c r="B492" s="3">
        <v>0.53</v>
      </c>
      <c r="C492">
        <f t="shared" si="28"/>
        <v>0.52983956139498434</v>
      </c>
      <c r="E492" s="18">
        <f t="shared" si="30"/>
        <v>96109.80559627364</v>
      </c>
      <c r="G492" s="3">
        <v>32.1</v>
      </c>
      <c r="H492" s="18">
        <f t="shared" si="29"/>
        <v>31.043244177878641</v>
      </c>
      <c r="I492">
        <f t="shared" si="31"/>
        <v>205393.74642693522</v>
      </c>
    </row>
    <row r="493" spans="1:9" ht="18" x14ac:dyDescent="0.2">
      <c r="A493" s="2">
        <v>39594</v>
      </c>
      <c r="B493" s="3">
        <v>0.56999999999999995</v>
      </c>
      <c r="C493">
        <f t="shared" si="28"/>
        <v>0.53366436507165249</v>
      </c>
      <c r="E493" s="18">
        <f t="shared" si="30"/>
        <v>96109.80559627364</v>
      </c>
      <c r="G493" s="3">
        <v>32.270000000000003</v>
      </c>
      <c r="H493" s="18">
        <f t="shared" si="29"/>
        <v>31.160078065699722</v>
      </c>
      <c r="I493">
        <f t="shared" si="31"/>
        <v>205393.74642693522</v>
      </c>
    </row>
    <row r="494" spans="1:9" ht="18" x14ac:dyDescent="0.2">
      <c r="A494" s="2">
        <v>39601</v>
      </c>
      <c r="B494" s="3">
        <v>0.55000000000000004</v>
      </c>
      <c r="C494">
        <f t="shared" si="28"/>
        <v>0.53522013982673322</v>
      </c>
      <c r="E494" s="18">
        <f t="shared" si="30"/>
        <v>96109.80559627364</v>
      </c>
      <c r="G494" s="3">
        <v>31.34</v>
      </c>
      <c r="H494" s="18">
        <f t="shared" si="29"/>
        <v>31.177213488014033</v>
      </c>
      <c r="I494">
        <f t="shared" si="31"/>
        <v>205393.74642693522</v>
      </c>
    </row>
    <row r="495" spans="1:9" ht="18" x14ac:dyDescent="0.2">
      <c r="A495" s="2">
        <v>39608</v>
      </c>
      <c r="B495" s="3">
        <v>0.49</v>
      </c>
      <c r="C495">
        <f t="shared" si="28"/>
        <v>0.53091345984323479</v>
      </c>
      <c r="E495" s="18">
        <f t="shared" si="30"/>
        <v>96109.80559627364</v>
      </c>
      <c r="G495" s="3">
        <v>31.43</v>
      </c>
      <c r="H495" s="18">
        <f t="shared" si="29"/>
        <v>31.201288393917459</v>
      </c>
      <c r="I495">
        <f t="shared" si="31"/>
        <v>205393.74642693522</v>
      </c>
    </row>
    <row r="496" spans="1:9" ht="18" x14ac:dyDescent="0.2">
      <c r="A496" s="2">
        <v>39615</v>
      </c>
      <c r="B496" s="3">
        <v>0.45</v>
      </c>
      <c r="C496">
        <f t="shared" si="28"/>
        <v>0.52320741604864096</v>
      </c>
      <c r="E496" s="18">
        <f t="shared" si="30"/>
        <v>88264.107180251303</v>
      </c>
      <c r="G496" s="3">
        <v>30.29</v>
      </c>
      <c r="H496" s="18">
        <f t="shared" si="29"/>
        <v>31.114499023068177</v>
      </c>
      <c r="I496">
        <f t="shared" si="31"/>
        <v>205393.74642693522</v>
      </c>
    </row>
    <row r="497" spans="1:9" ht="18" x14ac:dyDescent="0.2">
      <c r="A497" s="2">
        <v>39622</v>
      </c>
      <c r="B497" s="3">
        <v>0.44</v>
      </c>
      <c r="C497">
        <f t="shared" si="28"/>
        <v>0.51528290023448464</v>
      </c>
      <c r="E497" s="18">
        <f t="shared" si="30"/>
        <v>86302.682576245716</v>
      </c>
      <c r="G497" s="3">
        <v>30.12</v>
      </c>
      <c r="H497" s="18">
        <f t="shared" si="29"/>
        <v>31.019784830395018</v>
      </c>
      <c r="I497">
        <f t="shared" si="31"/>
        <v>204240.99182500131</v>
      </c>
    </row>
    <row r="498" spans="1:9" ht="18" x14ac:dyDescent="0.2">
      <c r="A498" s="2">
        <v>39629</v>
      </c>
      <c r="B498" s="3">
        <v>0.28999999999999998</v>
      </c>
      <c r="C498">
        <f t="shared" si="28"/>
        <v>0.49382738592643849</v>
      </c>
      <c r="E498" s="18">
        <f t="shared" si="30"/>
        <v>56881.313516161943</v>
      </c>
      <c r="G498" s="3">
        <v>30.44</v>
      </c>
      <c r="H498" s="18">
        <f t="shared" si="29"/>
        <v>30.964567227500254</v>
      </c>
      <c r="I498">
        <f t="shared" si="31"/>
        <v>206410.88284040638</v>
      </c>
    </row>
    <row r="499" spans="1:9" ht="18" x14ac:dyDescent="0.2">
      <c r="A499" s="2">
        <v>39636</v>
      </c>
      <c r="B499" s="3">
        <v>0.27</v>
      </c>
      <c r="C499">
        <f t="shared" si="28"/>
        <v>0.47251049202868245</v>
      </c>
      <c r="E499" s="18">
        <f t="shared" si="30"/>
        <v>52958.464308150782</v>
      </c>
      <c r="G499" s="3">
        <v>31.36</v>
      </c>
      <c r="H499" s="18">
        <f t="shared" si="29"/>
        <v>31.002227491547849</v>
      </c>
      <c r="I499">
        <f t="shared" si="31"/>
        <v>212649.31950969592</v>
      </c>
    </row>
    <row r="500" spans="1:9" ht="18" x14ac:dyDescent="0.2">
      <c r="A500" s="2">
        <v>39643</v>
      </c>
      <c r="B500" s="3">
        <v>0.26</v>
      </c>
      <c r="C500">
        <f t="shared" si="28"/>
        <v>0.45227139754976031</v>
      </c>
      <c r="E500" s="18">
        <f t="shared" si="30"/>
        <v>50997.039704145202</v>
      </c>
      <c r="G500" s="3">
        <v>29.8</v>
      </c>
      <c r="H500" s="18">
        <f t="shared" si="29"/>
        <v>30.887729635209958</v>
      </c>
      <c r="I500">
        <f t="shared" si="31"/>
        <v>212649.31950969592</v>
      </c>
    </row>
    <row r="501" spans="1:9" ht="18" x14ac:dyDescent="0.2">
      <c r="A501" s="2">
        <v>39650</v>
      </c>
      <c r="B501" s="3">
        <v>0.26</v>
      </c>
      <c r="C501">
        <f t="shared" si="28"/>
        <v>0.43395983587835457</v>
      </c>
      <c r="E501" s="18">
        <f t="shared" si="30"/>
        <v>50997.039704145202</v>
      </c>
      <c r="G501" s="3">
        <v>27.71</v>
      </c>
      <c r="H501" s="18">
        <f t="shared" si="29"/>
        <v>30.585088717570915</v>
      </c>
      <c r="I501">
        <f t="shared" si="31"/>
        <v>197735.32361119712</v>
      </c>
    </row>
    <row r="502" spans="1:9" ht="18" x14ac:dyDescent="0.2">
      <c r="A502" s="2">
        <v>39657</v>
      </c>
      <c r="B502" s="3">
        <v>0.25</v>
      </c>
      <c r="C502">
        <f t="shared" si="28"/>
        <v>0.41643985150898749</v>
      </c>
      <c r="E502" s="18">
        <f t="shared" si="30"/>
        <v>49035.615100139614</v>
      </c>
      <c r="G502" s="3">
        <v>27.35</v>
      </c>
      <c r="H502" s="18">
        <f t="shared" si="29"/>
        <v>30.276985030183209</v>
      </c>
      <c r="I502">
        <f t="shared" si="31"/>
        <v>195166.40565738871</v>
      </c>
    </row>
    <row r="503" spans="1:9" ht="18" x14ac:dyDescent="0.2">
      <c r="A503" s="2">
        <v>39664</v>
      </c>
      <c r="B503" s="3">
        <v>0.25</v>
      </c>
      <c r="C503">
        <f t="shared" si="28"/>
        <v>0.4005884370795601</v>
      </c>
      <c r="E503" s="18">
        <f t="shared" si="30"/>
        <v>49035.615100139614</v>
      </c>
      <c r="G503" s="3">
        <v>27.72</v>
      </c>
      <c r="H503" s="18">
        <f t="shared" si="29"/>
        <v>30.033462646356238</v>
      </c>
      <c r="I503">
        <f t="shared" si="31"/>
        <v>197806.68244324732</v>
      </c>
    </row>
    <row r="504" spans="1:9" ht="18" x14ac:dyDescent="0.2">
      <c r="A504" s="2">
        <v>39671</v>
      </c>
      <c r="B504" s="3">
        <v>0.3</v>
      </c>
      <c r="C504">
        <f t="shared" si="28"/>
        <v>0.3910085859291258</v>
      </c>
      <c r="E504" s="18">
        <f t="shared" si="30"/>
        <v>58842.738120167538</v>
      </c>
      <c r="G504" s="3">
        <v>29.45</v>
      </c>
      <c r="H504" s="18">
        <f t="shared" si="29"/>
        <v>29.977894775274692</v>
      </c>
      <c r="I504">
        <f t="shared" si="31"/>
        <v>210151.76038793774</v>
      </c>
    </row>
    <row r="505" spans="1:9" ht="18" x14ac:dyDescent="0.2">
      <c r="A505" s="2">
        <v>39678</v>
      </c>
      <c r="B505" s="3">
        <v>0.31</v>
      </c>
      <c r="C505">
        <f t="shared" si="28"/>
        <v>0.38329348250730427</v>
      </c>
      <c r="E505" s="18">
        <f t="shared" si="30"/>
        <v>60804.162724173126</v>
      </c>
      <c r="G505" s="3">
        <v>28.79</v>
      </c>
      <c r="H505" s="18">
        <f t="shared" si="29"/>
        <v>29.864761939534244</v>
      </c>
      <c r="I505">
        <f t="shared" si="31"/>
        <v>205442.07747262233</v>
      </c>
    </row>
    <row r="506" spans="1:9" ht="18" x14ac:dyDescent="0.2">
      <c r="A506" s="2">
        <v>39685</v>
      </c>
      <c r="B506" s="3">
        <v>0.28999999999999998</v>
      </c>
      <c r="C506">
        <f t="shared" si="28"/>
        <v>0.37440838893518008</v>
      </c>
      <c r="E506" s="18">
        <f t="shared" si="30"/>
        <v>56881.31351616195</v>
      </c>
      <c r="G506" s="3">
        <v>27.89</v>
      </c>
      <c r="H506" s="18">
        <f t="shared" si="29"/>
        <v>29.676689373864317</v>
      </c>
      <c r="I506">
        <f t="shared" si="31"/>
        <v>199019.78258810134</v>
      </c>
    </row>
    <row r="507" spans="1:9" ht="18" x14ac:dyDescent="0.2">
      <c r="A507" s="2">
        <v>39692</v>
      </c>
      <c r="B507" s="3">
        <v>0.27</v>
      </c>
      <c r="C507">
        <f t="shared" si="28"/>
        <v>0.3644647328461153</v>
      </c>
      <c r="E507" s="18">
        <f t="shared" si="30"/>
        <v>52958.464308150789</v>
      </c>
      <c r="G507" s="3">
        <v>27.27</v>
      </c>
      <c r="H507" s="18">
        <f t="shared" si="29"/>
        <v>29.447480862067714</v>
      </c>
      <c r="I507">
        <f t="shared" si="31"/>
        <v>194595.53500098689</v>
      </c>
    </row>
    <row r="508" spans="1:9" ht="18" x14ac:dyDescent="0.2">
      <c r="A508" s="2">
        <v>39699</v>
      </c>
      <c r="B508" s="3">
        <v>0.23</v>
      </c>
      <c r="C508">
        <f t="shared" si="28"/>
        <v>0.35165856781315197</v>
      </c>
      <c r="E508" s="18">
        <f t="shared" si="30"/>
        <v>45112.765892128453</v>
      </c>
      <c r="G508" s="3">
        <v>28.53</v>
      </c>
      <c r="H508" s="18">
        <f t="shared" si="29"/>
        <v>29.36010173234698</v>
      </c>
      <c r="I508">
        <f t="shared" si="31"/>
        <v>203586.74783931632</v>
      </c>
    </row>
    <row r="509" spans="1:9" ht="18" x14ac:dyDescent="0.2">
      <c r="A509" s="2">
        <v>39706</v>
      </c>
      <c r="B509" s="3">
        <v>0.26</v>
      </c>
      <c r="C509">
        <f t="shared" si="28"/>
        <v>0.34292918040237558</v>
      </c>
      <c r="E509" s="18">
        <f t="shared" si="30"/>
        <v>50997.039704145209</v>
      </c>
      <c r="G509" s="3">
        <v>29.53</v>
      </c>
      <c r="H509" s="18">
        <f t="shared" si="29"/>
        <v>29.376282519742507</v>
      </c>
      <c r="I509">
        <f t="shared" si="31"/>
        <v>210722.63104433968</v>
      </c>
    </row>
    <row r="510" spans="1:9" ht="18" x14ac:dyDescent="0.2">
      <c r="A510" s="2">
        <v>39713</v>
      </c>
      <c r="B510" s="3">
        <v>0.27</v>
      </c>
      <c r="C510">
        <f t="shared" si="28"/>
        <v>0.3359835441735779</v>
      </c>
      <c r="E510" s="18">
        <f t="shared" si="30"/>
        <v>52958.464308150789</v>
      </c>
      <c r="G510" s="3">
        <v>28.71</v>
      </c>
      <c r="H510" s="18">
        <f t="shared" si="29"/>
        <v>29.312827041671792</v>
      </c>
      <c r="I510">
        <f t="shared" si="31"/>
        <v>210722.63104433968</v>
      </c>
    </row>
    <row r="511" spans="1:9" ht="18" x14ac:dyDescent="0.2">
      <c r="A511" s="2">
        <v>39720</v>
      </c>
      <c r="B511" s="3">
        <v>0.21</v>
      </c>
      <c r="C511">
        <f t="shared" si="28"/>
        <v>0.32398511139514191</v>
      </c>
      <c r="E511" s="18">
        <f t="shared" si="30"/>
        <v>41189.916684117277</v>
      </c>
      <c r="G511" s="3">
        <v>26.63</v>
      </c>
      <c r="H511" s="18">
        <f t="shared" si="29"/>
        <v>29.057319704369718</v>
      </c>
      <c r="I511">
        <f t="shared" si="31"/>
        <v>195456.0663431127</v>
      </c>
    </row>
    <row r="512" spans="1:9" ht="18" x14ac:dyDescent="0.2">
      <c r="A512" s="2">
        <v>39727</v>
      </c>
      <c r="B512" s="3">
        <v>0.16</v>
      </c>
      <c r="C512">
        <f t="shared" si="28"/>
        <v>0.30836748173846174</v>
      </c>
      <c r="E512" s="18">
        <f t="shared" si="30"/>
        <v>31382.793664089353</v>
      </c>
      <c r="G512" s="3">
        <v>29.57</v>
      </c>
      <c r="H512" s="18">
        <f t="shared" si="29"/>
        <v>29.106146399191651</v>
      </c>
      <c r="I512">
        <f t="shared" si="31"/>
        <v>217034.7683727316</v>
      </c>
    </row>
    <row r="513" spans="1:9" ht="18" x14ac:dyDescent="0.2">
      <c r="A513" s="2">
        <v>39734</v>
      </c>
      <c r="B513" s="3">
        <v>0.18</v>
      </c>
      <c r="C513">
        <f t="shared" si="28"/>
        <v>0.29614200728717965</v>
      </c>
      <c r="E513" s="18">
        <f t="shared" si="30"/>
        <v>35305.642872100521</v>
      </c>
      <c r="G513" s="3">
        <v>28.44</v>
      </c>
      <c r="H513" s="18">
        <f t="shared" si="29"/>
        <v>29.042703884982924</v>
      </c>
      <c r="I513">
        <f t="shared" si="31"/>
        <v>217034.7683727316</v>
      </c>
    </row>
    <row r="514" spans="1:9" ht="18" x14ac:dyDescent="0.2">
      <c r="A514" s="2">
        <v>39741</v>
      </c>
      <c r="B514" s="3">
        <v>0.15</v>
      </c>
      <c r="C514">
        <f t="shared" si="28"/>
        <v>0.28222372087887682</v>
      </c>
      <c r="E514" s="18">
        <f t="shared" si="30"/>
        <v>29421.369060083765</v>
      </c>
      <c r="G514" s="3">
        <v>29.89</v>
      </c>
      <c r="H514" s="18">
        <f t="shared" si="29"/>
        <v>29.123398753079787</v>
      </c>
      <c r="I514">
        <f t="shared" si="31"/>
        <v>228100.1837785143</v>
      </c>
    </row>
    <row r="515" spans="1:9" ht="18" x14ac:dyDescent="0.2">
      <c r="A515" s="2">
        <v>39748</v>
      </c>
      <c r="B515" s="3">
        <v>0.2</v>
      </c>
      <c r="C515">
        <f t="shared" si="28"/>
        <v>0.27439289031898378</v>
      </c>
      <c r="E515" s="18">
        <f t="shared" si="30"/>
        <v>39228.49208011169</v>
      </c>
      <c r="G515" s="3">
        <v>27.26</v>
      </c>
      <c r="H515" s="18">
        <f t="shared" si="29"/>
        <v>28.945932205167427</v>
      </c>
      <c r="I515">
        <f t="shared" si="31"/>
        <v>228100.1837785143</v>
      </c>
    </row>
    <row r="516" spans="1:9" ht="18" x14ac:dyDescent="0.2">
      <c r="A516" s="2">
        <v>39755</v>
      </c>
      <c r="B516" s="3">
        <v>0.2</v>
      </c>
      <c r="C516">
        <f t="shared" si="28"/>
        <v>0.26730785314574723</v>
      </c>
      <c r="E516" s="18">
        <f t="shared" si="30"/>
        <v>39228.49208011169</v>
      </c>
      <c r="G516" s="3">
        <v>26.72</v>
      </c>
      <c r="H516" s="18">
        <f t="shared" si="29"/>
        <v>28.733938661818147</v>
      </c>
      <c r="I516">
        <f t="shared" si="31"/>
        <v>223581.69150997436</v>
      </c>
    </row>
    <row r="517" spans="1:9" ht="18" x14ac:dyDescent="0.2">
      <c r="A517" s="2">
        <v>39762</v>
      </c>
      <c r="B517" s="3">
        <v>0.16</v>
      </c>
      <c r="C517">
        <f t="shared" si="28"/>
        <v>0.25708805760805703</v>
      </c>
      <c r="E517" s="18">
        <f t="shared" si="30"/>
        <v>31382.793664089353</v>
      </c>
      <c r="G517" s="3">
        <v>27.22</v>
      </c>
      <c r="H517" s="18">
        <f t="shared" si="29"/>
        <v>28.589754027359277</v>
      </c>
      <c r="I517">
        <f t="shared" si="31"/>
        <v>227765.48064751129</v>
      </c>
    </row>
    <row r="518" spans="1:9" ht="18" x14ac:dyDescent="0.2">
      <c r="A518" s="2">
        <v>39769</v>
      </c>
      <c r="B518" s="3">
        <v>0.15</v>
      </c>
      <c r="C518">
        <f t="shared" si="28"/>
        <v>0.24688919497871825</v>
      </c>
      <c r="E518" s="18">
        <f t="shared" si="30"/>
        <v>29421.369060083765</v>
      </c>
      <c r="G518" s="3">
        <v>26.5</v>
      </c>
      <c r="H518" s="18">
        <f t="shared" si="29"/>
        <v>28.39072983427744</v>
      </c>
      <c r="I518">
        <f t="shared" si="31"/>
        <v>221740.82428945811</v>
      </c>
    </row>
    <row r="519" spans="1:9" ht="18" x14ac:dyDescent="0.2">
      <c r="A519" s="2">
        <v>39776</v>
      </c>
      <c r="B519" s="3">
        <v>0.17</v>
      </c>
      <c r="C519">
        <f t="shared" si="28"/>
        <v>0.2395664145045546</v>
      </c>
      <c r="E519" s="18">
        <f t="shared" si="30"/>
        <v>33344.218268094941</v>
      </c>
      <c r="G519" s="3">
        <v>28.82</v>
      </c>
      <c r="H519" s="18">
        <f t="shared" si="29"/>
        <v>28.431612707203399</v>
      </c>
      <c r="I519">
        <f t="shared" si="31"/>
        <v>241153.60588762956</v>
      </c>
    </row>
    <row r="520" spans="1:9" ht="18" x14ac:dyDescent="0.2">
      <c r="A520" s="2">
        <v>39783</v>
      </c>
      <c r="B520" s="3">
        <v>0.17</v>
      </c>
      <c r="C520">
        <f t="shared" si="28"/>
        <v>0.23294104169459701</v>
      </c>
      <c r="E520" s="18">
        <f t="shared" si="30"/>
        <v>33344.218268094941</v>
      </c>
      <c r="G520" s="3">
        <v>29.11</v>
      </c>
      <c r="H520" s="18">
        <f t="shared" si="29"/>
        <v>28.496221020803077</v>
      </c>
      <c r="I520">
        <f t="shared" si="31"/>
        <v>241153.60588762956</v>
      </c>
    </row>
    <row r="521" spans="1:9" ht="18" x14ac:dyDescent="0.2">
      <c r="A521" s="2">
        <v>39790</v>
      </c>
      <c r="B521" s="3">
        <v>0.2</v>
      </c>
      <c r="C521">
        <f t="shared" si="28"/>
        <v>0.22980379962844491</v>
      </c>
      <c r="E521" s="18">
        <f t="shared" si="30"/>
        <v>39228.492080111697</v>
      </c>
      <c r="G521" s="3">
        <v>28.55</v>
      </c>
      <c r="H521" s="18">
        <f t="shared" si="29"/>
        <v>28.501342828345642</v>
      </c>
      <c r="I521">
        <f t="shared" si="31"/>
        <v>241153.60588762956</v>
      </c>
    </row>
    <row r="522" spans="1:9" ht="18" x14ac:dyDescent="0.2">
      <c r="A522" s="2">
        <v>39797</v>
      </c>
      <c r="B522" s="3">
        <v>0.2</v>
      </c>
      <c r="C522">
        <f t="shared" si="28"/>
        <v>0.22696534252097397</v>
      </c>
      <c r="E522" s="18">
        <f t="shared" si="30"/>
        <v>39228.492080111697</v>
      </c>
      <c r="G522" s="3">
        <v>27.86</v>
      </c>
      <c r="H522" s="18">
        <f t="shared" si="29"/>
        <v>28.440262558979391</v>
      </c>
      <c r="I522">
        <f t="shared" si="31"/>
        <v>241153.60588762956</v>
      </c>
    </row>
    <row r="523" spans="1:9" ht="18" x14ac:dyDescent="0.2">
      <c r="A523" s="2">
        <v>39804</v>
      </c>
      <c r="B523" s="3">
        <v>0.17</v>
      </c>
      <c r="C523">
        <f t="shared" si="28"/>
        <v>0.22154007180469074</v>
      </c>
      <c r="E523" s="18">
        <f t="shared" si="30"/>
        <v>33344.218268094941</v>
      </c>
      <c r="G523" s="3">
        <v>27.32</v>
      </c>
      <c r="H523" s="18">
        <f t="shared" si="29"/>
        <v>28.33357088669564</v>
      </c>
      <c r="I523">
        <f t="shared" si="31"/>
        <v>236479.41539303804</v>
      </c>
    </row>
    <row r="524" spans="1:9" ht="18" x14ac:dyDescent="0.2">
      <c r="A524" s="2">
        <v>39811</v>
      </c>
      <c r="B524" s="3">
        <v>0.2</v>
      </c>
      <c r="C524">
        <f t="shared" si="28"/>
        <v>0.21948863639472019</v>
      </c>
      <c r="E524" s="18">
        <f t="shared" si="30"/>
        <v>39228.492080111697</v>
      </c>
      <c r="G524" s="3">
        <v>25.85</v>
      </c>
      <c r="H524" s="18">
        <f t="shared" si="29"/>
        <v>28.097040326057961</v>
      </c>
      <c r="I524">
        <f t="shared" si="31"/>
        <v>223755.23015776111</v>
      </c>
    </row>
    <row r="525" spans="1:9" ht="18" x14ac:dyDescent="0.2">
      <c r="A525" s="2">
        <v>39818</v>
      </c>
      <c r="B525" s="3">
        <v>0.18</v>
      </c>
      <c r="C525">
        <f t="shared" si="28"/>
        <v>0.21572781388093731</v>
      </c>
      <c r="E525" s="18">
        <f t="shared" si="30"/>
        <v>35305.642872100521</v>
      </c>
      <c r="G525" s="3">
        <v>26.04</v>
      </c>
      <c r="H525" s="18">
        <f t="shared" si="29"/>
        <v>27.901131723576249</v>
      </c>
      <c r="I525">
        <f t="shared" si="31"/>
        <v>225399.85273919144</v>
      </c>
    </row>
    <row r="526" spans="1:9" ht="18" x14ac:dyDescent="0.2">
      <c r="A526" s="2">
        <v>39825</v>
      </c>
      <c r="B526" s="3">
        <v>0.18</v>
      </c>
      <c r="C526">
        <f t="shared" si="28"/>
        <v>0.21232516493989567</v>
      </c>
      <c r="E526" s="18">
        <f t="shared" si="30"/>
        <v>35305.642872100521</v>
      </c>
      <c r="G526" s="3">
        <v>25.23</v>
      </c>
      <c r="H526" s="18">
        <f t="shared" si="29"/>
        <v>27.646738226092797</v>
      </c>
      <c r="I526">
        <f t="shared" si="31"/>
        <v>218388.56699730415</v>
      </c>
    </row>
    <row r="527" spans="1:9" ht="18" x14ac:dyDescent="0.2">
      <c r="A527" s="2">
        <v>39832</v>
      </c>
      <c r="B527" s="3">
        <v>0.18</v>
      </c>
      <c r="C527">
        <f t="shared" si="28"/>
        <v>0.20924657780276276</v>
      </c>
      <c r="E527" s="18">
        <f t="shared" si="30"/>
        <v>35305.642872100521</v>
      </c>
      <c r="G527" s="3">
        <v>27.81</v>
      </c>
      <c r="H527" s="18">
        <f t="shared" si="29"/>
        <v>27.662286966464912</v>
      </c>
      <c r="I527">
        <f t="shared" si="31"/>
        <v>240720.81047146363</v>
      </c>
    </row>
    <row r="528" spans="1:9" ht="18" x14ac:dyDescent="0.2">
      <c r="A528" s="2">
        <v>39839</v>
      </c>
      <c r="B528" s="3">
        <v>0.18</v>
      </c>
      <c r="C528">
        <f t="shared" si="28"/>
        <v>0.20646118944059488</v>
      </c>
      <c r="E528" s="18">
        <f t="shared" si="30"/>
        <v>35305.642872100521</v>
      </c>
      <c r="G528" s="3">
        <v>30.74</v>
      </c>
      <c r="H528" s="18">
        <f t="shared" si="29"/>
        <v>27.955402493468252</v>
      </c>
      <c r="I528">
        <f t="shared" si="31"/>
        <v>240720.81047146363</v>
      </c>
    </row>
    <row r="529" spans="1:9" ht="18" x14ac:dyDescent="0.2">
      <c r="A529" s="2">
        <v>39846</v>
      </c>
      <c r="B529" s="3">
        <v>0.23</v>
      </c>
      <c r="C529">
        <f t="shared" si="28"/>
        <v>0.20870298092244299</v>
      </c>
      <c r="E529" s="18">
        <f t="shared" si="30"/>
        <v>45112.765892128446</v>
      </c>
      <c r="G529" s="3">
        <v>27.92</v>
      </c>
      <c r="H529" s="18">
        <f t="shared" si="29"/>
        <v>27.952030827423656</v>
      </c>
      <c r="I529">
        <f t="shared" si="31"/>
        <v>240720.81047146363</v>
      </c>
    </row>
    <row r="530" spans="1:9" ht="18" x14ac:dyDescent="0.2">
      <c r="A530" s="2">
        <v>39853</v>
      </c>
      <c r="B530" s="3">
        <v>0.19</v>
      </c>
      <c r="C530">
        <f t="shared" si="28"/>
        <v>0.20692174464411509</v>
      </c>
      <c r="E530" s="18">
        <f t="shared" si="30"/>
        <v>45112.765892128446</v>
      </c>
      <c r="G530" s="3">
        <v>27.56</v>
      </c>
      <c r="H530" s="18">
        <f t="shared" si="29"/>
        <v>27.914694558145211</v>
      </c>
      <c r="I530">
        <f t="shared" si="31"/>
        <v>237616.96047971118</v>
      </c>
    </row>
    <row r="531" spans="1:9" ht="18" x14ac:dyDescent="0.2">
      <c r="A531" s="2">
        <v>39860</v>
      </c>
      <c r="B531" s="3">
        <v>0.17</v>
      </c>
      <c r="C531">
        <f t="shared" si="28"/>
        <v>0.20340538801134223</v>
      </c>
      <c r="E531" s="18">
        <f t="shared" si="30"/>
        <v>40364.053692957037</v>
      </c>
      <c r="G531" s="3">
        <v>27.99</v>
      </c>
      <c r="H531" s="18">
        <f t="shared" si="29"/>
        <v>27.921866504988525</v>
      </c>
      <c r="I531">
        <f t="shared" si="31"/>
        <v>241324.33685874875</v>
      </c>
    </row>
    <row r="532" spans="1:9" ht="18" x14ac:dyDescent="0.2">
      <c r="A532" s="2">
        <v>39867</v>
      </c>
      <c r="B532" s="3">
        <v>0.19</v>
      </c>
      <c r="C532">
        <f t="shared" si="28"/>
        <v>0.2021286843912144</v>
      </c>
      <c r="E532" s="18">
        <f t="shared" si="30"/>
        <v>45112.765892128453</v>
      </c>
      <c r="G532" s="3">
        <v>25.9</v>
      </c>
      <c r="H532" s="18">
        <f t="shared" si="29"/>
        <v>27.729307790227715</v>
      </c>
      <c r="I532">
        <f t="shared" si="31"/>
        <v>241324.33685874875</v>
      </c>
    </row>
    <row r="533" spans="1:9" ht="18" x14ac:dyDescent="0.2">
      <c r="A533" s="2">
        <v>39874</v>
      </c>
      <c r="B533" s="3">
        <v>0.19</v>
      </c>
      <c r="C533">
        <f t="shared" si="28"/>
        <v>0.20097357159205112</v>
      </c>
      <c r="E533" s="18">
        <f t="shared" si="30"/>
        <v>45112.765892128453</v>
      </c>
      <c r="G533" s="3">
        <v>23.93</v>
      </c>
      <c r="H533" s="18">
        <f t="shared" si="29"/>
        <v>27.36746895306317</v>
      </c>
      <c r="I533">
        <f t="shared" si="31"/>
        <v>222968.779190342</v>
      </c>
    </row>
    <row r="534" spans="1:9" ht="18" x14ac:dyDescent="0.2">
      <c r="A534" s="2">
        <v>39881</v>
      </c>
      <c r="B534" s="3">
        <v>0.22</v>
      </c>
      <c r="C534">
        <f t="shared" si="28"/>
        <v>0.20278561239280815</v>
      </c>
      <c r="E534" s="18">
        <f t="shared" si="30"/>
        <v>52235.83419088558</v>
      </c>
      <c r="G534" s="3">
        <v>23.28</v>
      </c>
      <c r="H534" s="18">
        <f t="shared" si="29"/>
        <v>26.978186195628584</v>
      </c>
      <c r="I534">
        <f t="shared" si="31"/>
        <v>216912.37691396414</v>
      </c>
    </row>
    <row r="535" spans="1:9" ht="18" x14ac:dyDescent="0.2">
      <c r="A535" s="2">
        <v>39888</v>
      </c>
      <c r="B535" s="3">
        <v>0.22</v>
      </c>
      <c r="C535">
        <f t="shared" si="28"/>
        <v>0.20442507787920738</v>
      </c>
      <c r="E535" s="18">
        <f t="shared" si="30"/>
        <v>52235.83419088558</v>
      </c>
      <c r="G535" s="3">
        <v>29.29</v>
      </c>
      <c r="H535" s="18">
        <f t="shared" si="29"/>
        <v>27.198358938902054</v>
      </c>
      <c r="I535">
        <f t="shared" si="31"/>
        <v>272910.80411555024</v>
      </c>
    </row>
    <row r="536" spans="1:9" ht="18" x14ac:dyDescent="0.2">
      <c r="A536" s="2">
        <v>39895</v>
      </c>
      <c r="B536" s="3">
        <v>0.24</v>
      </c>
      <c r="C536">
        <f t="shared" si="28"/>
        <v>0.20781316570023525</v>
      </c>
      <c r="E536" s="18">
        <f t="shared" si="30"/>
        <v>52235.83419088558</v>
      </c>
      <c r="G536" s="3">
        <v>27.21</v>
      </c>
      <c r="H536" s="18">
        <f t="shared" si="29"/>
        <v>27.199467611387572</v>
      </c>
      <c r="I536">
        <f t="shared" si="31"/>
        <v>272910.80411555024</v>
      </c>
    </row>
    <row r="537" spans="1:9" ht="18" x14ac:dyDescent="0.2">
      <c r="A537" s="2">
        <v>39902</v>
      </c>
      <c r="B537" s="3">
        <v>0.26</v>
      </c>
      <c r="C537">
        <f t="shared" ref="C537:C600" si="32">(B537-C536)*$D$4+C536</f>
        <v>0.21278334039545094</v>
      </c>
      <c r="E537" s="18">
        <f t="shared" si="30"/>
        <v>52235.83419088558</v>
      </c>
      <c r="G537" s="3">
        <v>29.04</v>
      </c>
      <c r="H537" s="18">
        <f t="shared" si="29"/>
        <v>27.374756410303043</v>
      </c>
      <c r="I537">
        <f t="shared" si="31"/>
        <v>272910.80411555024</v>
      </c>
    </row>
    <row r="538" spans="1:9" ht="18" x14ac:dyDescent="0.2">
      <c r="A538" s="2">
        <v>39909</v>
      </c>
      <c r="B538" s="3">
        <v>0.28000000000000003</v>
      </c>
      <c r="C538">
        <f t="shared" si="32"/>
        <v>0.21918492702445561</v>
      </c>
      <c r="E538" s="18">
        <f t="shared" si="30"/>
        <v>52235.83419088558</v>
      </c>
      <c r="G538" s="3">
        <v>27.32</v>
      </c>
      <c r="H538" s="18">
        <f t="shared" ref="H538:H601" si="33">(G538-H537)*$D$4+H537</f>
        <v>27.369541514083707</v>
      </c>
      <c r="I538">
        <f t="shared" si="31"/>
        <v>272910.80411555024</v>
      </c>
    </row>
    <row r="539" spans="1:9" ht="18" x14ac:dyDescent="0.2">
      <c r="A539" s="2">
        <v>39916</v>
      </c>
      <c r="B539" s="3">
        <v>0.27</v>
      </c>
      <c r="C539">
        <f t="shared" si="32"/>
        <v>0.22402445778403127</v>
      </c>
      <c r="E539" s="18">
        <f t="shared" si="30"/>
        <v>52235.83419088558</v>
      </c>
      <c r="G539" s="3">
        <v>29.4</v>
      </c>
      <c r="H539" s="18">
        <f t="shared" si="33"/>
        <v>27.562918512742403</v>
      </c>
      <c r="I539">
        <f t="shared" si="31"/>
        <v>293688.78627368878</v>
      </c>
    </row>
    <row r="540" spans="1:9" ht="18" x14ac:dyDescent="0.2">
      <c r="A540" s="2">
        <v>39923</v>
      </c>
      <c r="B540" s="3">
        <v>0.26</v>
      </c>
      <c r="C540">
        <f t="shared" si="32"/>
        <v>0.22745069989983782</v>
      </c>
      <c r="E540" s="18">
        <f t="shared" si="30"/>
        <v>52235.83419088558</v>
      </c>
      <c r="G540" s="3">
        <v>30.7</v>
      </c>
      <c r="H540" s="18">
        <f t="shared" si="33"/>
        <v>27.861688178195507</v>
      </c>
      <c r="I540">
        <f t="shared" si="31"/>
        <v>293688.78627368878</v>
      </c>
    </row>
    <row r="541" spans="1:9" ht="18" x14ac:dyDescent="0.2">
      <c r="A541" s="2">
        <v>39930</v>
      </c>
      <c r="B541" s="3">
        <v>0.27</v>
      </c>
      <c r="C541">
        <f t="shared" si="32"/>
        <v>0.23150301419509137</v>
      </c>
      <c r="E541" s="18">
        <f t="shared" ref="E541:E604" si="34">IF(C540&gt;B540,E540*B541/B540,E540)</f>
        <v>52235.83419088558</v>
      </c>
      <c r="G541" s="3">
        <v>31.26</v>
      </c>
      <c r="H541" s="18">
        <f t="shared" si="33"/>
        <v>28.18533692312927</v>
      </c>
      <c r="I541">
        <f t="shared" si="31"/>
        <v>293688.78627368878</v>
      </c>
    </row>
    <row r="542" spans="1:9" ht="18" x14ac:dyDescent="0.2">
      <c r="A542" s="2">
        <v>39937</v>
      </c>
      <c r="B542" s="3">
        <v>0.21</v>
      </c>
      <c r="C542">
        <f t="shared" si="32"/>
        <v>0.22945510808127315</v>
      </c>
      <c r="E542" s="18">
        <f t="shared" si="34"/>
        <v>52235.83419088558</v>
      </c>
      <c r="G542" s="3">
        <v>29.92</v>
      </c>
      <c r="H542" s="18">
        <f t="shared" si="33"/>
        <v>28.350542930450292</v>
      </c>
      <c r="I542">
        <f t="shared" ref="I542:I605" si="35">IF(H541&gt;G541,I541*G542/G541,I541)</f>
        <v>293688.78627368878</v>
      </c>
    </row>
    <row r="543" spans="1:9" ht="18" x14ac:dyDescent="0.2">
      <c r="A543" s="2">
        <v>39944</v>
      </c>
      <c r="B543" s="3">
        <v>0.2</v>
      </c>
      <c r="C543">
        <f t="shared" si="32"/>
        <v>0.22664985969258047</v>
      </c>
      <c r="E543" s="18">
        <f t="shared" si="34"/>
        <v>49748.413515129127</v>
      </c>
      <c r="G543" s="3">
        <v>29.89</v>
      </c>
      <c r="H543" s="18">
        <f t="shared" si="33"/>
        <v>28.497157889455025</v>
      </c>
      <c r="I543">
        <f t="shared" si="35"/>
        <v>293688.78627368878</v>
      </c>
    </row>
    <row r="544" spans="1:9" ht="18" x14ac:dyDescent="0.2">
      <c r="A544" s="2">
        <v>39951</v>
      </c>
      <c r="B544" s="3">
        <v>0.23</v>
      </c>
      <c r="C544">
        <f t="shared" si="32"/>
        <v>0.22696892067423949</v>
      </c>
      <c r="E544" s="18">
        <f t="shared" si="34"/>
        <v>57210.675542398494</v>
      </c>
      <c r="G544" s="3">
        <v>27.19</v>
      </c>
      <c r="H544" s="18">
        <f t="shared" si="33"/>
        <v>28.37266666188788</v>
      </c>
      <c r="I544">
        <f t="shared" si="35"/>
        <v>293688.78627368878</v>
      </c>
    </row>
    <row r="545" spans="1:9" ht="18" x14ac:dyDescent="0.2">
      <c r="A545" s="2">
        <v>39958</v>
      </c>
      <c r="B545" s="3">
        <v>0.24</v>
      </c>
      <c r="C545">
        <f t="shared" si="32"/>
        <v>0.22820997584812144</v>
      </c>
      <c r="E545" s="18">
        <f t="shared" si="34"/>
        <v>57210.675542398494</v>
      </c>
      <c r="G545" s="3">
        <v>27.62</v>
      </c>
      <c r="H545" s="18">
        <f t="shared" si="33"/>
        <v>28.300984122660463</v>
      </c>
      <c r="I545">
        <f t="shared" si="35"/>
        <v>298333.36803528079</v>
      </c>
    </row>
    <row r="546" spans="1:9" ht="18" x14ac:dyDescent="0.2">
      <c r="A546" s="2">
        <v>39965</v>
      </c>
      <c r="B546" s="3">
        <v>0.25</v>
      </c>
      <c r="C546">
        <f t="shared" si="32"/>
        <v>0.23028521624353845</v>
      </c>
      <c r="E546" s="18">
        <f t="shared" si="34"/>
        <v>57210.675542398494</v>
      </c>
      <c r="G546" s="3">
        <v>25.75</v>
      </c>
      <c r="H546" s="18">
        <f t="shared" si="33"/>
        <v>28.058033253835656</v>
      </c>
      <c r="I546">
        <f t="shared" si="35"/>
        <v>278134.8380488226</v>
      </c>
    </row>
    <row r="547" spans="1:9" ht="18" x14ac:dyDescent="0.2">
      <c r="A547" s="2">
        <v>39972</v>
      </c>
      <c r="B547" s="3">
        <v>0.26</v>
      </c>
      <c r="C547">
        <f t="shared" si="32"/>
        <v>0.23311519564891575</v>
      </c>
      <c r="E547" s="18">
        <f t="shared" si="34"/>
        <v>57210.675542398494</v>
      </c>
      <c r="G547" s="3">
        <v>25.43</v>
      </c>
      <c r="H547" s="18">
        <f t="shared" si="33"/>
        <v>27.807744372517973</v>
      </c>
      <c r="I547">
        <f t="shared" si="35"/>
        <v>274678.40510996344</v>
      </c>
    </row>
    <row r="548" spans="1:9" ht="18" x14ac:dyDescent="0.2">
      <c r="A548" s="2">
        <v>39979</v>
      </c>
      <c r="B548" s="3">
        <v>0.26</v>
      </c>
      <c r="C548">
        <f t="shared" si="32"/>
        <v>0.23567565320616188</v>
      </c>
      <c r="E548" s="18">
        <f t="shared" si="34"/>
        <v>57210.675542398494</v>
      </c>
      <c r="G548" s="3">
        <v>24.32</v>
      </c>
      <c r="H548" s="18">
        <f t="shared" si="33"/>
        <v>27.475578241801976</v>
      </c>
      <c r="I548">
        <f t="shared" si="35"/>
        <v>262688.90335329575</v>
      </c>
    </row>
    <row r="549" spans="1:9" ht="18" x14ac:dyDescent="0.2">
      <c r="A549" s="2">
        <v>39986</v>
      </c>
      <c r="B549" s="3">
        <v>0.27</v>
      </c>
      <c r="C549">
        <f t="shared" si="32"/>
        <v>0.23894463861509885</v>
      </c>
      <c r="E549" s="18">
        <f t="shared" si="34"/>
        <v>57210.675542398494</v>
      </c>
      <c r="G549" s="3">
        <v>22.52</v>
      </c>
      <c r="H549" s="18">
        <f t="shared" si="33"/>
        <v>27.003618409249405</v>
      </c>
      <c r="I549">
        <f t="shared" si="35"/>
        <v>243246.468072213</v>
      </c>
    </row>
    <row r="550" spans="1:9" ht="18" x14ac:dyDescent="0.2">
      <c r="A550" s="2">
        <v>39993</v>
      </c>
      <c r="B550" s="3">
        <v>0.25</v>
      </c>
      <c r="C550">
        <f t="shared" si="32"/>
        <v>0.23999753017556563</v>
      </c>
      <c r="E550" s="18">
        <f t="shared" si="34"/>
        <v>57210.675542398494</v>
      </c>
      <c r="G550" s="3">
        <v>22.68</v>
      </c>
      <c r="H550" s="18">
        <f t="shared" si="33"/>
        <v>26.59184522741613</v>
      </c>
      <c r="I550">
        <f t="shared" si="35"/>
        <v>244974.68454164258</v>
      </c>
    </row>
    <row r="551" spans="1:9" ht="18" x14ac:dyDescent="0.2">
      <c r="A551" s="2">
        <v>40000</v>
      </c>
      <c r="B551" s="3">
        <v>0.24</v>
      </c>
      <c r="C551">
        <f t="shared" si="32"/>
        <v>0.23999776539694034</v>
      </c>
      <c r="E551" s="18">
        <f t="shared" si="34"/>
        <v>57210.675542398494</v>
      </c>
      <c r="G551" s="3">
        <v>21.54</v>
      </c>
      <c r="H551" s="18">
        <f t="shared" si="33"/>
        <v>26.110717110519357</v>
      </c>
      <c r="I551">
        <f t="shared" si="35"/>
        <v>232661.14219695682</v>
      </c>
    </row>
    <row r="552" spans="1:9" ht="18" x14ac:dyDescent="0.2">
      <c r="A552" s="2">
        <v>40007</v>
      </c>
      <c r="B552" s="3">
        <v>0.28000000000000003</v>
      </c>
      <c r="C552">
        <f t="shared" si="32"/>
        <v>0.24380750202580317</v>
      </c>
      <c r="E552" s="18">
        <f t="shared" si="34"/>
        <v>57210.675542398494</v>
      </c>
      <c r="G552" s="3">
        <v>26</v>
      </c>
      <c r="H552" s="18">
        <f t="shared" si="33"/>
        <v>26.100172623803228</v>
      </c>
      <c r="I552">
        <f t="shared" si="35"/>
        <v>280835.17628230626</v>
      </c>
    </row>
    <row r="553" spans="1:9" ht="18" x14ac:dyDescent="0.2">
      <c r="A553" s="2">
        <v>40014</v>
      </c>
      <c r="B553" s="3">
        <v>0.3</v>
      </c>
      <c r="C553">
        <f t="shared" si="32"/>
        <v>0.2491591684995362</v>
      </c>
      <c r="E553" s="18">
        <f t="shared" si="34"/>
        <v>57210.675542398494</v>
      </c>
      <c r="G553" s="3">
        <v>25.67</v>
      </c>
      <c r="H553" s="18">
        <f t="shared" si="33"/>
        <v>26.059203802488636</v>
      </c>
      <c r="I553">
        <f t="shared" si="35"/>
        <v>277270.72981410776</v>
      </c>
    </row>
    <row r="554" spans="1:9" ht="18" x14ac:dyDescent="0.2">
      <c r="A554" s="2">
        <v>40021</v>
      </c>
      <c r="B554" s="3">
        <v>0.3</v>
      </c>
      <c r="C554">
        <f t="shared" si="32"/>
        <v>0.25400115245196131</v>
      </c>
      <c r="E554" s="18">
        <f t="shared" si="34"/>
        <v>57210.675542398494</v>
      </c>
      <c r="G554" s="3">
        <v>26.48</v>
      </c>
      <c r="H554" s="18">
        <f t="shared" si="33"/>
        <v>26.099279630823052</v>
      </c>
      <c r="I554">
        <f t="shared" si="35"/>
        <v>286019.82569059497</v>
      </c>
    </row>
    <row r="555" spans="1:9" ht="18" x14ac:dyDescent="0.2">
      <c r="A555" s="2">
        <v>40028</v>
      </c>
      <c r="B555" s="3">
        <v>0.31</v>
      </c>
      <c r="C555">
        <f t="shared" si="32"/>
        <v>0.259334376027965</v>
      </c>
      <c r="E555" s="18">
        <f t="shared" si="34"/>
        <v>57210.675542398494</v>
      </c>
      <c r="G555" s="3">
        <v>26.68</v>
      </c>
      <c r="H555" s="18">
        <f t="shared" si="33"/>
        <v>26.154586332649426</v>
      </c>
      <c r="I555">
        <f t="shared" si="35"/>
        <v>286019.82569059497</v>
      </c>
    </row>
    <row r="556" spans="1:9" ht="18" x14ac:dyDescent="0.2">
      <c r="A556" s="2">
        <v>40035</v>
      </c>
      <c r="B556" s="3">
        <v>0.31</v>
      </c>
      <c r="C556">
        <f t="shared" si="32"/>
        <v>0.26415967354911118</v>
      </c>
      <c r="E556" s="18">
        <f t="shared" si="34"/>
        <v>57210.675542398494</v>
      </c>
      <c r="G556" s="3">
        <v>27.07</v>
      </c>
      <c r="H556" s="18">
        <f t="shared" si="33"/>
        <v>26.241768586682813</v>
      </c>
      <c r="I556">
        <f t="shared" si="35"/>
        <v>286019.82569059497</v>
      </c>
    </row>
    <row r="557" spans="1:9" ht="18" x14ac:dyDescent="0.2">
      <c r="A557" s="2">
        <v>40042</v>
      </c>
      <c r="B557" s="3">
        <v>0.32</v>
      </c>
      <c r="C557">
        <f t="shared" si="32"/>
        <v>0.26947779987776727</v>
      </c>
      <c r="E557" s="18">
        <f t="shared" si="34"/>
        <v>57210.675542398494</v>
      </c>
      <c r="G557" s="3">
        <v>24.47</v>
      </c>
      <c r="H557" s="18">
        <f t="shared" si="33"/>
        <v>26.073028721284448</v>
      </c>
      <c r="I557">
        <f t="shared" si="35"/>
        <v>286019.82569059497</v>
      </c>
    </row>
    <row r="558" spans="1:9" ht="18" x14ac:dyDescent="0.2">
      <c r="A558" s="2">
        <v>40049</v>
      </c>
      <c r="B558" s="3">
        <v>0.34</v>
      </c>
      <c r="C558">
        <f t="shared" si="32"/>
        <v>0.27619419988940846</v>
      </c>
      <c r="E558" s="18">
        <f t="shared" si="34"/>
        <v>57210.675542398494</v>
      </c>
      <c r="G558" s="3">
        <v>28.59</v>
      </c>
      <c r="H558" s="18">
        <f t="shared" si="33"/>
        <v>26.312740271638312</v>
      </c>
      <c r="I558">
        <f t="shared" si="35"/>
        <v>334176.82127070334</v>
      </c>
    </row>
    <row r="559" spans="1:9" ht="18" x14ac:dyDescent="0.2">
      <c r="A559" s="2">
        <v>40056</v>
      </c>
      <c r="B559" s="3">
        <v>0.35</v>
      </c>
      <c r="C559">
        <f t="shared" si="32"/>
        <v>0.28322332370946479</v>
      </c>
      <c r="E559" s="18">
        <f t="shared" si="34"/>
        <v>57210.675542398494</v>
      </c>
      <c r="G559" s="3">
        <v>28.53</v>
      </c>
      <c r="H559" s="18">
        <f t="shared" si="33"/>
        <v>26.523907864815616</v>
      </c>
      <c r="I559">
        <f t="shared" si="35"/>
        <v>334176.82127070334</v>
      </c>
    </row>
    <row r="560" spans="1:9" ht="18" x14ac:dyDescent="0.2">
      <c r="A560" s="2">
        <v>40063</v>
      </c>
      <c r="B560" s="3">
        <v>0.37</v>
      </c>
      <c r="C560">
        <f t="shared" si="32"/>
        <v>0.29148776907046814</v>
      </c>
      <c r="E560" s="18">
        <f t="shared" si="34"/>
        <v>57210.675542398494</v>
      </c>
      <c r="G560" s="3">
        <v>26.74</v>
      </c>
      <c r="H560" s="18">
        <f t="shared" si="33"/>
        <v>26.544488068166508</v>
      </c>
      <c r="I560">
        <f t="shared" si="35"/>
        <v>334176.82127070334</v>
      </c>
    </row>
    <row r="561" spans="1:9" ht="18" x14ac:dyDescent="0.2">
      <c r="A561" s="2">
        <v>40070</v>
      </c>
      <c r="B561" s="3">
        <v>0.35</v>
      </c>
      <c r="C561">
        <f t="shared" si="32"/>
        <v>0.29706036249232831</v>
      </c>
      <c r="E561" s="18">
        <f t="shared" si="34"/>
        <v>57210.675542398494</v>
      </c>
      <c r="G561" s="3">
        <v>30.56</v>
      </c>
      <c r="H561" s="18">
        <f t="shared" si="33"/>
        <v>26.926917775960174</v>
      </c>
      <c r="I561">
        <f t="shared" si="35"/>
        <v>334176.82127070334</v>
      </c>
    </row>
    <row r="562" spans="1:9" ht="18" x14ac:dyDescent="0.2">
      <c r="A562" s="2">
        <v>40077</v>
      </c>
      <c r="B562" s="3">
        <v>0.33</v>
      </c>
      <c r="C562">
        <f t="shared" si="32"/>
        <v>0.30019747082639231</v>
      </c>
      <c r="E562" s="18">
        <f t="shared" si="34"/>
        <v>57210.675542398494</v>
      </c>
      <c r="G562" s="3">
        <v>31.34</v>
      </c>
      <c r="H562" s="18">
        <f t="shared" si="33"/>
        <v>27.347211321106823</v>
      </c>
      <c r="I562">
        <f t="shared" si="35"/>
        <v>334176.82127070334</v>
      </c>
    </row>
    <row r="563" spans="1:9" ht="18" x14ac:dyDescent="0.2">
      <c r="A563" s="2">
        <v>40084</v>
      </c>
      <c r="B563" s="3">
        <v>0.32</v>
      </c>
      <c r="C563">
        <f t="shared" si="32"/>
        <v>0.30208342598578353</v>
      </c>
      <c r="E563" s="18">
        <f t="shared" si="34"/>
        <v>57210.675542398494</v>
      </c>
      <c r="G563" s="3">
        <v>29.82</v>
      </c>
      <c r="H563" s="18">
        <f t="shared" si="33"/>
        <v>27.582715004810936</v>
      </c>
      <c r="I563">
        <f t="shared" si="35"/>
        <v>334176.82127070334</v>
      </c>
    </row>
    <row r="564" spans="1:9" ht="18" x14ac:dyDescent="0.2">
      <c r="A564" s="2">
        <v>40091</v>
      </c>
      <c r="B564" s="3">
        <v>0.32</v>
      </c>
      <c r="C564">
        <f t="shared" si="32"/>
        <v>0.30378976636808985</v>
      </c>
      <c r="E564" s="18">
        <f t="shared" si="34"/>
        <v>57210.675542398494</v>
      </c>
      <c r="G564" s="3">
        <v>27.26</v>
      </c>
      <c r="H564" s="18">
        <f t="shared" si="33"/>
        <v>27.551980242447989</v>
      </c>
      <c r="I564">
        <f t="shared" si="35"/>
        <v>334176.82127070334</v>
      </c>
    </row>
    <row r="565" spans="1:9" ht="18" x14ac:dyDescent="0.2">
      <c r="A565" s="2">
        <v>40098</v>
      </c>
      <c r="B565" s="3">
        <v>0.3</v>
      </c>
      <c r="C565">
        <f t="shared" si="32"/>
        <v>0.3034288362377956</v>
      </c>
      <c r="E565" s="18">
        <f t="shared" si="34"/>
        <v>57210.675542398494</v>
      </c>
      <c r="G565" s="3">
        <v>25.74</v>
      </c>
      <c r="H565" s="18">
        <f t="shared" si="33"/>
        <v>27.379410695548181</v>
      </c>
      <c r="I565">
        <f t="shared" si="35"/>
        <v>315543.33747277706</v>
      </c>
    </row>
    <row r="566" spans="1:9" ht="18" x14ac:dyDescent="0.2">
      <c r="A566" s="2">
        <v>40105</v>
      </c>
      <c r="B566" s="3">
        <v>0.3</v>
      </c>
      <c r="C566">
        <f t="shared" si="32"/>
        <v>0.30310228040562459</v>
      </c>
      <c r="E566" s="18">
        <f t="shared" si="34"/>
        <v>57210.675542398494</v>
      </c>
      <c r="G566" s="3">
        <v>23.19</v>
      </c>
      <c r="H566" s="18">
        <f t="shared" si="33"/>
        <v>26.980419200734069</v>
      </c>
      <c r="I566">
        <f t="shared" si="35"/>
        <v>284283.21662757191</v>
      </c>
    </row>
    <row r="567" spans="1:9" ht="18" x14ac:dyDescent="0.2">
      <c r="A567" s="2">
        <v>40112</v>
      </c>
      <c r="B567" s="3">
        <v>0.27</v>
      </c>
      <c r="C567">
        <f t="shared" si="32"/>
        <v>0.29994968227175556</v>
      </c>
      <c r="E567" s="18">
        <f t="shared" si="34"/>
        <v>51489.607988158648</v>
      </c>
      <c r="G567" s="3">
        <v>27</v>
      </c>
      <c r="H567" s="18">
        <f t="shared" si="33"/>
        <v>26.982284038759396</v>
      </c>
      <c r="I567">
        <f t="shared" si="35"/>
        <v>330989.51483158435</v>
      </c>
    </row>
    <row r="568" spans="1:9" ht="18" x14ac:dyDescent="0.2">
      <c r="A568" s="2">
        <v>40119</v>
      </c>
      <c r="B568" s="3">
        <v>0.3</v>
      </c>
      <c r="C568">
        <f t="shared" si="32"/>
        <v>0.29995447443635026</v>
      </c>
      <c r="E568" s="18">
        <f t="shared" si="34"/>
        <v>57210.675542398494</v>
      </c>
      <c r="G568" s="3">
        <v>24.71</v>
      </c>
      <c r="H568" s="18">
        <f t="shared" si="33"/>
        <v>26.765876035068025</v>
      </c>
      <c r="I568">
        <f t="shared" si="35"/>
        <v>330989.51483158435</v>
      </c>
    </row>
    <row r="569" spans="1:9" ht="18" x14ac:dyDescent="0.2">
      <c r="A569" s="2">
        <v>40126</v>
      </c>
      <c r="B569" s="3">
        <v>0.31</v>
      </c>
      <c r="C569">
        <f t="shared" si="32"/>
        <v>0.30091119115669784</v>
      </c>
      <c r="E569" s="18">
        <f t="shared" si="34"/>
        <v>57210.675542398494</v>
      </c>
      <c r="G569" s="3">
        <v>22.56</v>
      </c>
      <c r="H569" s="18">
        <f t="shared" si="33"/>
        <v>26.365316412680595</v>
      </c>
      <c r="I569">
        <f t="shared" si="35"/>
        <v>302190.34619994101</v>
      </c>
    </row>
    <row r="570" spans="1:9" ht="18" x14ac:dyDescent="0.2">
      <c r="A570" s="2">
        <v>40133</v>
      </c>
      <c r="B570" s="3">
        <v>0.3</v>
      </c>
      <c r="C570">
        <f t="shared" si="32"/>
        <v>0.30082441104653612</v>
      </c>
      <c r="E570" s="18">
        <f t="shared" si="34"/>
        <v>57210.675542398494</v>
      </c>
      <c r="G570" s="3">
        <v>14.87</v>
      </c>
      <c r="H570" s="18">
        <f t="shared" si="33"/>
        <v>25.270524373377683</v>
      </c>
      <c r="I570">
        <f t="shared" si="35"/>
        <v>199183.08723373772</v>
      </c>
    </row>
    <row r="571" spans="1:9" ht="18" x14ac:dyDescent="0.2">
      <c r="A571" s="2">
        <v>40140</v>
      </c>
      <c r="B571" s="3">
        <v>0.28999999999999998</v>
      </c>
      <c r="C571">
        <f t="shared" si="32"/>
        <v>0.29979351475638982</v>
      </c>
      <c r="E571" s="18">
        <f t="shared" si="34"/>
        <v>55303.653024318548</v>
      </c>
      <c r="G571" s="3">
        <v>20.72</v>
      </c>
      <c r="H571" s="18">
        <f t="shared" si="33"/>
        <v>24.837141099722665</v>
      </c>
      <c r="I571">
        <f t="shared" si="35"/>
        <v>277543.61583611602</v>
      </c>
    </row>
    <row r="572" spans="1:9" ht="18" x14ac:dyDescent="0.2">
      <c r="A572" s="2">
        <v>40147</v>
      </c>
      <c r="B572" s="3">
        <v>0.33</v>
      </c>
      <c r="C572">
        <f t="shared" si="32"/>
        <v>0.30267032287482887</v>
      </c>
      <c r="E572" s="18">
        <f t="shared" si="34"/>
        <v>62931.743096638362</v>
      </c>
      <c r="G572" s="3">
        <v>25.01</v>
      </c>
      <c r="H572" s="18">
        <f t="shared" si="33"/>
        <v>24.853603852130028</v>
      </c>
      <c r="I572">
        <f t="shared" si="35"/>
        <v>335008.00347786013</v>
      </c>
    </row>
    <row r="573" spans="1:9" ht="18" x14ac:dyDescent="0.2">
      <c r="A573" s="2">
        <v>40154</v>
      </c>
      <c r="B573" s="3">
        <v>0.35</v>
      </c>
      <c r="C573">
        <f t="shared" si="32"/>
        <v>0.30717791117246424</v>
      </c>
      <c r="E573" s="18">
        <f t="shared" si="34"/>
        <v>62931.743096638362</v>
      </c>
      <c r="G573" s="3">
        <v>27.26</v>
      </c>
      <c r="H573" s="18">
        <f t="shared" si="33"/>
        <v>25.082784437641454</v>
      </c>
      <c r="I573">
        <f t="shared" si="35"/>
        <v>335008.00347786013</v>
      </c>
    </row>
    <row r="574" spans="1:9" ht="18" x14ac:dyDescent="0.2">
      <c r="A574" s="2">
        <v>40161</v>
      </c>
      <c r="B574" s="3">
        <v>0.39</v>
      </c>
      <c r="C574">
        <f t="shared" si="32"/>
        <v>0.31506572915603909</v>
      </c>
      <c r="E574" s="18">
        <f t="shared" si="34"/>
        <v>62931.743096638362</v>
      </c>
      <c r="G574" s="3">
        <v>27.25</v>
      </c>
      <c r="H574" s="18">
        <f t="shared" si="33"/>
        <v>25.289185919770841</v>
      </c>
      <c r="I574">
        <f t="shared" si="35"/>
        <v>335008.00347786013</v>
      </c>
    </row>
    <row r="575" spans="1:9" ht="18" x14ac:dyDescent="0.2">
      <c r="A575" s="2">
        <v>40168</v>
      </c>
      <c r="B575" s="3">
        <v>0.41</v>
      </c>
      <c r="C575">
        <f t="shared" si="32"/>
        <v>0.32410708828403534</v>
      </c>
      <c r="E575" s="18">
        <f t="shared" si="34"/>
        <v>62931.743096638362</v>
      </c>
      <c r="G575" s="3">
        <v>27.88</v>
      </c>
      <c r="H575" s="18">
        <f t="shared" si="33"/>
        <v>25.535930117887904</v>
      </c>
      <c r="I575">
        <f t="shared" si="35"/>
        <v>335008.00347786013</v>
      </c>
    </row>
    <row r="576" spans="1:9" ht="18" x14ac:dyDescent="0.2">
      <c r="A576" s="2">
        <v>40175</v>
      </c>
      <c r="B576" s="3">
        <v>0.43</v>
      </c>
      <c r="C576">
        <f t="shared" si="32"/>
        <v>0.33419212749507959</v>
      </c>
      <c r="E576" s="18">
        <f t="shared" si="34"/>
        <v>62931.743096638362</v>
      </c>
      <c r="G576" s="3">
        <v>27.73</v>
      </c>
      <c r="H576" s="18">
        <f t="shared" si="33"/>
        <v>25.744889154279534</v>
      </c>
      <c r="I576">
        <f t="shared" si="35"/>
        <v>335008.00347786013</v>
      </c>
    </row>
    <row r="577" spans="1:9" ht="18" x14ac:dyDescent="0.2">
      <c r="A577" s="2">
        <v>40182</v>
      </c>
      <c r="B577" s="3">
        <v>0.43</v>
      </c>
      <c r="C577">
        <f t="shared" si="32"/>
        <v>0.34331668678126248</v>
      </c>
      <c r="E577" s="18">
        <f t="shared" si="34"/>
        <v>62931.743096638362</v>
      </c>
      <c r="G577" s="3">
        <v>29.74</v>
      </c>
      <c r="H577" s="18">
        <f t="shared" si="33"/>
        <v>26.125375901491008</v>
      </c>
      <c r="I577">
        <f t="shared" si="35"/>
        <v>335008.00347786013</v>
      </c>
    </row>
    <row r="578" spans="1:9" ht="18" x14ac:dyDescent="0.2">
      <c r="A578" s="2">
        <v>40189</v>
      </c>
      <c r="B578" s="3">
        <v>0.39</v>
      </c>
      <c r="C578">
        <f t="shared" si="32"/>
        <v>0.34776271661161845</v>
      </c>
      <c r="E578" s="18">
        <f t="shared" si="34"/>
        <v>62931.743096638362</v>
      </c>
      <c r="G578" s="3">
        <v>29.11</v>
      </c>
      <c r="H578" s="18">
        <f t="shared" si="33"/>
        <v>26.409625815634723</v>
      </c>
      <c r="I578">
        <f t="shared" si="35"/>
        <v>335008.00347786013</v>
      </c>
    </row>
    <row r="579" spans="1:9" ht="18" x14ac:dyDescent="0.2">
      <c r="A579" s="2">
        <v>40196</v>
      </c>
      <c r="B579" s="3">
        <v>0.38</v>
      </c>
      <c r="C579">
        <f t="shared" si="32"/>
        <v>0.35083293407717858</v>
      </c>
      <c r="E579" s="18">
        <f t="shared" si="34"/>
        <v>62931.743096638362</v>
      </c>
      <c r="G579" s="3">
        <v>26.09</v>
      </c>
      <c r="H579" s="18">
        <f t="shared" si="33"/>
        <v>26.37918526176475</v>
      </c>
      <c r="I579">
        <f t="shared" si="35"/>
        <v>335008.00347786013</v>
      </c>
    </row>
    <row r="580" spans="1:9" ht="18" x14ac:dyDescent="0.2">
      <c r="A580" s="2">
        <v>40203</v>
      </c>
      <c r="B580" s="3">
        <v>0.35</v>
      </c>
      <c r="C580">
        <f t="shared" si="32"/>
        <v>0.3507536070222092</v>
      </c>
      <c r="E580" s="18">
        <f t="shared" si="34"/>
        <v>62931.743096638362</v>
      </c>
      <c r="G580" s="3">
        <v>25.95</v>
      </c>
      <c r="H580" s="18">
        <f t="shared" si="33"/>
        <v>26.338310474930012</v>
      </c>
      <c r="I580">
        <f t="shared" si="35"/>
        <v>333210.33692029398</v>
      </c>
    </row>
    <row r="581" spans="1:9" ht="18" x14ac:dyDescent="0.2">
      <c r="A581" s="2">
        <v>40210</v>
      </c>
      <c r="B581" s="3">
        <v>0.37</v>
      </c>
      <c r="C581">
        <f t="shared" si="32"/>
        <v>0.35258659682961785</v>
      </c>
      <c r="E581" s="18">
        <f t="shared" si="34"/>
        <v>66527.84270216056</v>
      </c>
      <c r="G581" s="3">
        <v>25.52</v>
      </c>
      <c r="H581" s="18">
        <f t="shared" si="33"/>
        <v>26.260376143984296</v>
      </c>
      <c r="I581">
        <f t="shared" si="35"/>
        <v>327688.93249348376</v>
      </c>
    </row>
    <row r="582" spans="1:9" ht="18" x14ac:dyDescent="0.2">
      <c r="A582" s="2">
        <v>40217</v>
      </c>
      <c r="B582" s="3">
        <v>0.4</v>
      </c>
      <c r="C582">
        <f t="shared" si="32"/>
        <v>0.35710215903632092</v>
      </c>
      <c r="E582" s="18">
        <f t="shared" si="34"/>
        <v>66527.84270216056</v>
      </c>
      <c r="G582" s="3">
        <v>25.95</v>
      </c>
      <c r="H582" s="18">
        <f t="shared" si="33"/>
        <v>26.230816511223885</v>
      </c>
      <c r="I582">
        <f t="shared" si="35"/>
        <v>333210.33692029398</v>
      </c>
    </row>
    <row r="583" spans="1:9" ht="18" x14ac:dyDescent="0.2">
      <c r="A583" s="2">
        <v>40224</v>
      </c>
      <c r="B583" s="3">
        <v>0.38</v>
      </c>
      <c r="C583">
        <f t="shared" si="32"/>
        <v>0.35928290579476657</v>
      </c>
      <c r="E583" s="18">
        <f t="shared" si="34"/>
        <v>66527.84270216056</v>
      </c>
      <c r="G583" s="3">
        <v>26.67</v>
      </c>
      <c r="H583" s="18">
        <f t="shared" si="33"/>
        <v>26.272643510154943</v>
      </c>
      <c r="I583">
        <f t="shared" si="35"/>
        <v>342455.47921634838</v>
      </c>
    </row>
    <row r="584" spans="1:9" ht="18" x14ac:dyDescent="0.2">
      <c r="A584" s="2">
        <v>40231</v>
      </c>
      <c r="B584" s="3">
        <v>0.37</v>
      </c>
      <c r="C584">
        <f t="shared" si="32"/>
        <v>0.36030358143336022</v>
      </c>
      <c r="E584" s="18">
        <f t="shared" si="34"/>
        <v>66527.84270216056</v>
      </c>
      <c r="G584" s="3">
        <v>27.97</v>
      </c>
      <c r="H584" s="18">
        <f t="shared" si="33"/>
        <v>26.434296509187806</v>
      </c>
      <c r="I584">
        <f t="shared" si="35"/>
        <v>342455.47921634838</v>
      </c>
    </row>
    <row r="585" spans="1:9" ht="18" x14ac:dyDescent="0.2">
      <c r="A585" s="2">
        <v>40238</v>
      </c>
      <c r="B585" s="3">
        <v>0.39</v>
      </c>
      <c r="C585">
        <f t="shared" si="32"/>
        <v>0.36313181177304021</v>
      </c>
      <c r="E585" s="18">
        <f t="shared" si="34"/>
        <v>66527.84270216056</v>
      </c>
      <c r="G585" s="3">
        <v>28.53</v>
      </c>
      <c r="H585" s="18">
        <f t="shared" si="33"/>
        <v>26.633887317836585</v>
      </c>
      <c r="I585">
        <f t="shared" si="35"/>
        <v>342455.47921634838</v>
      </c>
    </row>
    <row r="586" spans="1:9" ht="18" x14ac:dyDescent="0.2">
      <c r="A586" s="2">
        <v>40245</v>
      </c>
      <c r="B586" s="3">
        <v>0.4</v>
      </c>
      <c r="C586">
        <f t="shared" si="32"/>
        <v>0.36664306779465544</v>
      </c>
      <c r="E586" s="18">
        <f t="shared" si="34"/>
        <v>66527.84270216056</v>
      </c>
      <c r="G586" s="3">
        <v>28.75</v>
      </c>
      <c r="H586" s="18">
        <f t="shared" si="33"/>
        <v>26.835421858995005</v>
      </c>
      <c r="I586">
        <f t="shared" si="35"/>
        <v>342455.47921634838</v>
      </c>
    </row>
    <row r="587" spans="1:9" ht="18" x14ac:dyDescent="0.2">
      <c r="A587" s="2">
        <v>40252</v>
      </c>
      <c r="B587" s="3">
        <v>0.4</v>
      </c>
      <c r="C587">
        <f t="shared" si="32"/>
        <v>0.36981991848087875</v>
      </c>
      <c r="E587" s="18">
        <f t="shared" si="34"/>
        <v>66527.84270216056</v>
      </c>
      <c r="G587" s="3">
        <v>28.95</v>
      </c>
      <c r="H587" s="18">
        <f t="shared" si="33"/>
        <v>27.036810253376434</v>
      </c>
      <c r="I587">
        <f t="shared" si="35"/>
        <v>342455.47921634838</v>
      </c>
    </row>
    <row r="588" spans="1:9" ht="18" x14ac:dyDescent="0.2">
      <c r="A588" s="2">
        <v>40259</v>
      </c>
      <c r="B588" s="3">
        <v>0.4</v>
      </c>
      <c r="C588">
        <f t="shared" si="32"/>
        <v>0.3726942119588903</v>
      </c>
      <c r="E588" s="18">
        <f t="shared" si="34"/>
        <v>66527.84270216056</v>
      </c>
      <c r="G588" s="3">
        <v>30</v>
      </c>
      <c r="H588" s="18">
        <f t="shared" si="33"/>
        <v>27.319018800673916</v>
      </c>
      <c r="I588">
        <f t="shared" si="35"/>
        <v>342455.47921634838</v>
      </c>
    </row>
    <row r="589" spans="1:9" ht="18" x14ac:dyDescent="0.2">
      <c r="A589" s="2">
        <v>40266</v>
      </c>
      <c r="B589" s="3">
        <v>0.39</v>
      </c>
      <c r="C589">
        <f t="shared" si="32"/>
        <v>0.37434238224851979</v>
      </c>
      <c r="E589" s="18">
        <f t="shared" si="34"/>
        <v>66527.84270216056</v>
      </c>
      <c r="G589" s="3">
        <v>30.1</v>
      </c>
      <c r="H589" s="18">
        <f t="shared" si="33"/>
        <v>27.583874152990685</v>
      </c>
      <c r="I589">
        <f t="shared" si="35"/>
        <v>342455.47921634838</v>
      </c>
    </row>
    <row r="590" spans="1:9" ht="18" x14ac:dyDescent="0.2">
      <c r="A590" s="2">
        <v>40273</v>
      </c>
      <c r="B590" s="3">
        <v>0.39</v>
      </c>
      <c r="C590">
        <f t="shared" si="32"/>
        <v>0.37583358393913696</v>
      </c>
      <c r="E590" s="18">
        <f t="shared" si="34"/>
        <v>66527.84270216056</v>
      </c>
      <c r="G590" s="3">
        <v>30.67</v>
      </c>
      <c r="H590" s="18">
        <f t="shared" si="33"/>
        <v>27.877790900324907</v>
      </c>
      <c r="I590">
        <f t="shared" si="35"/>
        <v>342455.47921634838</v>
      </c>
    </row>
    <row r="591" spans="1:9" ht="18" x14ac:dyDescent="0.2">
      <c r="A591" s="2">
        <v>40280</v>
      </c>
      <c r="B591" s="3">
        <v>0.39</v>
      </c>
      <c r="C591">
        <f t="shared" si="32"/>
        <v>0.37718276642112392</v>
      </c>
      <c r="E591" s="18">
        <f t="shared" si="34"/>
        <v>66527.84270216056</v>
      </c>
      <c r="G591" s="3">
        <v>30.39</v>
      </c>
      <c r="H591" s="18">
        <f t="shared" si="33"/>
        <v>28.117048909817772</v>
      </c>
      <c r="I591">
        <f t="shared" si="35"/>
        <v>342455.47921634838</v>
      </c>
    </row>
    <row r="592" spans="1:9" ht="18" x14ac:dyDescent="0.2">
      <c r="A592" s="2">
        <v>40287</v>
      </c>
      <c r="B592" s="3">
        <v>0.38</v>
      </c>
      <c r="C592">
        <f t="shared" si="32"/>
        <v>0.37745107438101688</v>
      </c>
      <c r="E592" s="18">
        <f t="shared" si="34"/>
        <v>66527.84270216056</v>
      </c>
      <c r="G592" s="3">
        <v>29.98</v>
      </c>
      <c r="H592" s="18">
        <f t="shared" si="33"/>
        <v>28.294472823168459</v>
      </c>
      <c r="I592">
        <f t="shared" si="35"/>
        <v>342455.47921634838</v>
      </c>
    </row>
    <row r="593" spans="1:9" ht="18" x14ac:dyDescent="0.2">
      <c r="A593" s="2">
        <v>40294</v>
      </c>
      <c r="B593" s="3">
        <v>0.36</v>
      </c>
      <c r="C593">
        <f t="shared" si="32"/>
        <v>0.37578906729711054</v>
      </c>
      <c r="E593" s="18">
        <f t="shared" si="34"/>
        <v>66527.84270216056</v>
      </c>
      <c r="G593" s="3">
        <v>28.4</v>
      </c>
      <c r="H593" s="18">
        <f t="shared" si="33"/>
        <v>28.304523030485747</v>
      </c>
      <c r="I593">
        <f t="shared" si="35"/>
        <v>342455.47921634838</v>
      </c>
    </row>
    <row r="594" spans="1:9" ht="18" x14ac:dyDescent="0.2">
      <c r="A594" s="2">
        <v>40301</v>
      </c>
      <c r="B594" s="3">
        <v>0.32</v>
      </c>
      <c r="C594">
        <f t="shared" si="32"/>
        <v>0.37047582279262381</v>
      </c>
      <c r="E594" s="18">
        <f t="shared" si="34"/>
        <v>59135.860179698277</v>
      </c>
      <c r="G594" s="3">
        <v>27.19</v>
      </c>
      <c r="H594" s="18">
        <f t="shared" si="33"/>
        <v>28.198377979963293</v>
      </c>
      <c r="I594">
        <f t="shared" si="35"/>
        <v>342455.47921634838</v>
      </c>
    </row>
    <row r="595" spans="1:9" ht="18" x14ac:dyDescent="0.2">
      <c r="A595" s="2">
        <v>40308</v>
      </c>
      <c r="B595" s="3">
        <v>0.3</v>
      </c>
      <c r="C595">
        <f t="shared" si="32"/>
        <v>0.36376383966951675</v>
      </c>
      <c r="E595" s="18">
        <f t="shared" si="34"/>
        <v>55439.868918467131</v>
      </c>
      <c r="G595" s="3">
        <v>26.61</v>
      </c>
      <c r="H595" s="18">
        <f t="shared" si="33"/>
        <v>28.047103886633455</v>
      </c>
      <c r="I595">
        <f t="shared" si="35"/>
        <v>335150.4340546903</v>
      </c>
    </row>
    <row r="596" spans="1:9" ht="18" x14ac:dyDescent="0.2">
      <c r="A596" s="2">
        <v>40315</v>
      </c>
      <c r="B596" s="3">
        <v>0.28999999999999998</v>
      </c>
      <c r="C596">
        <f t="shared" si="32"/>
        <v>0.35673871208194374</v>
      </c>
      <c r="E596" s="18">
        <f t="shared" si="34"/>
        <v>53591.873287851558</v>
      </c>
      <c r="G596" s="3">
        <v>26.72</v>
      </c>
      <c r="H596" s="18">
        <f t="shared" si="33"/>
        <v>27.92071304028741</v>
      </c>
      <c r="I596">
        <f t="shared" si="35"/>
        <v>336535.87365431507</v>
      </c>
    </row>
    <row r="597" spans="1:9" ht="18" x14ac:dyDescent="0.2">
      <c r="A597" s="2">
        <v>40322</v>
      </c>
      <c r="B597" s="3">
        <v>0.3</v>
      </c>
      <c r="C597">
        <f t="shared" si="32"/>
        <v>0.35133502521699672</v>
      </c>
      <c r="E597" s="18">
        <f t="shared" si="34"/>
        <v>55439.868918467131</v>
      </c>
      <c r="G597" s="3">
        <v>26.4</v>
      </c>
      <c r="H597" s="18">
        <f t="shared" si="33"/>
        <v>27.775883226926705</v>
      </c>
      <c r="I597">
        <f t="shared" si="35"/>
        <v>332505.50390995201</v>
      </c>
    </row>
    <row r="598" spans="1:9" ht="18" x14ac:dyDescent="0.2">
      <c r="A598" s="2">
        <v>40329</v>
      </c>
      <c r="B598" s="3">
        <v>0.28000000000000003</v>
      </c>
      <c r="C598">
        <f t="shared" si="32"/>
        <v>0.34454121329156845</v>
      </c>
      <c r="E598" s="18">
        <f t="shared" si="34"/>
        <v>51743.877657236</v>
      </c>
      <c r="G598" s="3">
        <v>25.1</v>
      </c>
      <c r="H598" s="18">
        <f t="shared" si="33"/>
        <v>27.521037205314638</v>
      </c>
      <c r="I598">
        <f t="shared" si="35"/>
        <v>316132.12682347716</v>
      </c>
    </row>
    <row r="599" spans="1:9" ht="18" x14ac:dyDescent="0.2">
      <c r="A599" s="2">
        <v>40336</v>
      </c>
      <c r="B599" s="3">
        <v>0.27</v>
      </c>
      <c r="C599">
        <f t="shared" si="32"/>
        <v>0.33744205012094286</v>
      </c>
      <c r="E599" s="18">
        <f t="shared" si="34"/>
        <v>49895.882026620427</v>
      </c>
      <c r="G599" s="3">
        <v>25.41</v>
      </c>
      <c r="H599" s="18">
        <f t="shared" si="33"/>
        <v>27.319986042903722</v>
      </c>
      <c r="I599">
        <f t="shared" si="35"/>
        <v>320036.54751332884</v>
      </c>
    </row>
    <row r="600" spans="1:9" ht="18" x14ac:dyDescent="0.2">
      <c r="A600" s="2">
        <v>40343</v>
      </c>
      <c r="B600" s="3">
        <v>0.28000000000000003</v>
      </c>
      <c r="C600">
        <f t="shared" si="32"/>
        <v>0.33197137868085308</v>
      </c>
      <c r="E600" s="18">
        <f t="shared" si="34"/>
        <v>51743.877657236</v>
      </c>
      <c r="G600" s="3">
        <v>26.14</v>
      </c>
      <c r="H600" s="18">
        <f t="shared" si="33"/>
        <v>27.207606419770034</v>
      </c>
      <c r="I600">
        <f t="shared" si="35"/>
        <v>329230.82849265705</v>
      </c>
    </row>
    <row r="601" spans="1:9" ht="18" x14ac:dyDescent="0.2">
      <c r="A601" s="2">
        <v>40350</v>
      </c>
      <c r="B601" s="3">
        <v>0.25</v>
      </c>
      <c r="C601">
        <f t="shared" ref="C601:C664" si="36">(B601-C600)*$D$4+C600</f>
        <v>0.32416458071124804</v>
      </c>
      <c r="E601" s="18">
        <f t="shared" si="34"/>
        <v>46199.890765389282</v>
      </c>
      <c r="G601" s="3">
        <v>26.31</v>
      </c>
      <c r="H601" s="18">
        <f t="shared" si="33"/>
        <v>27.122120094077651</v>
      </c>
      <c r="I601">
        <f t="shared" si="35"/>
        <v>331371.96241934993</v>
      </c>
    </row>
    <row r="602" spans="1:9" ht="18" x14ac:dyDescent="0.2">
      <c r="A602" s="2">
        <v>40357</v>
      </c>
      <c r="B602" s="3">
        <v>0.23</v>
      </c>
      <c r="C602">
        <f t="shared" si="36"/>
        <v>0.31519652540541487</v>
      </c>
      <c r="E602" s="18">
        <f t="shared" si="34"/>
        <v>42503.899504158144</v>
      </c>
      <c r="G602" s="3">
        <v>23.9</v>
      </c>
      <c r="H602" s="18">
        <f t="shared" ref="H602:H665" si="37">(G602-H601)*$D$4+H601</f>
        <v>26.815251513689304</v>
      </c>
      <c r="I602">
        <f t="shared" si="35"/>
        <v>301018.24028211564</v>
      </c>
    </row>
    <row r="603" spans="1:9" ht="18" x14ac:dyDescent="0.2">
      <c r="A603" s="2">
        <v>40364</v>
      </c>
      <c r="B603" s="3">
        <v>0.24</v>
      </c>
      <c r="C603">
        <f t="shared" si="36"/>
        <v>0.30803495155728011</v>
      </c>
      <c r="E603" s="18">
        <f t="shared" si="34"/>
        <v>44351.895134773717</v>
      </c>
      <c r="G603" s="3">
        <v>25.95</v>
      </c>
      <c r="H603" s="18">
        <f t="shared" si="37"/>
        <v>26.732846607623657</v>
      </c>
      <c r="I603">
        <f t="shared" si="35"/>
        <v>326837.79645694146</v>
      </c>
    </row>
    <row r="604" spans="1:9" ht="18" x14ac:dyDescent="0.2">
      <c r="A604" s="2">
        <v>40371</v>
      </c>
      <c r="B604" s="3">
        <v>0.23</v>
      </c>
      <c r="C604">
        <f t="shared" si="36"/>
        <v>0.3006030514089677</v>
      </c>
      <c r="E604" s="18">
        <f t="shared" si="34"/>
        <v>42503.899504158144</v>
      </c>
      <c r="G604" s="3">
        <v>26.05</v>
      </c>
      <c r="H604" s="18">
        <f t="shared" si="37"/>
        <v>26.667813597373783</v>
      </c>
      <c r="I604">
        <f t="shared" si="35"/>
        <v>328097.28700205492</v>
      </c>
    </row>
    <row r="605" spans="1:9" ht="18" x14ac:dyDescent="0.2">
      <c r="A605" s="2">
        <v>40378</v>
      </c>
      <c r="B605" s="3">
        <v>0.24</v>
      </c>
      <c r="C605">
        <f t="shared" si="36"/>
        <v>0.29483133222716124</v>
      </c>
      <c r="E605" s="18">
        <f t="shared" ref="E605:E668" si="38">IF(C604&gt;B604,E604*B605/B604,E604)</f>
        <v>44351.895134773717</v>
      </c>
      <c r="G605" s="3">
        <v>26.61</v>
      </c>
      <c r="H605" s="18">
        <f t="shared" si="37"/>
        <v>26.662307540481041</v>
      </c>
      <c r="I605">
        <f t="shared" si="35"/>
        <v>335150.4340546903</v>
      </c>
    </row>
    <row r="606" spans="1:9" ht="18" x14ac:dyDescent="0.2">
      <c r="A606" s="2">
        <v>40385</v>
      </c>
      <c r="B606" s="3">
        <v>0.21</v>
      </c>
      <c r="C606">
        <f t="shared" si="36"/>
        <v>0.28675215772933638</v>
      </c>
      <c r="E606" s="18">
        <f t="shared" si="38"/>
        <v>38807.908242927006</v>
      </c>
      <c r="G606" s="3">
        <v>26.91</v>
      </c>
      <c r="H606" s="18">
        <f t="shared" si="37"/>
        <v>26.685897298530467</v>
      </c>
      <c r="I606">
        <f t="shared" ref="I606:I669" si="39">IF(H605&gt;G605,I605*G606/G605,I605)</f>
        <v>338928.90569003066</v>
      </c>
    </row>
    <row r="607" spans="1:9" ht="18" x14ac:dyDescent="0.2">
      <c r="A607" s="2">
        <v>40392</v>
      </c>
      <c r="B607" s="3">
        <v>0.22</v>
      </c>
      <c r="C607">
        <f t="shared" si="36"/>
        <v>0.2803948093741615</v>
      </c>
      <c r="E607" s="18">
        <f t="shared" si="38"/>
        <v>40655.903873542578</v>
      </c>
      <c r="G607" s="3">
        <v>27.01</v>
      </c>
      <c r="H607" s="18">
        <f t="shared" si="37"/>
        <v>26.716764222479945</v>
      </c>
      <c r="I607">
        <f t="shared" si="39"/>
        <v>338928.90569003066</v>
      </c>
    </row>
    <row r="608" spans="1:9" ht="18" x14ac:dyDescent="0.2">
      <c r="A608" s="2">
        <v>40399</v>
      </c>
      <c r="B608" s="3">
        <v>0.22</v>
      </c>
      <c r="C608">
        <f t="shared" si="36"/>
        <v>0.27464292276709851</v>
      </c>
      <c r="E608" s="18">
        <f t="shared" si="38"/>
        <v>40655.903873542578</v>
      </c>
      <c r="G608" s="3">
        <v>25.05</v>
      </c>
      <c r="H608" s="18">
        <f t="shared" si="37"/>
        <v>26.55802477271995</v>
      </c>
      <c r="I608">
        <f t="shared" si="39"/>
        <v>338928.90569003066</v>
      </c>
    </row>
    <row r="609" spans="1:9" ht="18" x14ac:dyDescent="0.2">
      <c r="A609" s="2">
        <v>40406</v>
      </c>
      <c r="B609" s="3">
        <v>0.23</v>
      </c>
      <c r="C609">
        <f t="shared" si="36"/>
        <v>0.27039121583689862</v>
      </c>
      <c r="E609" s="18">
        <f t="shared" si="38"/>
        <v>42503.899504158151</v>
      </c>
      <c r="G609" s="3">
        <v>24.81</v>
      </c>
      <c r="H609" s="18">
        <f t="shared" si="37"/>
        <v>26.391546222937098</v>
      </c>
      <c r="I609">
        <f t="shared" si="39"/>
        <v>335681.68264150334</v>
      </c>
    </row>
    <row r="610" spans="1:9" ht="18" x14ac:dyDescent="0.2">
      <c r="A610" s="2">
        <v>40413</v>
      </c>
      <c r="B610" s="3">
        <v>0.23</v>
      </c>
      <c r="C610">
        <f t="shared" si="36"/>
        <v>0.26654443337624162</v>
      </c>
      <c r="E610" s="18">
        <f t="shared" si="38"/>
        <v>42503.899504158151</v>
      </c>
      <c r="G610" s="3">
        <v>24.45</v>
      </c>
      <c r="H610" s="18">
        <f t="shared" si="37"/>
        <v>26.20663705884785</v>
      </c>
      <c r="I610">
        <f t="shared" si="39"/>
        <v>330810.84806871251</v>
      </c>
    </row>
    <row r="611" spans="1:9" ht="18" x14ac:dyDescent="0.2">
      <c r="A611" s="2">
        <v>40420</v>
      </c>
      <c r="B611" s="3">
        <v>0.23</v>
      </c>
      <c r="C611">
        <f t="shared" si="36"/>
        <v>0.26306401114993289</v>
      </c>
      <c r="E611" s="18">
        <f t="shared" si="38"/>
        <v>42503.899504158151</v>
      </c>
      <c r="G611" s="3">
        <v>26.16</v>
      </c>
      <c r="H611" s="18">
        <f t="shared" si="37"/>
        <v>26.202195434195673</v>
      </c>
      <c r="I611">
        <f t="shared" si="39"/>
        <v>353947.31228946912</v>
      </c>
    </row>
    <row r="612" spans="1:9" ht="18" x14ac:dyDescent="0.2">
      <c r="A612" s="2">
        <v>40427</v>
      </c>
      <c r="B612" s="3">
        <v>0.23</v>
      </c>
      <c r="C612">
        <f t="shared" si="36"/>
        <v>0.25991505770708212</v>
      </c>
      <c r="E612" s="18">
        <f t="shared" si="38"/>
        <v>42503.899504158151</v>
      </c>
      <c r="G612" s="3">
        <v>26.56</v>
      </c>
      <c r="H612" s="18">
        <f t="shared" si="37"/>
        <v>26.23627205951037</v>
      </c>
      <c r="I612">
        <f t="shared" si="39"/>
        <v>359359.35070368118</v>
      </c>
    </row>
    <row r="613" spans="1:9" ht="18" x14ac:dyDescent="0.2">
      <c r="A613" s="2">
        <v>40434</v>
      </c>
      <c r="B613" s="3">
        <v>0.24</v>
      </c>
      <c r="C613">
        <f t="shared" si="36"/>
        <v>0.25801838554450285</v>
      </c>
      <c r="E613" s="18">
        <f t="shared" si="38"/>
        <v>44351.895134773724</v>
      </c>
      <c r="G613" s="3">
        <v>26.76</v>
      </c>
      <c r="H613" s="18">
        <f t="shared" si="37"/>
        <v>26.286150910985572</v>
      </c>
      <c r="I613">
        <f t="shared" si="39"/>
        <v>359359.35070368118</v>
      </c>
    </row>
    <row r="614" spans="1:9" ht="18" x14ac:dyDescent="0.2">
      <c r="A614" s="2">
        <v>40441</v>
      </c>
      <c r="B614" s="3">
        <v>0.28000000000000003</v>
      </c>
      <c r="C614">
        <f t="shared" si="36"/>
        <v>0.26011187263550256</v>
      </c>
      <c r="E614" s="18">
        <f t="shared" si="38"/>
        <v>51743.877657236015</v>
      </c>
      <c r="G614" s="3">
        <v>26.55</v>
      </c>
      <c r="H614" s="18">
        <f t="shared" si="37"/>
        <v>26.311279395653614</v>
      </c>
      <c r="I614">
        <f t="shared" si="39"/>
        <v>359359.35070368118</v>
      </c>
    </row>
    <row r="615" spans="1:9" ht="18" x14ac:dyDescent="0.2">
      <c r="A615" s="2">
        <v>40448</v>
      </c>
      <c r="B615" s="3">
        <v>0.26</v>
      </c>
      <c r="C615">
        <f t="shared" si="36"/>
        <v>0.26010121809878806</v>
      </c>
      <c r="E615" s="18">
        <f t="shared" si="38"/>
        <v>51743.877657236015</v>
      </c>
      <c r="G615" s="3">
        <v>25.92</v>
      </c>
      <c r="H615" s="18">
        <f t="shared" si="37"/>
        <v>26.274014691305652</v>
      </c>
      <c r="I615">
        <f t="shared" si="39"/>
        <v>359359.35070368118</v>
      </c>
    </row>
    <row r="616" spans="1:9" ht="18" x14ac:dyDescent="0.2">
      <c r="A616" s="2">
        <v>40455</v>
      </c>
      <c r="B616" s="3">
        <v>0.25</v>
      </c>
      <c r="C616">
        <f t="shared" si="36"/>
        <v>0.25913919732747492</v>
      </c>
      <c r="E616" s="18">
        <f t="shared" si="38"/>
        <v>49753.728516573086</v>
      </c>
      <c r="G616" s="3">
        <v>26.26</v>
      </c>
      <c r="H616" s="18">
        <f t="shared" si="37"/>
        <v>26.272679958800353</v>
      </c>
      <c r="I616">
        <f t="shared" si="39"/>
        <v>364073.16934717086</v>
      </c>
    </row>
    <row r="617" spans="1:9" ht="18" x14ac:dyDescent="0.2">
      <c r="A617" s="2">
        <v>40462</v>
      </c>
      <c r="B617" s="3">
        <v>0.26</v>
      </c>
      <c r="C617">
        <f t="shared" si="36"/>
        <v>0.25922117853438209</v>
      </c>
      <c r="E617" s="18">
        <f t="shared" si="38"/>
        <v>51743.877657236015</v>
      </c>
      <c r="G617" s="3">
        <v>24.85</v>
      </c>
      <c r="H617" s="18">
        <f t="shared" si="37"/>
        <v>26.137186629390797</v>
      </c>
      <c r="I617">
        <f t="shared" si="39"/>
        <v>344524.68614916969</v>
      </c>
    </row>
    <row r="618" spans="1:9" ht="18" x14ac:dyDescent="0.2">
      <c r="A618" s="2">
        <v>40469</v>
      </c>
      <c r="B618" s="3">
        <v>0.27</v>
      </c>
      <c r="C618">
        <f t="shared" si="36"/>
        <v>0.26024773295967901</v>
      </c>
      <c r="E618" s="18">
        <f t="shared" si="38"/>
        <v>51743.877657236015</v>
      </c>
      <c r="G618" s="3">
        <v>25.22</v>
      </c>
      <c r="H618" s="18">
        <f t="shared" si="37"/>
        <v>26.04983552182977</v>
      </c>
      <c r="I618">
        <f t="shared" si="39"/>
        <v>349654.42996708484</v>
      </c>
    </row>
    <row r="619" spans="1:9" ht="18" x14ac:dyDescent="0.2">
      <c r="A619" s="2">
        <v>40476</v>
      </c>
      <c r="B619" s="3">
        <v>0.28000000000000003</v>
      </c>
      <c r="C619">
        <f t="shared" si="36"/>
        <v>0.26212890124923338</v>
      </c>
      <c r="E619" s="18">
        <f t="shared" si="38"/>
        <v>51743.877657236015</v>
      </c>
      <c r="G619" s="3">
        <v>25.17</v>
      </c>
      <c r="H619" s="18">
        <f t="shared" si="37"/>
        <v>25.966041662607889</v>
      </c>
      <c r="I619">
        <f t="shared" si="39"/>
        <v>348961.22134304227</v>
      </c>
    </row>
    <row r="620" spans="1:9" ht="18" x14ac:dyDescent="0.2">
      <c r="A620" s="2">
        <v>40483</v>
      </c>
      <c r="B620" s="3">
        <v>0.28999999999999998</v>
      </c>
      <c r="C620">
        <f t="shared" si="36"/>
        <v>0.26478329160644926</v>
      </c>
      <c r="E620" s="18">
        <f t="shared" si="38"/>
        <v>51743.877657236015</v>
      </c>
      <c r="G620" s="3">
        <v>27.38</v>
      </c>
      <c r="H620" s="18">
        <f t="shared" si="37"/>
        <v>26.100704361407139</v>
      </c>
      <c r="I620">
        <f t="shared" si="39"/>
        <v>379601.04252572497</v>
      </c>
    </row>
    <row r="621" spans="1:9" ht="18" x14ac:dyDescent="0.2">
      <c r="A621" s="2">
        <v>40490</v>
      </c>
      <c r="B621" s="3">
        <v>0.3</v>
      </c>
      <c r="C621">
        <f t="shared" si="36"/>
        <v>0.26813726383440645</v>
      </c>
      <c r="E621" s="18">
        <f t="shared" si="38"/>
        <v>51743.877657236015</v>
      </c>
      <c r="G621" s="3">
        <v>26.49</v>
      </c>
      <c r="H621" s="18">
        <f t="shared" si="37"/>
        <v>26.137780136511221</v>
      </c>
      <c r="I621">
        <f t="shared" si="39"/>
        <v>379601.04252572497</v>
      </c>
    </row>
    <row r="622" spans="1:9" ht="18" x14ac:dyDescent="0.2">
      <c r="A622" s="2">
        <v>40497</v>
      </c>
      <c r="B622" s="3">
        <v>0.32</v>
      </c>
      <c r="C622">
        <f t="shared" si="36"/>
        <v>0.27307657204065344</v>
      </c>
      <c r="E622" s="18">
        <f t="shared" si="38"/>
        <v>51743.877657236015</v>
      </c>
      <c r="G622" s="3">
        <v>26.36</v>
      </c>
      <c r="H622" s="18">
        <f t="shared" si="37"/>
        <v>26.158943933033964</v>
      </c>
      <c r="I622">
        <f t="shared" si="39"/>
        <v>379601.04252572497</v>
      </c>
    </row>
    <row r="623" spans="1:9" ht="18" x14ac:dyDescent="0.2">
      <c r="A623" s="2">
        <v>40504</v>
      </c>
      <c r="B623" s="3">
        <v>0.31</v>
      </c>
      <c r="C623">
        <f t="shared" si="36"/>
        <v>0.27659308898916263</v>
      </c>
      <c r="E623" s="18">
        <f t="shared" si="38"/>
        <v>51743.877657236015</v>
      </c>
      <c r="G623" s="3">
        <v>25.08</v>
      </c>
      <c r="H623" s="18">
        <f t="shared" si="37"/>
        <v>26.05618736798311</v>
      </c>
      <c r="I623">
        <f t="shared" si="39"/>
        <v>379601.04252572497</v>
      </c>
    </row>
    <row r="624" spans="1:9" ht="18" x14ac:dyDescent="0.2">
      <c r="A624" s="2">
        <v>40511</v>
      </c>
      <c r="B624" s="3">
        <v>0.34</v>
      </c>
      <c r="C624">
        <f t="shared" si="36"/>
        <v>0.28263184241876621</v>
      </c>
      <c r="E624" s="18">
        <f t="shared" si="38"/>
        <v>51743.877657236015</v>
      </c>
      <c r="G624" s="3">
        <v>26.49</v>
      </c>
      <c r="H624" s="18">
        <f t="shared" si="37"/>
        <v>26.097502856746623</v>
      </c>
      <c r="I624">
        <f t="shared" si="39"/>
        <v>400942.24946197984</v>
      </c>
    </row>
    <row r="625" spans="1:9" ht="18" x14ac:dyDescent="0.2">
      <c r="A625" s="2">
        <v>40518</v>
      </c>
      <c r="B625" s="3">
        <v>0.34</v>
      </c>
      <c r="C625">
        <f t="shared" si="36"/>
        <v>0.28809547647412181</v>
      </c>
      <c r="E625" s="18">
        <f t="shared" si="38"/>
        <v>51743.877657236015</v>
      </c>
      <c r="G625" s="3">
        <v>27.71</v>
      </c>
      <c r="H625" s="18">
        <f t="shared" si="37"/>
        <v>26.251074013246946</v>
      </c>
      <c r="I625">
        <f t="shared" si="39"/>
        <v>400942.24946197984</v>
      </c>
    </row>
    <row r="626" spans="1:9" ht="18" x14ac:dyDescent="0.2">
      <c r="A626" s="2">
        <v>40525</v>
      </c>
      <c r="B626" s="3">
        <v>0.33</v>
      </c>
      <c r="C626">
        <f t="shared" si="36"/>
        <v>0.29208638347658639</v>
      </c>
      <c r="E626" s="18">
        <f t="shared" si="38"/>
        <v>51743.877657236015</v>
      </c>
      <c r="G626" s="3">
        <v>26.53</v>
      </c>
      <c r="H626" s="18">
        <f t="shared" si="37"/>
        <v>26.277638392937714</v>
      </c>
      <c r="I626">
        <f t="shared" si="39"/>
        <v>400942.24946197984</v>
      </c>
    </row>
    <row r="627" spans="1:9" ht="18" x14ac:dyDescent="0.2">
      <c r="A627" s="2">
        <v>40532</v>
      </c>
      <c r="B627" s="3">
        <v>0.34</v>
      </c>
      <c r="C627">
        <f t="shared" si="36"/>
        <v>0.2966495850502448</v>
      </c>
      <c r="E627" s="18">
        <f t="shared" si="38"/>
        <v>51743.877657236015</v>
      </c>
      <c r="G627" s="3">
        <v>28.15</v>
      </c>
      <c r="H627" s="18">
        <f t="shared" si="37"/>
        <v>26.455958545991265</v>
      </c>
      <c r="I627">
        <f t="shared" si="39"/>
        <v>400942.24946197984</v>
      </c>
    </row>
    <row r="628" spans="1:9" ht="18" x14ac:dyDescent="0.2">
      <c r="A628" s="2">
        <v>40539</v>
      </c>
      <c r="B628" s="3">
        <v>0.35</v>
      </c>
      <c r="C628">
        <f t="shared" si="36"/>
        <v>0.30173057695022149</v>
      </c>
      <c r="E628" s="18">
        <f t="shared" si="38"/>
        <v>51743.877657236015</v>
      </c>
      <c r="G628" s="3">
        <v>28.37</v>
      </c>
      <c r="H628" s="18">
        <f t="shared" si="37"/>
        <v>26.638248208277812</v>
      </c>
      <c r="I628">
        <f t="shared" si="39"/>
        <v>400942.24946197984</v>
      </c>
    </row>
    <row r="629" spans="1:9" ht="18" x14ac:dyDescent="0.2">
      <c r="A629" s="2">
        <v>40546</v>
      </c>
      <c r="B629" s="3">
        <v>0.46</v>
      </c>
      <c r="C629">
        <f t="shared" si="36"/>
        <v>0.31680385533591465</v>
      </c>
      <c r="E629" s="18">
        <f t="shared" si="38"/>
        <v>51743.877657236015</v>
      </c>
      <c r="G629" s="3">
        <v>29.19</v>
      </c>
      <c r="H629" s="18">
        <f t="shared" si="37"/>
        <v>26.88127218844183</v>
      </c>
      <c r="I629">
        <f t="shared" si="39"/>
        <v>400942.24946197984</v>
      </c>
    </row>
    <row r="630" spans="1:9" ht="18" x14ac:dyDescent="0.2">
      <c r="A630" s="2">
        <v>40553</v>
      </c>
      <c r="B630" s="3">
        <v>0.54</v>
      </c>
      <c r="C630">
        <f t="shared" si="36"/>
        <v>0.33806063101820849</v>
      </c>
      <c r="E630" s="18">
        <f t="shared" si="38"/>
        <v>51743.877657236015</v>
      </c>
      <c r="G630" s="3">
        <v>30.07</v>
      </c>
      <c r="H630" s="18">
        <f t="shared" si="37"/>
        <v>27.184960551447372</v>
      </c>
      <c r="I630">
        <f t="shared" si="39"/>
        <v>400942.24946197984</v>
      </c>
    </row>
    <row r="631" spans="1:9" ht="18" x14ac:dyDescent="0.2">
      <c r="A631" s="2">
        <v>40560</v>
      </c>
      <c r="B631" s="3">
        <v>0.51</v>
      </c>
      <c r="C631">
        <f t="shared" si="36"/>
        <v>0.35443580901647437</v>
      </c>
      <c r="E631" s="18">
        <f t="shared" si="38"/>
        <v>51743.877657236015</v>
      </c>
      <c r="G631" s="3">
        <v>30.33</v>
      </c>
      <c r="H631" s="18">
        <f t="shared" si="37"/>
        <v>27.484488117976195</v>
      </c>
      <c r="I631">
        <f t="shared" si="39"/>
        <v>400942.24946197984</v>
      </c>
    </row>
    <row r="632" spans="1:9" ht="18" x14ac:dyDescent="0.2">
      <c r="A632" s="2">
        <v>40567</v>
      </c>
      <c r="B632" s="3">
        <v>0.54</v>
      </c>
      <c r="C632">
        <f t="shared" si="36"/>
        <v>0.3721085891101435</v>
      </c>
      <c r="E632" s="18">
        <f t="shared" si="38"/>
        <v>51743.877657236015</v>
      </c>
      <c r="G632" s="3">
        <v>29.82</v>
      </c>
      <c r="H632" s="18">
        <f t="shared" si="37"/>
        <v>27.706917821026082</v>
      </c>
      <c r="I632">
        <f t="shared" si="39"/>
        <v>400942.24946197984</v>
      </c>
    </row>
    <row r="633" spans="1:9" ht="18" x14ac:dyDescent="0.2">
      <c r="A633" s="2">
        <v>40574</v>
      </c>
      <c r="B633" s="3">
        <v>0.59</v>
      </c>
      <c r="C633">
        <f t="shared" si="36"/>
        <v>0.39286015205203456</v>
      </c>
      <c r="E633" s="18">
        <f t="shared" si="38"/>
        <v>51743.877657236015</v>
      </c>
      <c r="G633" s="3">
        <v>29.86</v>
      </c>
      <c r="H633" s="18">
        <f t="shared" si="37"/>
        <v>27.911973266642644</v>
      </c>
      <c r="I633">
        <f t="shared" si="39"/>
        <v>400942.24946197984</v>
      </c>
    </row>
    <row r="634" spans="1:9" ht="18" x14ac:dyDescent="0.2">
      <c r="A634" s="2">
        <v>40581</v>
      </c>
      <c r="B634" s="3">
        <v>0.54</v>
      </c>
      <c r="C634">
        <f t="shared" si="36"/>
        <v>0.40687347090422177</v>
      </c>
      <c r="E634" s="18">
        <f t="shared" si="38"/>
        <v>51743.877657236015</v>
      </c>
      <c r="G634" s="3">
        <v>31.18</v>
      </c>
      <c r="H634" s="18">
        <f t="shared" si="37"/>
        <v>28.223213907914772</v>
      </c>
      <c r="I634">
        <f t="shared" si="39"/>
        <v>400942.24946197984</v>
      </c>
    </row>
    <row r="635" spans="1:9" ht="18" x14ac:dyDescent="0.2">
      <c r="A635" s="2">
        <v>40588</v>
      </c>
      <c r="B635" s="3">
        <v>0.59</v>
      </c>
      <c r="C635">
        <f t="shared" si="36"/>
        <v>0.4243140927228673</v>
      </c>
      <c r="E635" s="18">
        <f t="shared" si="38"/>
        <v>51743.877657236015</v>
      </c>
      <c r="G635" s="3">
        <v>32.14</v>
      </c>
      <c r="H635" s="18">
        <f t="shared" si="37"/>
        <v>28.596241154780031</v>
      </c>
      <c r="I635">
        <f t="shared" si="39"/>
        <v>400942.24946197984</v>
      </c>
    </row>
    <row r="636" spans="1:9" ht="18" x14ac:dyDescent="0.2">
      <c r="A636" s="2">
        <v>40595</v>
      </c>
      <c r="B636" s="3">
        <v>0.53</v>
      </c>
      <c r="C636">
        <f t="shared" si="36"/>
        <v>0.43437941722545137</v>
      </c>
      <c r="E636" s="18">
        <f t="shared" si="38"/>
        <v>51743.877657236015</v>
      </c>
      <c r="G636" s="3">
        <v>31.26</v>
      </c>
      <c r="H636" s="18">
        <f t="shared" si="37"/>
        <v>28.849932473372409</v>
      </c>
      <c r="I636">
        <f t="shared" si="39"/>
        <v>400942.24946197984</v>
      </c>
    </row>
    <row r="637" spans="1:9" ht="18" x14ac:dyDescent="0.2">
      <c r="A637" s="2">
        <v>40602</v>
      </c>
      <c r="B637" s="3">
        <v>0.48</v>
      </c>
      <c r="C637">
        <f t="shared" si="36"/>
        <v>0.43872423463255122</v>
      </c>
      <c r="E637" s="18">
        <f t="shared" si="38"/>
        <v>51743.877657236015</v>
      </c>
      <c r="G637" s="3">
        <v>30.48</v>
      </c>
      <c r="H637" s="18">
        <f t="shared" si="37"/>
        <v>29.005176999717893</v>
      </c>
      <c r="I637">
        <f t="shared" si="39"/>
        <v>400942.24946197984</v>
      </c>
    </row>
    <row r="638" spans="1:9" ht="18" x14ac:dyDescent="0.2">
      <c r="A638" s="2">
        <v>40609</v>
      </c>
      <c r="B638" s="3">
        <v>0.41</v>
      </c>
      <c r="C638">
        <f t="shared" si="36"/>
        <v>0.43598859323897493</v>
      </c>
      <c r="E638" s="18">
        <f t="shared" si="38"/>
        <v>51743.877657236015</v>
      </c>
      <c r="G638" s="3">
        <v>30.63</v>
      </c>
      <c r="H638" s="18">
        <f t="shared" si="37"/>
        <v>29.159922047363807</v>
      </c>
      <c r="I638">
        <f t="shared" si="39"/>
        <v>400942.24946197984</v>
      </c>
    </row>
    <row r="639" spans="1:9" ht="18" x14ac:dyDescent="0.2">
      <c r="A639" s="2">
        <v>40616</v>
      </c>
      <c r="B639" s="3">
        <v>0.4</v>
      </c>
      <c r="C639">
        <f t="shared" si="36"/>
        <v>0.43256110816859639</v>
      </c>
      <c r="E639" s="18">
        <f t="shared" si="38"/>
        <v>50481.83186071807</v>
      </c>
      <c r="G639" s="3">
        <v>30.63</v>
      </c>
      <c r="H639" s="18">
        <f t="shared" si="37"/>
        <v>29.299929471424395</v>
      </c>
      <c r="I639">
        <f t="shared" si="39"/>
        <v>400942.24946197984</v>
      </c>
    </row>
    <row r="640" spans="1:9" ht="18" x14ac:dyDescent="0.2">
      <c r="A640" s="2">
        <v>40623</v>
      </c>
      <c r="B640" s="3">
        <v>0.43</v>
      </c>
      <c r="C640">
        <f t="shared" si="36"/>
        <v>0.43231719310492056</v>
      </c>
      <c r="E640" s="18">
        <f t="shared" si="38"/>
        <v>54267.969250271926</v>
      </c>
      <c r="G640" s="3">
        <v>30.71</v>
      </c>
      <c r="H640" s="18">
        <f t="shared" si="37"/>
        <v>29.434221902717312</v>
      </c>
      <c r="I640">
        <f t="shared" si="39"/>
        <v>400942.24946197984</v>
      </c>
    </row>
    <row r="641" spans="1:9" ht="18" x14ac:dyDescent="0.2">
      <c r="A641" s="2">
        <v>40630</v>
      </c>
      <c r="B641" s="3">
        <v>0.42</v>
      </c>
      <c r="C641">
        <f t="shared" si="36"/>
        <v>0.43114412709492811</v>
      </c>
      <c r="E641" s="18">
        <f t="shared" si="38"/>
        <v>53005.923453753974</v>
      </c>
      <c r="G641" s="3">
        <v>31.04</v>
      </c>
      <c r="H641" s="18">
        <f t="shared" si="37"/>
        <v>29.587153150077569</v>
      </c>
      <c r="I641">
        <f t="shared" si="39"/>
        <v>400942.24946197984</v>
      </c>
    </row>
    <row r="642" spans="1:9" ht="18" x14ac:dyDescent="0.2">
      <c r="A642" s="2">
        <v>40637</v>
      </c>
      <c r="B642" s="3">
        <v>0.4</v>
      </c>
      <c r="C642">
        <f t="shared" si="36"/>
        <v>0.42817801975255398</v>
      </c>
      <c r="E642" s="18">
        <f t="shared" si="38"/>
        <v>50481.831860718077</v>
      </c>
      <c r="G642" s="3">
        <v>31.36</v>
      </c>
      <c r="H642" s="18">
        <f t="shared" si="37"/>
        <v>29.755995707213039</v>
      </c>
      <c r="I642">
        <f t="shared" si="39"/>
        <v>400942.24946197984</v>
      </c>
    </row>
    <row r="643" spans="1:9" ht="18" x14ac:dyDescent="0.2">
      <c r="A643" s="2">
        <v>40644</v>
      </c>
      <c r="B643" s="3">
        <v>0.43</v>
      </c>
      <c r="C643">
        <f t="shared" si="36"/>
        <v>0.42835154168088219</v>
      </c>
      <c r="E643" s="18">
        <f t="shared" si="38"/>
        <v>54267.969250271934</v>
      </c>
      <c r="G643" s="3">
        <v>30.22</v>
      </c>
      <c r="H643" s="18">
        <f t="shared" si="37"/>
        <v>29.800186592240369</v>
      </c>
      <c r="I643">
        <f t="shared" si="39"/>
        <v>400942.24946197984</v>
      </c>
    </row>
    <row r="644" spans="1:9" ht="18" x14ac:dyDescent="0.2">
      <c r="A644" s="2">
        <v>40651</v>
      </c>
      <c r="B644" s="3">
        <v>0.42</v>
      </c>
      <c r="C644">
        <f t="shared" si="36"/>
        <v>0.42755615675889341</v>
      </c>
      <c r="E644" s="18">
        <f t="shared" si="38"/>
        <v>54267.969250271934</v>
      </c>
      <c r="G644" s="3">
        <v>30.08</v>
      </c>
      <c r="H644" s="18">
        <f t="shared" si="37"/>
        <v>29.826835488217476</v>
      </c>
      <c r="I644">
        <f t="shared" si="39"/>
        <v>400942.24946197984</v>
      </c>
    </row>
    <row r="645" spans="1:9" ht="18" x14ac:dyDescent="0.2">
      <c r="A645" s="2">
        <v>40658</v>
      </c>
      <c r="B645" s="3">
        <v>0.46</v>
      </c>
      <c r="C645">
        <f t="shared" si="36"/>
        <v>0.43064604659137978</v>
      </c>
      <c r="E645" s="18">
        <f t="shared" si="38"/>
        <v>59436.347274107356</v>
      </c>
      <c r="G645" s="3">
        <v>30.72</v>
      </c>
      <c r="H645" s="18">
        <f t="shared" si="37"/>
        <v>29.911898775053906</v>
      </c>
      <c r="I645">
        <f t="shared" si="39"/>
        <v>400942.24946197984</v>
      </c>
    </row>
    <row r="646" spans="1:9" ht="18" x14ac:dyDescent="0.2">
      <c r="A646" s="2">
        <v>40665</v>
      </c>
      <c r="B646" s="3">
        <v>0.44</v>
      </c>
      <c r="C646">
        <f t="shared" si="36"/>
        <v>0.43153689929696265</v>
      </c>
      <c r="E646" s="18">
        <f t="shared" si="38"/>
        <v>59436.347274107356</v>
      </c>
      <c r="G646" s="3">
        <v>30.32</v>
      </c>
      <c r="H646" s="18">
        <f t="shared" si="37"/>
        <v>29.950765558382106</v>
      </c>
      <c r="I646">
        <f t="shared" si="39"/>
        <v>400942.24946197984</v>
      </c>
    </row>
    <row r="647" spans="1:9" ht="18" x14ac:dyDescent="0.2">
      <c r="A647" s="2">
        <v>40672</v>
      </c>
      <c r="B647" s="3">
        <v>0.42</v>
      </c>
      <c r="C647">
        <f t="shared" si="36"/>
        <v>0.43043814698296623</v>
      </c>
      <c r="E647" s="18">
        <f t="shared" si="38"/>
        <v>59436.347274107356</v>
      </c>
      <c r="G647" s="3">
        <v>29.05</v>
      </c>
      <c r="H647" s="18">
        <f t="shared" si="37"/>
        <v>29.864978362345713</v>
      </c>
      <c r="I647">
        <f t="shared" si="39"/>
        <v>400942.24946197984</v>
      </c>
    </row>
    <row r="648" spans="1:9" ht="18" x14ac:dyDescent="0.2">
      <c r="A648" s="2">
        <v>40679</v>
      </c>
      <c r="B648" s="3">
        <v>0.41</v>
      </c>
      <c r="C648">
        <f t="shared" si="36"/>
        <v>0.42849165679411227</v>
      </c>
      <c r="E648" s="18">
        <f t="shared" si="38"/>
        <v>58021.196148533367</v>
      </c>
      <c r="G648" s="3">
        <v>29.04</v>
      </c>
      <c r="H648" s="18">
        <f t="shared" si="37"/>
        <v>29.786408994503265</v>
      </c>
      <c r="I648">
        <f t="shared" si="39"/>
        <v>400804.23147593439</v>
      </c>
    </row>
    <row r="649" spans="1:9" ht="18" x14ac:dyDescent="0.2">
      <c r="A649" s="2">
        <v>40686</v>
      </c>
      <c r="B649" s="3">
        <v>0.45</v>
      </c>
      <c r="C649">
        <f t="shared" si="36"/>
        <v>0.43054007043276826</v>
      </c>
      <c r="E649" s="18">
        <f t="shared" si="38"/>
        <v>63681.800650829311</v>
      </c>
      <c r="G649" s="3">
        <v>28.81</v>
      </c>
      <c r="H649" s="18">
        <f t="shared" si="37"/>
        <v>29.693417661693431</v>
      </c>
      <c r="I649">
        <f t="shared" si="39"/>
        <v>397629.8177968894</v>
      </c>
    </row>
    <row r="650" spans="1:9" ht="18" x14ac:dyDescent="0.2">
      <c r="A650" s="2">
        <v>40693</v>
      </c>
      <c r="B650" s="3">
        <v>0.42</v>
      </c>
      <c r="C650">
        <f t="shared" si="36"/>
        <v>0.42953625420107605</v>
      </c>
      <c r="E650" s="18">
        <f t="shared" si="38"/>
        <v>63681.800650829311</v>
      </c>
      <c r="G650" s="3">
        <v>27.99</v>
      </c>
      <c r="H650" s="18">
        <f t="shared" si="37"/>
        <v>29.531187408198818</v>
      </c>
      <c r="I650">
        <f t="shared" si="39"/>
        <v>386312.34294116398</v>
      </c>
    </row>
    <row r="651" spans="1:9" ht="18" x14ac:dyDescent="0.2">
      <c r="A651" s="2">
        <v>40700</v>
      </c>
      <c r="B651" s="3">
        <v>0.39</v>
      </c>
      <c r="C651">
        <f t="shared" si="36"/>
        <v>0.4257708966581164</v>
      </c>
      <c r="E651" s="18">
        <f t="shared" si="38"/>
        <v>59133.100604341504</v>
      </c>
      <c r="G651" s="3">
        <v>27.64</v>
      </c>
      <c r="H651" s="18">
        <f t="shared" si="37"/>
        <v>29.351074321703692</v>
      </c>
      <c r="I651">
        <f t="shared" si="39"/>
        <v>381481.71342957392</v>
      </c>
    </row>
    <row r="652" spans="1:9" ht="18" x14ac:dyDescent="0.2">
      <c r="A652" s="2">
        <v>40707</v>
      </c>
      <c r="B652" s="3">
        <v>0.36</v>
      </c>
      <c r="C652">
        <f t="shared" si="36"/>
        <v>0.4195070017382958</v>
      </c>
      <c r="E652" s="18">
        <f t="shared" si="38"/>
        <v>54584.400557853689</v>
      </c>
      <c r="G652" s="3">
        <v>27.47</v>
      </c>
      <c r="H652" s="18">
        <f t="shared" si="37"/>
        <v>29.171924386303338</v>
      </c>
      <c r="I652">
        <f t="shared" si="39"/>
        <v>379135.40766680153</v>
      </c>
    </row>
    <row r="653" spans="1:9" ht="18" x14ac:dyDescent="0.2">
      <c r="A653" s="2">
        <v>40714</v>
      </c>
      <c r="B653" s="3">
        <v>0.36</v>
      </c>
      <c r="C653">
        <f t="shared" si="36"/>
        <v>0.41383966823941049</v>
      </c>
      <c r="E653" s="18">
        <f t="shared" si="38"/>
        <v>54584.400557853689</v>
      </c>
      <c r="G653" s="3">
        <v>26.59</v>
      </c>
      <c r="H653" s="18">
        <f t="shared" si="37"/>
        <v>28.926026825703019</v>
      </c>
      <c r="I653">
        <f t="shared" si="39"/>
        <v>366989.82489480358</v>
      </c>
    </row>
    <row r="654" spans="1:9" ht="18" x14ac:dyDescent="0.2">
      <c r="A654" s="2">
        <v>40721</v>
      </c>
      <c r="B654" s="3">
        <v>0.37</v>
      </c>
      <c r="C654">
        <f t="shared" si="36"/>
        <v>0.40966446174041898</v>
      </c>
      <c r="E654" s="18">
        <f t="shared" si="38"/>
        <v>56100.633906682953</v>
      </c>
      <c r="G654" s="3">
        <v>27.99</v>
      </c>
      <c r="H654" s="18">
        <f t="shared" si="37"/>
        <v>28.836881413731302</v>
      </c>
      <c r="I654">
        <f t="shared" si="39"/>
        <v>386312.34294116404</v>
      </c>
    </row>
    <row r="655" spans="1:9" ht="18" x14ac:dyDescent="0.2">
      <c r="A655" s="2">
        <v>40728</v>
      </c>
      <c r="B655" s="3">
        <v>0.35</v>
      </c>
      <c r="C655">
        <f t="shared" si="36"/>
        <v>0.40398213205085526</v>
      </c>
      <c r="E655" s="18">
        <f t="shared" si="38"/>
        <v>53068.16720902441</v>
      </c>
      <c r="G655" s="3">
        <v>27.6</v>
      </c>
      <c r="H655" s="18">
        <f t="shared" si="37"/>
        <v>28.719083183852131</v>
      </c>
      <c r="I655">
        <f t="shared" si="39"/>
        <v>380929.64148539217</v>
      </c>
    </row>
    <row r="656" spans="1:9" ht="18" x14ac:dyDescent="0.2">
      <c r="A656" s="2">
        <v>40735</v>
      </c>
      <c r="B656" s="3">
        <v>0.32</v>
      </c>
      <c r="C656">
        <f t="shared" si="36"/>
        <v>0.39598383376029761</v>
      </c>
      <c r="E656" s="18">
        <f t="shared" si="38"/>
        <v>48519.467162536603</v>
      </c>
      <c r="G656" s="3">
        <v>27.08</v>
      </c>
      <c r="H656" s="18">
        <f t="shared" si="37"/>
        <v>28.562980023485263</v>
      </c>
      <c r="I656">
        <f t="shared" si="39"/>
        <v>373752.70621102967</v>
      </c>
    </row>
    <row r="657" spans="1:9" ht="18" x14ac:dyDescent="0.2">
      <c r="A657" s="2">
        <v>40742</v>
      </c>
      <c r="B657" s="3">
        <v>0.34</v>
      </c>
      <c r="C657">
        <f t="shared" si="36"/>
        <v>0.39065204006884069</v>
      </c>
      <c r="E657" s="18">
        <f t="shared" si="38"/>
        <v>51551.933860195139</v>
      </c>
      <c r="G657" s="3">
        <v>28.58</v>
      </c>
      <c r="H657" s="18">
        <f t="shared" si="37"/>
        <v>28.564600973629524</v>
      </c>
      <c r="I657">
        <f t="shared" si="39"/>
        <v>394455.40411784447</v>
      </c>
    </row>
    <row r="658" spans="1:9" ht="18" x14ac:dyDescent="0.2">
      <c r="A658" s="2">
        <v>40749</v>
      </c>
      <c r="B658" s="3">
        <v>0.32</v>
      </c>
      <c r="C658">
        <f t="shared" si="36"/>
        <v>0.38392327434799872</v>
      </c>
      <c r="E658" s="18">
        <f t="shared" si="38"/>
        <v>48519.467162536603</v>
      </c>
      <c r="G658" s="3">
        <v>27.4</v>
      </c>
      <c r="H658" s="18">
        <f t="shared" si="37"/>
        <v>28.453686595188618</v>
      </c>
      <c r="I658">
        <f t="shared" si="39"/>
        <v>394455.40411784447</v>
      </c>
    </row>
    <row r="659" spans="1:9" ht="18" x14ac:dyDescent="0.2">
      <c r="A659" s="2">
        <v>40756</v>
      </c>
      <c r="B659" s="3">
        <v>0.3</v>
      </c>
      <c r="C659">
        <f t="shared" si="36"/>
        <v>0.37593058155295123</v>
      </c>
      <c r="E659" s="18">
        <f t="shared" si="38"/>
        <v>45487.000464878067</v>
      </c>
      <c r="G659" s="3">
        <v>25.47</v>
      </c>
      <c r="H659" s="18">
        <f t="shared" si="37"/>
        <v>28.169525967075415</v>
      </c>
      <c r="I659">
        <f t="shared" si="39"/>
        <v>366670.77163801086</v>
      </c>
    </row>
    <row r="660" spans="1:9" ht="18" x14ac:dyDescent="0.2">
      <c r="A660" s="2">
        <v>40763</v>
      </c>
      <c r="B660" s="3">
        <v>0.3</v>
      </c>
      <c r="C660">
        <f t="shared" si="36"/>
        <v>0.36869909759552733</v>
      </c>
      <c r="E660" s="18">
        <f t="shared" si="38"/>
        <v>45487.000464878067</v>
      </c>
      <c r="G660" s="3">
        <v>24.32</v>
      </c>
      <c r="H660" s="18">
        <f t="shared" si="37"/>
        <v>27.802904446401566</v>
      </c>
      <c r="I660">
        <f t="shared" si="39"/>
        <v>350115.16161116707</v>
      </c>
    </row>
    <row r="661" spans="1:9" ht="18" x14ac:dyDescent="0.2">
      <c r="A661" s="2">
        <v>40770</v>
      </c>
      <c r="B661" s="3">
        <v>0.27</v>
      </c>
      <c r="C661">
        <f t="shared" si="36"/>
        <v>0.35929918353881046</v>
      </c>
      <c r="E661" s="18">
        <f t="shared" si="38"/>
        <v>40938.300418390267</v>
      </c>
      <c r="G661" s="3">
        <v>23.27</v>
      </c>
      <c r="H661" s="18">
        <f t="shared" si="37"/>
        <v>27.371199261029989</v>
      </c>
      <c r="I661">
        <f t="shared" si="39"/>
        <v>334999.16984752705</v>
      </c>
    </row>
    <row r="662" spans="1:9" ht="18" x14ac:dyDescent="0.2">
      <c r="A662" s="2">
        <v>40777</v>
      </c>
      <c r="B662" s="3">
        <v>0.3</v>
      </c>
      <c r="C662">
        <f t="shared" si="36"/>
        <v>0.35365164224939993</v>
      </c>
      <c r="E662" s="18">
        <f t="shared" si="38"/>
        <v>45487.000464878067</v>
      </c>
      <c r="G662" s="3">
        <v>24.53</v>
      </c>
      <c r="H662" s="18">
        <f t="shared" si="37"/>
        <v>27.100608855217608</v>
      </c>
      <c r="I662">
        <f t="shared" si="39"/>
        <v>353138.35996389511</v>
      </c>
    </row>
    <row r="663" spans="1:9" ht="18" x14ac:dyDescent="0.2">
      <c r="A663" s="2">
        <v>40784</v>
      </c>
      <c r="B663" s="3">
        <v>0.3</v>
      </c>
      <c r="C663">
        <f t="shared" si="36"/>
        <v>0.34854196203517135</v>
      </c>
      <c r="E663" s="18">
        <f t="shared" si="38"/>
        <v>45487.000464878067</v>
      </c>
      <c r="G663" s="3">
        <v>23.46</v>
      </c>
      <c r="H663" s="18">
        <f t="shared" si="37"/>
        <v>26.753884202339741</v>
      </c>
      <c r="I663">
        <f t="shared" si="39"/>
        <v>337734.44454761432</v>
      </c>
    </row>
    <row r="664" spans="1:9" ht="18" x14ac:dyDescent="0.2">
      <c r="A664" s="2">
        <v>40791</v>
      </c>
      <c r="B664" s="3">
        <v>0.32</v>
      </c>
      <c r="C664">
        <f t="shared" si="36"/>
        <v>0.34582367993658358</v>
      </c>
      <c r="E664" s="18">
        <f t="shared" si="38"/>
        <v>48519.467162536603</v>
      </c>
      <c r="G664" s="3">
        <v>21.73</v>
      </c>
      <c r="H664" s="18">
        <f t="shared" si="37"/>
        <v>26.275419040212146</v>
      </c>
      <c r="I664">
        <f t="shared" si="39"/>
        <v>312829.04859418835</v>
      </c>
    </row>
    <row r="665" spans="1:9" ht="18" x14ac:dyDescent="0.2">
      <c r="A665" s="2">
        <v>40798</v>
      </c>
      <c r="B665" s="3">
        <v>0.35</v>
      </c>
      <c r="C665">
        <f t="shared" ref="C665:C728" si="40">(B665-C664)*$D$4+C664</f>
        <v>0.34622142470452799</v>
      </c>
      <c r="E665" s="18">
        <f t="shared" si="38"/>
        <v>53068.16720902441</v>
      </c>
      <c r="G665" s="3">
        <v>22.64</v>
      </c>
      <c r="H665" s="18">
        <f t="shared" si="37"/>
        <v>25.929188655430035</v>
      </c>
      <c r="I665">
        <f t="shared" si="39"/>
        <v>325929.57478934305</v>
      </c>
    </row>
    <row r="666" spans="1:9" ht="18" x14ac:dyDescent="0.2">
      <c r="A666" s="2">
        <v>40805</v>
      </c>
      <c r="B666" s="3">
        <v>0.32</v>
      </c>
      <c r="C666">
        <f t="shared" si="40"/>
        <v>0.34372414616123959</v>
      </c>
      <c r="E666" s="18">
        <f t="shared" si="38"/>
        <v>53068.16720902441</v>
      </c>
      <c r="G666" s="3">
        <v>20.04</v>
      </c>
      <c r="H666" s="18">
        <f t="shared" ref="H666:H729" si="41">(G666-H665)*$D$4+H665</f>
        <v>25.368313545389078</v>
      </c>
      <c r="I666">
        <f t="shared" si="39"/>
        <v>288499.49994604388</v>
      </c>
    </row>
    <row r="667" spans="1:9" ht="18" x14ac:dyDescent="0.2">
      <c r="A667" s="2">
        <v>40812</v>
      </c>
      <c r="B667" s="3">
        <v>0.28999999999999998</v>
      </c>
      <c r="C667">
        <f t="shared" si="40"/>
        <v>0.33860756081255011</v>
      </c>
      <c r="E667" s="18">
        <f t="shared" si="38"/>
        <v>48093.026533178367</v>
      </c>
      <c r="G667" s="3">
        <v>20.399999999999999</v>
      </c>
      <c r="H667" s="18">
        <f t="shared" si="41"/>
        <v>24.895140826780594</v>
      </c>
      <c r="I667">
        <f t="shared" si="39"/>
        <v>293682.12569357757</v>
      </c>
    </row>
    <row r="668" spans="1:9" ht="18" x14ac:dyDescent="0.2">
      <c r="A668" s="2">
        <v>40819</v>
      </c>
      <c r="B668" s="3">
        <v>0.32</v>
      </c>
      <c r="C668">
        <f t="shared" si="40"/>
        <v>0.3368354121637358</v>
      </c>
      <c r="E668" s="18">
        <f t="shared" si="38"/>
        <v>53068.16720902441</v>
      </c>
      <c r="G668" s="3">
        <v>20.8</v>
      </c>
      <c r="H668" s="18">
        <f t="shared" si="41"/>
        <v>24.505127414706251</v>
      </c>
      <c r="I668">
        <f t="shared" si="39"/>
        <v>299440.59874639288</v>
      </c>
    </row>
    <row r="669" spans="1:9" ht="18" x14ac:dyDescent="0.2">
      <c r="A669" s="2">
        <v>40826</v>
      </c>
      <c r="B669" s="3">
        <v>0.36</v>
      </c>
      <c r="C669">
        <f t="shared" si="40"/>
        <v>0.33904156338623714</v>
      </c>
      <c r="E669" s="18">
        <f t="shared" ref="E669:E732" si="42">IF(C668&gt;B668,E668*B669/B668,E668)</f>
        <v>59701.688110152463</v>
      </c>
      <c r="G669" s="3">
        <v>21.79</v>
      </c>
      <c r="H669" s="18">
        <f t="shared" si="41"/>
        <v>24.246543851400894</v>
      </c>
      <c r="I669">
        <f t="shared" si="39"/>
        <v>313692.81955211062</v>
      </c>
    </row>
    <row r="670" spans="1:9" ht="18" x14ac:dyDescent="0.2">
      <c r="A670" s="2">
        <v>40833</v>
      </c>
      <c r="B670" s="3">
        <v>0.33</v>
      </c>
      <c r="C670">
        <f t="shared" si="40"/>
        <v>0.33818046211135744</v>
      </c>
      <c r="E670" s="18">
        <f t="shared" si="42"/>
        <v>59701.688110152463</v>
      </c>
      <c r="G670" s="3">
        <v>22.84</v>
      </c>
      <c r="H670" s="18">
        <f t="shared" si="41"/>
        <v>24.112587294124619</v>
      </c>
      <c r="I670">
        <f t="shared" ref="I670:I733" si="43">IF(H669&gt;G669,I669*G670/G669,I669)</f>
        <v>328808.81131575065</v>
      </c>
    </row>
    <row r="671" spans="1:9" ht="18" x14ac:dyDescent="0.2">
      <c r="A671" s="2">
        <v>40840</v>
      </c>
      <c r="B671" s="3">
        <v>0.36</v>
      </c>
      <c r="C671">
        <f t="shared" si="40"/>
        <v>0.34025851333884721</v>
      </c>
      <c r="E671" s="18">
        <f t="shared" si="42"/>
        <v>65129.114301984504</v>
      </c>
      <c r="G671" s="3">
        <v>25.07</v>
      </c>
      <c r="H671" s="18">
        <f t="shared" si="41"/>
        <v>24.20376945658894</v>
      </c>
      <c r="I671">
        <f t="shared" si="43"/>
        <v>360912.29858519568</v>
      </c>
    </row>
    <row r="672" spans="1:9" ht="18" x14ac:dyDescent="0.2">
      <c r="A672" s="2">
        <v>40847</v>
      </c>
      <c r="B672" s="3">
        <v>0.34</v>
      </c>
      <c r="C672">
        <f t="shared" si="40"/>
        <v>0.34023389302086177</v>
      </c>
      <c r="E672" s="18">
        <f t="shared" si="42"/>
        <v>65129.114301984504</v>
      </c>
      <c r="G672" s="3">
        <v>23.21</v>
      </c>
      <c r="H672" s="18">
        <f t="shared" si="41"/>
        <v>24.109124746437612</v>
      </c>
      <c r="I672">
        <f t="shared" si="43"/>
        <v>360912.29858519568</v>
      </c>
    </row>
    <row r="673" spans="1:9" ht="18" x14ac:dyDescent="0.2">
      <c r="A673" s="2">
        <v>40854</v>
      </c>
      <c r="B673" s="3">
        <v>0.34</v>
      </c>
      <c r="C673">
        <f t="shared" si="40"/>
        <v>0.3402116174950654</v>
      </c>
      <c r="E673" s="18">
        <f t="shared" si="42"/>
        <v>65129.114301984504</v>
      </c>
      <c r="G673" s="3">
        <v>22.74</v>
      </c>
      <c r="H673" s="18">
        <f t="shared" si="41"/>
        <v>23.978731913443553</v>
      </c>
      <c r="I673">
        <f t="shared" si="43"/>
        <v>353603.8634135006</v>
      </c>
    </row>
    <row r="674" spans="1:9" ht="18" x14ac:dyDescent="0.2">
      <c r="A674" s="2">
        <v>40861</v>
      </c>
      <c r="B674" s="3">
        <v>0.32</v>
      </c>
      <c r="C674">
        <f t="shared" si="40"/>
        <v>0.33828670154315443</v>
      </c>
      <c r="E674" s="18">
        <f t="shared" si="42"/>
        <v>61297.989931279531</v>
      </c>
      <c r="G674" s="3">
        <v>20.92</v>
      </c>
      <c r="H674" s="18">
        <f t="shared" si="41"/>
        <v>23.687424112163214</v>
      </c>
      <c r="I674">
        <f t="shared" si="43"/>
        <v>325303.11445076665</v>
      </c>
    </row>
    <row r="675" spans="1:9" ht="18" x14ac:dyDescent="0.2">
      <c r="A675" s="2">
        <v>40868</v>
      </c>
      <c r="B675" s="3">
        <v>0.32</v>
      </c>
      <c r="C675">
        <f t="shared" si="40"/>
        <v>0.33654511091999689</v>
      </c>
      <c r="E675" s="18">
        <f t="shared" si="42"/>
        <v>61297.989931279524</v>
      </c>
      <c r="G675" s="3">
        <v>19.46</v>
      </c>
      <c r="H675" s="18">
        <f t="shared" si="41"/>
        <v>23.284812291957195</v>
      </c>
      <c r="I675">
        <f t="shared" si="43"/>
        <v>302600.31583230972</v>
      </c>
    </row>
    <row r="676" spans="1:9" ht="18" x14ac:dyDescent="0.2">
      <c r="A676" s="2">
        <v>40875</v>
      </c>
      <c r="B676" s="3">
        <v>0.36</v>
      </c>
      <c r="C676">
        <f t="shared" si="40"/>
        <v>0.3387789098799972</v>
      </c>
      <c r="E676" s="18">
        <f t="shared" si="42"/>
        <v>68960.238672689462</v>
      </c>
      <c r="G676" s="3">
        <v>22.09</v>
      </c>
      <c r="H676" s="18">
        <f t="shared" si="41"/>
        <v>23.171020645104129</v>
      </c>
      <c r="I676">
        <f t="shared" si="43"/>
        <v>343496.45306966704</v>
      </c>
    </row>
    <row r="677" spans="1:9" ht="18" x14ac:dyDescent="0.2">
      <c r="A677" s="2">
        <v>40882</v>
      </c>
      <c r="B677" s="3">
        <v>0.34</v>
      </c>
      <c r="C677">
        <f t="shared" si="40"/>
        <v>0.33889520417714031</v>
      </c>
      <c r="E677" s="18">
        <f t="shared" si="42"/>
        <v>68960.238672689462</v>
      </c>
      <c r="G677" s="3">
        <v>22.67</v>
      </c>
      <c r="H677" s="18">
        <f t="shared" si="41"/>
        <v>23.12330439318945</v>
      </c>
      <c r="I677">
        <f t="shared" si="43"/>
        <v>352515.37306878006</v>
      </c>
    </row>
    <row r="678" spans="1:9" ht="18" x14ac:dyDescent="0.2">
      <c r="A678" s="2">
        <v>40889</v>
      </c>
      <c r="B678" s="3">
        <v>0.31</v>
      </c>
      <c r="C678">
        <f t="shared" si="40"/>
        <v>0.3361432799697936</v>
      </c>
      <c r="E678" s="18">
        <f t="shared" si="42"/>
        <v>68960.238672689462</v>
      </c>
      <c r="G678" s="3">
        <v>21.79</v>
      </c>
      <c r="H678" s="18">
        <f t="shared" si="41"/>
        <v>22.996323022409502</v>
      </c>
      <c r="I678">
        <f t="shared" si="43"/>
        <v>338831.49444943608</v>
      </c>
    </row>
    <row r="679" spans="1:9" ht="18" x14ac:dyDescent="0.2">
      <c r="A679" s="2">
        <v>40896</v>
      </c>
      <c r="B679" s="3">
        <v>0.32</v>
      </c>
      <c r="C679">
        <f t="shared" si="40"/>
        <v>0.33460582473457517</v>
      </c>
      <c r="E679" s="18">
        <f t="shared" si="42"/>
        <v>71184.762500840749</v>
      </c>
      <c r="G679" s="3">
        <v>22.94</v>
      </c>
      <c r="H679" s="18">
        <f t="shared" si="41"/>
        <v>22.99095892503717</v>
      </c>
      <c r="I679">
        <f t="shared" si="43"/>
        <v>356713.83582698781</v>
      </c>
    </row>
    <row r="680" spans="1:9" ht="18" x14ac:dyDescent="0.2">
      <c r="A680" s="2">
        <v>40903</v>
      </c>
      <c r="B680" s="3">
        <v>0.32</v>
      </c>
      <c r="C680">
        <f t="shared" si="40"/>
        <v>0.33321479380747276</v>
      </c>
      <c r="E680" s="18">
        <f t="shared" si="42"/>
        <v>71184.762500840749</v>
      </c>
      <c r="G680" s="3">
        <v>22.72</v>
      </c>
      <c r="H680" s="18">
        <f t="shared" si="41"/>
        <v>22.965153313128866</v>
      </c>
      <c r="I680">
        <f t="shared" si="43"/>
        <v>353292.86617215181</v>
      </c>
    </row>
    <row r="681" spans="1:9" ht="18" x14ac:dyDescent="0.2">
      <c r="A681" s="2">
        <v>40910</v>
      </c>
      <c r="B681" s="3">
        <v>0.33</v>
      </c>
      <c r="C681">
        <f t="shared" si="40"/>
        <v>0.33290862296866586</v>
      </c>
      <c r="E681" s="18">
        <f t="shared" si="42"/>
        <v>73409.286328992021</v>
      </c>
      <c r="G681" s="3">
        <v>24.16</v>
      </c>
      <c r="H681" s="18">
        <f t="shared" si="41"/>
        <v>23.078948235688021</v>
      </c>
      <c r="I681">
        <f t="shared" si="43"/>
        <v>375684.66754926002</v>
      </c>
    </row>
    <row r="682" spans="1:9" ht="18" x14ac:dyDescent="0.2">
      <c r="A682" s="2">
        <v>40917</v>
      </c>
      <c r="B682" s="3">
        <v>0.31</v>
      </c>
      <c r="C682">
        <f t="shared" si="40"/>
        <v>0.33072684935260244</v>
      </c>
      <c r="E682" s="18">
        <f t="shared" si="42"/>
        <v>68960.238672689462</v>
      </c>
      <c r="G682" s="3">
        <v>24.72</v>
      </c>
      <c r="H682" s="18">
        <f t="shared" si="41"/>
        <v>23.235238879908209</v>
      </c>
      <c r="I682">
        <f t="shared" si="43"/>
        <v>375684.66754926002</v>
      </c>
    </row>
    <row r="683" spans="1:9" ht="18" x14ac:dyDescent="0.2">
      <c r="A683" s="2">
        <v>40924</v>
      </c>
      <c r="B683" s="3">
        <v>0.33</v>
      </c>
      <c r="C683">
        <f t="shared" si="40"/>
        <v>0.33065762560473555</v>
      </c>
      <c r="E683" s="18">
        <f t="shared" si="42"/>
        <v>73409.286328992006</v>
      </c>
      <c r="G683" s="3">
        <v>25.71</v>
      </c>
      <c r="H683" s="18">
        <f t="shared" si="41"/>
        <v>23.470930415155046</v>
      </c>
      <c r="I683">
        <f t="shared" si="43"/>
        <v>375684.66754926002</v>
      </c>
    </row>
    <row r="684" spans="1:9" ht="18" x14ac:dyDescent="0.2">
      <c r="A684" s="2">
        <v>40931</v>
      </c>
      <c r="B684" s="3">
        <v>0.34</v>
      </c>
      <c r="C684">
        <f t="shared" si="40"/>
        <v>0.3315473755471417</v>
      </c>
      <c r="E684" s="18">
        <f t="shared" si="42"/>
        <v>75633.810157143278</v>
      </c>
      <c r="G684" s="3">
        <v>25.61</v>
      </c>
      <c r="H684" s="18">
        <f t="shared" si="41"/>
        <v>23.674651327997424</v>
      </c>
      <c r="I684">
        <f t="shared" si="43"/>
        <v>375684.66754926002</v>
      </c>
    </row>
    <row r="685" spans="1:9" ht="18" x14ac:dyDescent="0.2">
      <c r="A685" s="2">
        <v>40938</v>
      </c>
      <c r="B685" s="3">
        <v>0.36</v>
      </c>
      <c r="C685">
        <f t="shared" si="40"/>
        <v>0.3342571493045568</v>
      </c>
      <c r="E685" s="18">
        <f t="shared" si="42"/>
        <v>75633.810157143278</v>
      </c>
      <c r="G685" s="3">
        <v>26.35</v>
      </c>
      <c r="H685" s="18">
        <f t="shared" si="41"/>
        <v>23.929446439616719</v>
      </c>
      <c r="I685">
        <f t="shared" si="43"/>
        <v>375684.66754926002</v>
      </c>
    </row>
    <row r="686" spans="1:9" ht="18" x14ac:dyDescent="0.2">
      <c r="A686" s="2">
        <v>40945</v>
      </c>
      <c r="B686" s="3">
        <v>0.36</v>
      </c>
      <c r="C686">
        <f t="shared" si="40"/>
        <v>0.33670884937078949</v>
      </c>
      <c r="E686" s="18">
        <f t="shared" si="42"/>
        <v>75633.810157143278</v>
      </c>
      <c r="G686" s="3">
        <v>25.89</v>
      </c>
      <c r="H686" s="18">
        <f t="shared" si="41"/>
        <v>24.116165826319889</v>
      </c>
      <c r="I686">
        <f t="shared" si="43"/>
        <v>375684.66754926002</v>
      </c>
    </row>
    <row r="687" spans="1:9" ht="18" x14ac:dyDescent="0.2">
      <c r="A687" s="2">
        <v>40952</v>
      </c>
      <c r="B687" s="3">
        <v>0.36</v>
      </c>
      <c r="C687">
        <f t="shared" si="40"/>
        <v>0.33892705419261904</v>
      </c>
      <c r="E687" s="18">
        <f t="shared" si="42"/>
        <v>75633.810157143278</v>
      </c>
      <c r="G687" s="3">
        <v>26.48</v>
      </c>
      <c r="H687" s="18">
        <f t="shared" si="41"/>
        <v>24.341292890479899</v>
      </c>
      <c r="I687">
        <f t="shared" si="43"/>
        <v>375684.66754926002</v>
      </c>
    </row>
    <row r="688" spans="1:9" ht="18" x14ac:dyDescent="0.2">
      <c r="A688" s="2">
        <v>40959</v>
      </c>
      <c r="B688" s="3">
        <v>0.36</v>
      </c>
      <c r="C688">
        <f t="shared" si="40"/>
        <v>0.34093400141236962</v>
      </c>
      <c r="E688" s="18">
        <f t="shared" si="42"/>
        <v>75633.810157143278</v>
      </c>
      <c r="G688" s="3">
        <v>26.35</v>
      </c>
      <c r="H688" s="18">
        <f t="shared" si="41"/>
        <v>24.532598329481814</v>
      </c>
      <c r="I688">
        <f t="shared" si="43"/>
        <v>375684.66754926002</v>
      </c>
    </row>
    <row r="689" spans="1:9" ht="18" x14ac:dyDescent="0.2">
      <c r="A689" s="2">
        <v>40966</v>
      </c>
      <c r="B689" s="3">
        <v>0.35</v>
      </c>
      <c r="C689">
        <f t="shared" si="40"/>
        <v>0.34179742984928679</v>
      </c>
      <c r="E689" s="18">
        <f t="shared" si="42"/>
        <v>75633.810157143278</v>
      </c>
      <c r="G689" s="3">
        <v>27.96</v>
      </c>
      <c r="H689" s="18">
        <f t="shared" si="41"/>
        <v>24.859017536197832</v>
      </c>
      <c r="I689">
        <f t="shared" si="43"/>
        <v>375684.66754926002</v>
      </c>
    </row>
    <row r="690" spans="1:9" ht="18" x14ac:dyDescent="0.2">
      <c r="A690" s="2">
        <v>40973</v>
      </c>
      <c r="B690" s="3">
        <v>0.34</v>
      </c>
      <c r="C690">
        <f t="shared" si="40"/>
        <v>0.34162624605411662</v>
      </c>
      <c r="E690" s="18">
        <f t="shared" si="42"/>
        <v>75633.810157143278</v>
      </c>
      <c r="G690" s="3">
        <v>28.24</v>
      </c>
      <c r="H690" s="18">
        <f t="shared" si="41"/>
        <v>25.181015866083754</v>
      </c>
      <c r="I690">
        <f t="shared" si="43"/>
        <v>375684.66754926002</v>
      </c>
    </row>
    <row r="691" spans="1:9" ht="18" x14ac:dyDescent="0.2">
      <c r="A691" s="2">
        <v>40980</v>
      </c>
      <c r="B691" s="3">
        <v>0.33</v>
      </c>
      <c r="C691">
        <f t="shared" si="40"/>
        <v>0.34051898452515311</v>
      </c>
      <c r="E691" s="18">
        <f t="shared" si="42"/>
        <v>73409.286328992006</v>
      </c>
      <c r="G691" s="3">
        <v>30.68</v>
      </c>
      <c r="H691" s="18">
        <f t="shared" si="41"/>
        <v>25.704728640742445</v>
      </c>
      <c r="I691">
        <f t="shared" si="43"/>
        <v>375684.66754926002</v>
      </c>
    </row>
    <row r="692" spans="1:9" ht="18" x14ac:dyDescent="0.2">
      <c r="A692" s="2">
        <v>40987</v>
      </c>
      <c r="B692" s="3">
        <v>0.33</v>
      </c>
      <c r="C692">
        <f t="shared" si="40"/>
        <v>0.33951717647513852</v>
      </c>
      <c r="E692" s="18">
        <f t="shared" si="42"/>
        <v>73409.286328992006</v>
      </c>
      <c r="G692" s="3">
        <v>31.08</v>
      </c>
      <c r="H692" s="18">
        <f t="shared" si="41"/>
        <v>26.216659246386023</v>
      </c>
      <c r="I692">
        <f t="shared" si="43"/>
        <v>375684.66754926002</v>
      </c>
    </row>
    <row r="693" spans="1:9" ht="18" x14ac:dyDescent="0.2">
      <c r="A693" s="2">
        <v>40994</v>
      </c>
      <c r="B693" s="3">
        <v>0.35</v>
      </c>
      <c r="C693">
        <f t="shared" si="40"/>
        <v>0.34051554062036343</v>
      </c>
      <c r="E693" s="18">
        <f t="shared" si="42"/>
        <v>77858.333985294536</v>
      </c>
      <c r="G693" s="3">
        <v>31.65</v>
      </c>
      <c r="H693" s="18">
        <f t="shared" si="41"/>
        <v>26.734120270539734</v>
      </c>
      <c r="I693">
        <f t="shared" si="43"/>
        <v>375684.66754926002</v>
      </c>
    </row>
    <row r="694" spans="1:9" ht="18" x14ac:dyDescent="0.2">
      <c r="A694" s="2">
        <v>41001</v>
      </c>
      <c r="B694" s="3">
        <v>0.34</v>
      </c>
      <c r="C694">
        <f t="shared" si="40"/>
        <v>0.34046644151366218</v>
      </c>
      <c r="E694" s="18">
        <f t="shared" si="42"/>
        <v>77858.333985294536</v>
      </c>
      <c r="G694" s="3">
        <v>30.52</v>
      </c>
      <c r="H694" s="18">
        <f t="shared" si="41"/>
        <v>27.094680244774043</v>
      </c>
      <c r="I694">
        <f t="shared" si="43"/>
        <v>375684.66754926002</v>
      </c>
    </row>
    <row r="695" spans="1:9" ht="18" x14ac:dyDescent="0.2">
      <c r="A695" s="2">
        <v>41008</v>
      </c>
      <c r="B695" s="3">
        <v>0.32</v>
      </c>
      <c r="C695">
        <f t="shared" si="40"/>
        <v>0.33851725660759913</v>
      </c>
      <c r="E695" s="18">
        <f t="shared" si="42"/>
        <v>73278.431986159558</v>
      </c>
      <c r="G695" s="3">
        <v>29.93</v>
      </c>
      <c r="H695" s="18">
        <f t="shared" si="41"/>
        <v>27.364710697652704</v>
      </c>
      <c r="I695">
        <f t="shared" si="43"/>
        <v>375684.66754926002</v>
      </c>
    </row>
    <row r="696" spans="1:9" ht="18" x14ac:dyDescent="0.2">
      <c r="A696" s="2">
        <v>41015</v>
      </c>
      <c r="B696" s="3">
        <v>0.31</v>
      </c>
      <c r="C696">
        <f t="shared" si="40"/>
        <v>0.33580132740687541</v>
      </c>
      <c r="E696" s="18">
        <f t="shared" si="42"/>
        <v>70988.480986592069</v>
      </c>
      <c r="G696" s="3">
        <v>29.6</v>
      </c>
      <c r="H696" s="18">
        <f t="shared" si="41"/>
        <v>27.57759539311435</v>
      </c>
      <c r="I696">
        <f t="shared" si="43"/>
        <v>375684.66754926002</v>
      </c>
    </row>
    <row r="697" spans="1:9" ht="18" x14ac:dyDescent="0.2">
      <c r="A697" s="2">
        <v>41022</v>
      </c>
      <c r="B697" s="3">
        <v>0.3</v>
      </c>
      <c r="C697">
        <f t="shared" si="40"/>
        <v>0.33239167717764917</v>
      </c>
      <c r="E697" s="18">
        <f t="shared" si="42"/>
        <v>68698.52998702458</v>
      </c>
      <c r="G697" s="3">
        <v>30.02</v>
      </c>
      <c r="H697" s="18">
        <f t="shared" si="41"/>
        <v>27.810205355674888</v>
      </c>
      <c r="I697">
        <f t="shared" si="43"/>
        <v>375684.66754926002</v>
      </c>
    </row>
    <row r="698" spans="1:9" ht="18" x14ac:dyDescent="0.2">
      <c r="A698" s="2">
        <v>41029</v>
      </c>
      <c r="B698" s="3">
        <v>0.28000000000000003</v>
      </c>
      <c r="C698">
        <f t="shared" si="40"/>
        <v>0.32740199363692069</v>
      </c>
      <c r="E698" s="18">
        <f t="shared" si="42"/>
        <v>64118.627987889624</v>
      </c>
      <c r="G698" s="3">
        <v>28.92</v>
      </c>
      <c r="H698" s="18">
        <f t="shared" si="41"/>
        <v>27.91590008370585</v>
      </c>
      <c r="I698">
        <f t="shared" si="43"/>
        <v>375684.66754926002</v>
      </c>
    </row>
    <row r="699" spans="1:9" ht="18" x14ac:dyDescent="0.2">
      <c r="A699" s="2">
        <v>41036</v>
      </c>
      <c r="B699" s="3">
        <v>0.3</v>
      </c>
      <c r="C699">
        <f t="shared" si="40"/>
        <v>0.32479227995721394</v>
      </c>
      <c r="E699" s="18">
        <f t="shared" si="42"/>
        <v>68698.52998702458</v>
      </c>
      <c r="G699" s="3">
        <v>25.6</v>
      </c>
      <c r="H699" s="18">
        <f t="shared" si="41"/>
        <v>27.695338170971958</v>
      </c>
      <c r="I699">
        <f t="shared" si="43"/>
        <v>375684.66754926002</v>
      </c>
    </row>
    <row r="700" spans="1:9" ht="18" x14ac:dyDescent="0.2">
      <c r="A700" s="2">
        <v>41043</v>
      </c>
      <c r="B700" s="3">
        <v>0.28000000000000003</v>
      </c>
      <c r="C700">
        <f t="shared" si="40"/>
        <v>0.32052634853271739</v>
      </c>
      <c r="E700" s="18">
        <f t="shared" si="42"/>
        <v>64118.627987889624</v>
      </c>
      <c r="G700" s="3">
        <v>23.2</v>
      </c>
      <c r="H700" s="18">
        <f t="shared" si="41"/>
        <v>27.267210726117487</v>
      </c>
      <c r="I700">
        <f t="shared" si="43"/>
        <v>340464.22996651684</v>
      </c>
    </row>
    <row r="701" spans="1:9" ht="18" x14ac:dyDescent="0.2">
      <c r="A701" s="2">
        <v>41050</v>
      </c>
      <c r="B701" s="3">
        <v>0.28000000000000003</v>
      </c>
      <c r="C701">
        <f t="shared" si="40"/>
        <v>0.31666669629150623</v>
      </c>
      <c r="E701" s="18">
        <f t="shared" si="42"/>
        <v>64118.627987889617</v>
      </c>
      <c r="G701" s="3">
        <v>23.21</v>
      </c>
      <c r="H701" s="18">
        <f t="shared" si="41"/>
        <v>26.880809704582489</v>
      </c>
      <c r="I701">
        <f t="shared" si="43"/>
        <v>340610.98178977828</v>
      </c>
    </row>
    <row r="702" spans="1:9" ht="18" x14ac:dyDescent="0.2">
      <c r="A702" s="2">
        <v>41057</v>
      </c>
      <c r="B702" s="3">
        <v>0.27</v>
      </c>
      <c r="C702">
        <f t="shared" si="40"/>
        <v>0.31222224902564849</v>
      </c>
      <c r="E702" s="18">
        <f t="shared" si="42"/>
        <v>61828.676988322128</v>
      </c>
      <c r="G702" s="3">
        <v>22.12</v>
      </c>
      <c r="H702" s="18">
        <f t="shared" si="41"/>
        <v>26.427399256527014</v>
      </c>
      <c r="I702">
        <f t="shared" si="43"/>
        <v>324615.03305428248</v>
      </c>
    </row>
    <row r="703" spans="1:9" ht="18" x14ac:dyDescent="0.2">
      <c r="A703" s="2">
        <v>41064</v>
      </c>
      <c r="B703" s="3">
        <v>0.28000000000000003</v>
      </c>
      <c r="C703">
        <f t="shared" si="40"/>
        <v>0.30915346340415817</v>
      </c>
      <c r="E703" s="18">
        <f t="shared" si="42"/>
        <v>64118.627987889617</v>
      </c>
      <c r="G703" s="3">
        <v>23.33</v>
      </c>
      <c r="H703" s="18">
        <f t="shared" si="41"/>
        <v>26.132408851143488</v>
      </c>
      <c r="I703">
        <f t="shared" si="43"/>
        <v>342372.00366891542</v>
      </c>
    </row>
    <row r="704" spans="1:9" ht="18" x14ac:dyDescent="0.2">
      <c r="A704" s="2">
        <v>41071</v>
      </c>
      <c r="B704" s="3">
        <v>0.28000000000000003</v>
      </c>
      <c r="C704">
        <f t="shared" si="40"/>
        <v>0.30637694307995261</v>
      </c>
      <c r="E704" s="18">
        <f t="shared" si="42"/>
        <v>64118.627987889617</v>
      </c>
      <c r="G704" s="3">
        <v>24.27</v>
      </c>
      <c r="H704" s="18">
        <f t="shared" si="41"/>
        <v>25.955036579606013</v>
      </c>
      <c r="I704">
        <f t="shared" si="43"/>
        <v>356166.67505548982</v>
      </c>
    </row>
    <row r="705" spans="1:9" ht="18" x14ac:dyDescent="0.2">
      <c r="A705" s="2">
        <v>41078</v>
      </c>
      <c r="B705" s="3">
        <v>0.3</v>
      </c>
      <c r="C705">
        <f t="shared" si="40"/>
        <v>0.30576961516757617</v>
      </c>
      <c r="E705" s="18">
        <f t="shared" si="42"/>
        <v>68698.52998702458</v>
      </c>
      <c r="G705" s="3">
        <v>24.93</v>
      </c>
      <c r="H705" s="18">
        <f t="shared" si="41"/>
        <v>25.857414048214963</v>
      </c>
      <c r="I705">
        <f t="shared" si="43"/>
        <v>365852.29539074417</v>
      </c>
    </row>
    <row r="706" spans="1:9" ht="18" x14ac:dyDescent="0.2">
      <c r="A706" s="2">
        <v>41085</v>
      </c>
      <c r="B706" s="3">
        <v>0.32</v>
      </c>
      <c r="C706">
        <f t="shared" si="40"/>
        <v>0.30712488991352127</v>
      </c>
      <c r="E706" s="18">
        <f t="shared" si="42"/>
        <v>73278.431986159558</v>
      </c>
      <c r="G706" s="3">
        <v>24.75</v>
      </c>
      <c r="H706" s="18">
        <f t="shared" si="41"/>
        <v>25.751946043623061</v>
      </c>
      <c r="I706">
        <f t="shared" si="43"/>
        <v>363210.76257203845</v>
      </c>
    </row>
    <row r="707" spans="1:9" ht="18" x14ac:dyDescent="0.2">
      <c r="A707" s="2">
        <v>41092</v>
      </c>
      <c r="B707" s="3">
        <v>0.31</v>
      </c>
      <c r="C707">
        <f t="shared" si="40"/>
        <v>0.30739870992175733</v>
      </c>
      <c r="E707" s="18">
        <f t="shared" si="42"/>
        <v>73278.431986159558</v>
      </c>
      <c r="G707" s="3">
        <v>23.48</v>
      </c>
      <c r="H707" s="18">
        <f t="shared" si="41"/>
        <v>25.535570229944675</v>
      </c>
      <c r="I707">
        <f t="shared" si="43"/>
        <v>344573.28101783688</v>
      </c>
    </row>
    <row r="708" spans="1:9" ht="18" x14ac:dyDescent="0.2">
      <c r="A708" s="2">
        <v>41099</v>
      </c>
      <c r="B708" s="3">
        <v>0.28999999999999998</v>
      </c>
      <c r="C708">
        <f t="shared" si="40"/>
        <v>0.30574168992920903</v>
      </c>
      <c r="E708" s="18">
        <f t="shared" si="42"/>
        <v>73278.431986159558</v>
      </c>
      <c r="G708" s="3">
        <v>25.2</v>
      </c>
      <c r="H708" s="18">
        <f t="shared" si="41"/>
        <v>25.503611160426136</v>
      </c>
      <c r="I708">
        <f t="shared" si="43"/>
        <v>369814.59461880277</v>
      </c>
    </row>
    <row r="709" spans="1:9" ht="18" x14ac:dyDescent="0.2">
      <c r="A709" s="2">
        <v>41106</v>
      </c>
      <c r="B709" s="3">
        <v>0.28999999999999998</v>
      </c>
      <c r="C709">
        <f t="shared" si="40"/>
        <v>0.30424248136452248</v>
      </c>
      <c r="E709" s="18">
        <f t="shared" si="42"/>
        <v>73278.431986159558</v>
      </c>
      <c r="G709" s="3">
        <v>23.68</v>
      </c>
      <c r="H709" s="18">
        <f t="shared" si="41"/>
        <v>25.329933907052219</v>
      </c>
      <c r="I709">
        <f t="shared" si="43"/>
        <v>347508.31748306548</v>
      </c>
    </row>
    <row r="710" spans="1:9" ht="18" x14ac:dyDescent="0.2">
      <c r="A710" s="2">
        <v>41113</v>
      </c>
      <c r="B710" s="3">
        <v>0.31</v>
      </c>
      <c r="C710">
        <f t="shared" si="40"/>
        <v>0.30479081647266321</v>
      </c>
      <c r="E710" s="18">
        <f t="shared" si="42"/>
        <v>78332.116950722295</v>
      </c>
      <c r="G710" s="3">
        <v>25.77</v>
      </c>
      <c r="H710" s="18">
        <f t="shared" si="41"/>
        <v>25.371844963523436</v>
      </c>
      <c r="I710">
        <f t="shared" si="43"/>
        <v>378179.44854470424</v>
      </c>
    </row>
    <row r="711" spans="1:9" ht="18" x14ac:dyDescent="0.2">
      <c r="A711" s="2">
        <v>41120</v>
      </c>
      <c r="B711" s="3">
        <v>0.31</v>
      </c>
      <c r="C711">
        <f t="shared" si="40"/>
        <v>0.30528692918955241</v>
      </c>
      <c r="E711" s="18">
        <f t="shared" si="42"/>
        <v>78332.116950722295</v>
      </c>
      <c r="G711" s="3">
        <v>25.21</v>
      </c>
      <c r="H711" s="18">
        <f t="shared" si="41"/>
        <v>25.356431157473587</v>
      </c>
      <c r="I711">
        <f t="shared" si="43"/>
        <v>378179.44854470424</v>
      </c>
    </row>
    <row r="712" spans="1:9" ht="18" x14ac:dyDescent="0.2">
      <c r="A712" s="2">
        <v>41127</v>
      </c>
      <c r="B712" s="3">
        <v>0.34</v>
      </c>
      <c r="C712">
        <f t="shared" si="40"/>
        <v>0.30859293593340459</v>
      </c>
      <c r="E712" s="18">
        <f t="shared" si="42"/>
        <v>78332.116950722295</v>
      </c>
      <c r="G712" s="3">
        <v>25.83</v>
      </c>
      <c r="H712" s="18">
        <f t="shared" si="41"/>
        <v>25.401532951999911</v>
      </c>
      <c r="I712">
        <f t="shared" si="43"/>
        <v>387480.17278499441</v>
      </c>
    </row>
    <row r="713" spans="1:9" ht="18" x14ac:dyDescent="0.2">
      <c r="A713" s="2">
        <v>41134</v>
      </c>
      <c r="B713" s="3">
        <v>0.34</v>
      </c>
      <c r="C713">
        <f t="shared" si="40"/>
        <v>0.31158408489212797</v>
      </c>
      <c r="E713" s="18">
        <f t="shared" si="42"/>
        <v>78332.116950722295</v>
      </c>
      <c r="G713" s="3">
        <v>25.83</v>
      </c>
      <c r="H713" s="18">
        <f t="shared" si="41"/>
        <v>25.44233933752373</v>
      </c>
      <c r="I713">
        <f t="shared" si="43"/>
        <v>387480.17278499441</v>
      </c>
    </row>
    <row r="714" spans="1:9" ht="18" x14ac:dyDescent="0.2">
      <c r="A714" s="2">
        <v>41141</v>
      </c>
      <c r="B714" s="3">
        <v>0.33</v>
      </c>
      <c r="C714">
        <f t="shared" si="40"/>
        <v>0.31333798156906817</v>
      </c>
      <c r="E714" s="18">
        <f t="shared" si="42"/>
        <v>78332.116950722295</v>
      </c>
      <c r="G714" s="3">
        <v>25.96</v>
      </c>
      <c r="H714" s="18">
        <f t="shared" si="41"/>
        <v>25.49164035299766</v>
      </c>
      <c r="I714">
        <f t="shared" si="43"/>
        <v>387480.17278499441</v>
      </c>
    </row>
    <row r="715" spans="1:9" ht="18" x14ac:dyDescent="0.2">
      <c r="A715" s="2">
        <v>41148</v>
      </c>
      <c r="B715" s="3">
        <v>0.32</v>
      </c>
      <c r="C715">
        <f t="shared" si="40"/>
        <v>0.31397245951487118</v>
      </c>
      <c r="E715" s="18">
        <f t="shared" si="42"/>
        <v>78332.116950722295</v>
      </c>
      <c r="G715" s="3">
        <v>25.94</v>
      </c>
      <c r="H715" s="18">
        <f t="shared" si="41"/>
        <v>25.534341271759789</v>
      </c>
      <c r="I715">
        <f t="shared" si="43"/>
        <v>387480.17278499441</v>
      </c>
    </row>
    <row r="716" spans="1:9" ht="18" x14ac:dyDescent="0.2">
      <c r="A716" s="2">
        <v>41155</v>
      </c>
      <c r="B716" s="3">
        <v>0.31</v>
      </c>
      <c r="C716">
        <f t="shared" si="40"/>
        <v>0.31359413003726438</v>
      </c>
      <c r="E716" s="18">
        <f t="shared" si="42"/>
        <v>78332.116950722295</v>
      </c>
      <c r="G716" s="3">
        <v>27.45</v>
      </c>
      <c r="H716" s="18">
        <f t="shared" si="41"/>
        <v>25.716784960163618</v>
      </c>
      <c r="I716">
        <f t="shared" si="43"/>
        <v>387480.17278499441</v>
      </c>
    </row>
    <row r="717" spans="1:9" ht="18" x14ac:dyDescent="0.2">
      <c r="A717" s="2">
        <v>41162</v>
      </c>
      <c r="B717" s="3">
        <v>0.32</v>
      </c>
      <c r="C717">
        <f t="shared" si="40"/>
        <v>0.31420421289085826</v>
      </c>
      <c r="E717" s="18">
        <f t="shared" si="42"/>
        <v>80858.959433003663</v>
      </c>
      <c r="G717" s="3">
        <v>29.04</v>
      </c>
      <c r="H717" s="18">
        <f t="shared" si="41"/>
        <v>26.033281630624227</v>
      </c>
      <c r="I717">
        <f t="shared" si="43"/>
        <v>387480.17278499441</v>
      </c>
    </row>
    <row r="718" spans="1:9" ht="18" x14ac:dyDescent="0.2">
      <c r="A718" s="2">
        <v>41169</v>
      </c>
      <c r="B718" s="3">
        <v>0.31</v>
      </c>
      <c r="C718">
        <f t="shared" si="40"/>
        <v>0.31380381166315746</v>
      </c>
      <c r="E718" s="18">
        <f t="shared" si="42"/>
        <v>80858.959433003663</v>
      </c>
      <c r="G718" s="3">
        <v>28.56</v>
      </c>
      <c r="H718" s="18">
        <f t="shared" si="41"/>
        <v>26.273921475326681</v>
      </c>
      <c r="I718">
        <f t="shared" si="43"/>
        <v>387480.17278499441</v>
      </c>
    </row>
    <row r="719" spans="1:9" ht="18" x14ac:dyDescent="0.2">
      <c r="A719" s="2">
        <v>41176</v>
      </c>
      <c r="B719" s="3">
        <v>0.31</v>
      </c>
      <c r="C719">
        <f t="shared" si="40"/>
        <v>0.31344154388571388</v>
      </c>
      <c r="E719" s="18">
        <f t="shared" si="42"/>
        <v>80858.959433003663</v>
      </c>
      <c r="G719" s="3">
        <v>28.28</v>
      </c>
      <c r="H719" s="18">
        <f t="shared" si="41"/>
        <v>26.464976572914615</v>
      </c>
      <c r="I719">
        <f t="shared" si="43"/>
        <v>387480.17278499441</v>
      </c>
    </row>
    <row r="720" spans="1:9" ht="18" x14ac:dyDescent="0.2">
      <c r="A720" s="2">
        <v>41183</v>
      </c>
      <c r="B720" s="3">
        <v>0.3</v>
      </c>
      <c r="C720">
        <f t="shared" si="40"/>
        <v>0.3121613968489792</v>
      </c>
      <c r="E720" s="18">
        <f t="shared" si="42"/>
        <v>78250.605902906769</v>
      </c>
      <c r="G720" s="3">
        <v>29.14</v>
      </c>
      <c r="H720" s="18">
        <f t="shared" si="41"/>
        <v>26.719740708827509</v>
      </c>
      <c r="I720">
        <f t="shared" si="43"/>
        <v>387480.17278499441</v>
      </c>
    </row>
    <row r="721" spans="1:9" ht="18" x14ac:dyDescent="0.2">
      <c r="A721" s="2">
        <v>41190</v>
      </c>
      <c r="B721" s="3">
        <v>0.28999999999999998</v>
      </c>
      <c r="C721">
        <f t="shared" si="40"/>
        <v>0.31005078762526689</v>
      </c>
      <c r="E721" s="18">
        <f t="shared" si="42"/>
        <v>75642.252372809875</v>
      </c>
      <c r="G721" s="3">
        <v>29.29</v>
      </c>
      <c r="H721" s="18">
        <f t="shared" si="41"/>
        <v>26.964527307986792</v>
      </c>
      <c r="I721">
        <f t="shared" si="43"/>
        <v>387480.17278499441</v>
      </c>
    </row>
    <row r="722" spans="1:9" ht="18" x14ac:dyDescent="0.2">
      <c r="A722" s="2">
        <v>41197</v>
      </c>
      <c r="B722" s="3">
        <v>0.28000000000000003</v>
      </c>
      <c r="C722">
        <f t="shared" si="40"/>
        <v>0.30718880785143193</v>
      </c>
      <c r="E722" s="18">
        <f t="shared" si="42"/>
        <v>73033.898842712995</v>
      </c>
      <c r="G722" s="3">
        <v>29.78</v>
      </c>
      <c r="H722" s="18">
        <f t="shared" si="41"/>
        <v>27.232667564369002</v>
      </c>
      <c r="I722">
        <f t="shared" si="43"/>
        <v>387480.17278499441</v>
      </c>
    </row>
    <row r="723" spans="1:9" ht="18" x14ac:dyDescent="0.2">
      <c r="A723" s="2">
        <v>41204</v>
      </c>
      <c r="B723" s="3">
        <v>0.28000000000000003</v>
      </c>
      <c r="C723">
        <f t="shared" si="40"/>
        <v>0.30459939757986698</v>
      </c>
      <c r="E723" s="18">
        <f t="shared" si="42"/>
        <v>73033.898842712995</v>
      </c>
      <c r="G723" s="3">
        <v>28.96</v>
      </c>
      <c r="H723" s="18">
        <f t="shared" si="41"/>
        <v>27.397175415381479</v>
      </c>
      <c r="I723">
        <f t="shared" si="43"/>
        <v>387480.17278499441</v>
      </c>
    </row>
    <row r="724" spans="1:9" ht="18" x14ac:dyDescent="0.2">
      <c r="A724" s="2">
        <v>41211</v>
      </c>
      <c r="B724" s="3">
        <v>0.28999999999999998</v>
      </c>
      <c r="C724">
        <f t="shared" si="40"/>
        <v>0.30320897876273678</v>
      </c>
      <c r="E724" s="18">
        <f t="shared" si="42"/>
        <v>75642.252372809875</v>
      </c>
      <c r="G724" s="3">
        <v>29.85</v>
      </c>
      <c r="H724" s="18">
        <f t="shared" si="41"/>
        <v>27.630777756773721</v>
      </c>
      <c r="I724">
        <f t="shared" si="43"/>
        <v>387480.17278499441</v>
      </c>
    </row>
    <row r="725" spans="1:9" ht="18" x14ac:dyDescent="0.2">
      <c r="A725" s="2">
        <v>41218</v>
      </c>
      <c r="B725" s="3">
        <v>0.28000000000000003</v>
      </c>
      <c r="C725">
        <f t="shared" si="40"/>
        <v>0.30099859983295235</v>
      </c>
      <c r="E725" s="18">
        <f t="shared" si="42"/>
        <v>73033.898842712995</v>
      </c>
      <c r="G725" s="3">
        <v>28.58</v>
      </c>
      <c r="H725" s="18">
        <f t="shared" si="41"/>
        <v>27.721179875176222</v>
      </c>
      <c r="I725">
        <f t="shared" si="43"/>
        <v>387480.17278499441</v>
      </c>
    </row>
    <row r="726" spans="1:9" ht="18" x14ac:dyDescent="0.2">
      <c r="A726" s="2">
        <v>41225</v>
      </c>
      <c r="B726" s="3">
        <v>0.26</v>
      </c>
      <c r="C726">
        <f t="shared" si="40"/>
        <v>0.29709397127743309</v>
      </c>
      <c r="E726" s="18">
        <f t="shared" si="42"/>
        <v>67817.191782519207</v>
      </c>
      <c r="G726" s="3">
        <v>27.82</v>
      </c>
      <c r="H726" s="18">
        <f t="shared" si="41"/>
        <v>27.730591315635628</v>
      </c>
      <c r="I726">
        <f t="shared" si="43"/>
        <v>387480.17278499441</v>
      </c>
    </row>
    <row r="727" spans="1:9" ht="18" x14ac:dyDescent="0.2">
      <c r="A727" s="2">
        <v>41232</v>
      </c>
      <c r="B727" s="3">
        <v>0.27</v>
      </c>
      <c r="C727">
        <f t="shared" si="40"/>
        <v>0.29451359306053471</v>
      </c>
      <c r="E727" s="18">
        <f t="shared" si="42"/>
        <v>70425.545312616101</v>
      </c>
      <c r="G727" s="3">
        <v>28.92</v>
      </c>
      <c r="H727" s="18">
        <f t="shared" si="41"/>
        <v>27.843868333194141</v>
      </c>
      <c r="I727">
        <f t="shared" si="43"/>
        <v>387480.17278499441</v>
      </c>
    </row>
    <row r="728" spans="1:9" ht="18" x14ac:dyDescent="0.2">
      <c r="A728" s="2">
        <v>41239</v>
      </c>
      <c r="B728" s="3">
        <v>0.28000000000000003</v>
      </c>
      <c r="C728">
        <f t="shared" si="40"/>
        <v>0.29313134610238856</v>
      </c>
      <c r="E728" s="18">
        <f t="shared" si="42"/>
        <v>73033.898842712995</v>
      </c>
      <c r="G728" s="3">
        <v>28.91</v>
      </c>
      <c r="H728" s="18">
        <f t="shared" si="41"/>
        <v>27.945404682413749</v>
      </c>
      <c r="I728">
        <f t="shared" si="43"/>
        <v>387480.17278499441</v>
      </c>
    </row>
    <row r="729" spans="1:9" ht="18" x14ac:dyDescent="0.2">
      <c r="A729" s="2">
        <v>41246</v>
      </c>
      <c r="B729" s="3">
        <v>0.28000000000000003</v>
      </c>
      <c r="C729">
        <f t="shared" ref="C729:C792" si="44">(B729-C728)*$D$4+C728</f>
        <v>0.29188074171168488</v>
      </c>
      <c r="E729" s="18">
        <f t="shared" si="42"/>
        <v>73033.898842712995</v>
      </c>
      <c r="G729" s="3">
        <v>29.95</v>
      </c>
      <c r="H729" s="18">
        <f t="shared" si="41"/>
        <v>28.136318522183867</v>
      </c>
      <c r="I729">
        <f t="shared" si="43"/>
        <v>387480.17278499441</v>
      </c>
    </row>
    <row r="730" spans="1:9" ht="18" x14ac:dyDescent="0.2">
      <c r="A730" s="2">
        <v>41253</v>
      </c>
      <c r="B730" s="3">
        <v>0.28999999999999998</v>
      </c>
      <c r="C730">
        <f t="shared" si="44"/>
        <v>0.29170162345342915</v>
      </c>
      <c r="E730" s="18">
        <f t="shared" si="42"/>
        <v>75642.252372809875</v>
      </c>
      <c r="G730" s="3">
        <v>30.13</v>
      </c>
      <c r="H730" s="18">
        <f t="shared" ref="H730:H793" si="45">(G730-H729)*$D$4+H729</f>
        <v>28.326192948642547</v>
      </c>
      <c r="I730">
        <f t="shared" si="43"/>
        <v>387480.17278499441</v>
      </c>
    </row>
    <row r="731" spans="1:9" ht="18" x14ac:dyDescent="0.2">
      <c r="A731" s="2">
        <v>41260</v>
      </c>
      <c r="B731" s="3">
        <v>0.28000000000000003</v>
      </c>
      <c r="C731">
        <f t="shared" si="44"/>
        <v>0.29058718312453113</v>
      </c>
      <c r="E731" s="18">
        <f t="shared" si="42"/>
        <v>73033.898842712995</v>
      </c>
      <c r="G731" s="3">
        <v>30.96</v>
      </c>
      <c r="H731" s="18">
        <f t="shared" si="45"/>
        <v>28.577031715438494</v>
      </c>
      <c r="I731">
        <f t="shared" si="43"/>
        <v>387480.17278499441</v>
      </c>
    </row>
    <row r="732" spans="1:9" ht="18" x14ac:dyDescent="0.2">
      <c r="A732" s="2">
        <v>41267</v>
      </c>
      <c r="B732" s="3">
        <v>0.28000000000000003</v>
      </c>
      <c r="C732">
        <f t="shared" si="44"/>
        <v>0.28957887996981391</v>
      </c>
      <c r="E732" s="18">
        <f t="shared" si="42"/>
        <v>73033.898842712995</v>
      </c>
      <c r="G732" s="3">
        <v>30.43</v>
      </c>
      <c r="H732" s="18">
        <f t="shared" si="45"/>
        <v>28.753504885396733</v>
      </c>
      <c r="I732">
        <f t="shared" si="43"/>
        <v>387480.17278499441</v>
      </c>
    </row>
    <row r="733" spans="1:9" ht="18" x14ac:dyDescent="0.2">
      <c r="A733" s="2">
        <v>41274</v>
      </c>
      <c r="B733" s="3">
        <v>0.3</v>
      </c>
      <c r="C733">
        <f t="shared" si="44"/>
        <v>0.29057136759173641</v>
      </c>
      <c r="E733" s="18">
        <f t="shared" ref="E733:E796" si="46">IF(C732&gt;B732,E732*B733/B732,E732)</f>
        <v>78250.605902906769</v>
      </c>
      <c r="G733" s="3">
        <v>31.92</v>
      </c>
      <c r="H733" s="18">
        <f t="shared" si="45"/>
        <v>29.055075848692283</v>
      </c>
      <c r="I733">
        <f t="shared" si="43"/>
        <v>387480.17278499441</v>
      </c>
    </row>
    <row r="734" spans="1:9" ht="18" x14ac:dyDescent="0.2">
      <c r="A734" s="2">
        <v>41281</v>
      </c>
      <c r="B734" s="3">
        <v>0.28000000000000003</v>
      </c>
      <c r="C734">
        <f t="shared" si="44"/>
        <v>0.28956457067823771</v>
      </c>
      <c r="E734" s="18">
        <f t="shared" si="46"/>
        <v>78250.605902906769</v>
      </c>
      <c r="G734" s="3">
        <v>32.69</v>
      </c>
      <c r="H734" s="18">
        <f t="shared" si="45"/>
        <v>29.40125910119778</v>
      </c>
      <c r="I734">
        <f t="shared" ref="I734:I797" si="47">IF(H733&gt;G733,I733*G734/G733,I733)</f>
        <v>387480.17278499441</v>
      </c>
    </row>
    <row r="735" spans="1:9" ht="18" x14ac:dyDescent="0.2">
      <c r="A735" s="2">
        <v>41288</v>
      </c>
      <c r="B735" s="3">
        <v>0.28000000000000003</v>
      </c>
      <c r="C735">
        <f t="shared" si="44"/>
        <v>0.28865365918507224</v>
      </c>
      <c r="E735" s="18">
        <f t="shared" si="46"/>
        <v>78250.605902906769</v>
      </c>
      <c r="G735" s="3">
        <v>32.92</v>
      </c>
      <c r="H735" s="18">
        <f t="shared" si="45"/>
        <v>29.736377282036088</v>
      </c>
      <c r="I735">
        <f t="shared" si="47"/>
        <v>387480.17278499441</v>
      </c>
    </row>
    <row r="736" spans="1:9" ht="18" x14ac:dyDescent="0.2">
      <c r="A736" s="2">
        <v>41295</v>
      </c>
      <c r="B736" s="3">
        <v>0.28999999999999998</v>
      </c>
      <c r="C736">
        <f t="shared" si="44"/>
        <v>0.28878188211982725</v>
      </c>
      <c r="E736" s="18">
        <f t="shared" si="46"/>
        <v>81045.270399439149</v>
      </c>
      <c r="G736" s="3">
        <v>33.409999999999997</v>
      </c>
      <c r="H736" s="18">
        <f t="shared" si="45"/>
        <v>30.086246112318364</v>
      </c>
      <c r="I736">
        <f t="shared" si="47"/>
        <v>387480.17278499441</v>
      </c>
    </row>
    <row r="737" spans="1:9" ht="18" x14ac:dyDescent="0.2">
      <c r="A737" s="2">
        <v>41302</v>
      </c>
      <c r="B737" s="3">
        <v>0.28999999999999998</v>
      </c>
      <c r="C737">
        <f t="shared" si="44"/>
        <v>0.28889789334651039</v>
      </c>
      <c r="E737" s="18">
        <f t="shared" si="46"/>
        <v>81045.270399439149</v>
      </c>
      <c r="G737" s="3">
        <v>33.9</v>
      </c>
      <c r="H737" s="18">
        <f t="shared" si="45"/>
        <v>30.449460768288041</v>
      </c>
      <c r="I737">
        <f t="shared" si="47"/>
        <v>387480.17278499441</v>
      </c>
    </row>
    <row r="738" spans="1:9" ht="18" x14ac:dyDescent="0.2">
      <c r="A738" s="2">
        <v>41309</v>
      </c>
      <c r="B738" s="3">
        <v>0.28999999999999998</v>
      </c>
      <c r="C738">
        <f t="shared" si="44"/>
        <v>0.28900285588493796</v>
      </c>
      <c r="E738" s="18">
        <f t="shared" si="46"/>
        <v>81045.270399439149</v>
      </c>
      <c r="G738" s="3">
        <v>34.46</v>
      </c>
      <c r="H738" s="18">
        <f t="shared" si="45"/>
        <v>30.831416885593942</v>
      </c>
      <c r="I738">
        <f t="shared" si="47"/>
        <v>387480.17278499441</v>
      </c>
    </row>
    <row r="739" spans="1:9" ht="18" x14ac:dyDescent="0.2">
      <c r="A739" s="2">
        <v>41316</v>
      </c>
      <c r="B739" s="3">
        <v>0.28999999999999998</v>
      </c>
      <c r="C739">
        <f t="shared" si="44"/>
        <v>0.28909782199113432</v>
      </c>
      <c r="E739" s="18">
        <f t="shared" si="46"/>
        <v>81045.270399439149</v>
      </c>
      <c r="G739" s="3">
        <v>34.630000000000003</v>
      </c>
      <c r="H739" s="18">
        <f t="shared" si="45"/>
        <v>31.193186706013567</v>
      </c>
      <c r="I739">
        <f t="shared" si="47"/>
        <v>387480.17278499441</v>
      </c>
    </row>
    <row r="740" spans="1:9" ht="18" x14ac:dyDescent="0.2">
      <c r="A740" s="2">
        <v>41323</v>
      </c>
      <c r="B740" s="3">
        <v>0.28999999999999998</v>
      </c>
      <c r="C740">
        <f t="shared" si="44"/>
        <v>0.28918374370626437</v>
      </c>
      <c r="E740" s="18">
        <f t="shared" si="46"/>
        <v>81045.270399439149</v>
      </c>
      <c r="G740" s="3">
        <v>34.65</v>
      </c>
      <c r="H740" s="18">
        <f t="shared" si="45"/>
        <v>31.522407019726561</v>
      </c>
      <c r="I740">
        <f t="shared" si="47"/>
        <v>387480.17278499441</v>
      </c>
    </row>
    <row r="741" spans="1:9" ht="18" x14ac:dyDescent="0.2">
      <c r="A741" s="2">
        <v>41330</v>
      </c>
      <c r="B741" s="3">
        <v>0.28999999999999998</v>
      </c>
      <c r="C741">
        <f t="shared" si="44"/>
        <v>0.28926148240090588</v>
      </c>
      <c r="E741" s="18">
        <f t="shared" si="46"/>
        <v>81045.270399439149</v>
      </c>
      <c r="G741" s="3">
        <v>34.65</v>
      </c>
      <c r="H741" s="18">
        <f t="shared" si="45"/>
        <v>31.820273017847843</v>
      </c>
      <c r="I741">
        <f t="shared" si="47"/>
        <v>387480.17278499441</v>
      </c>
    </row>
    <row r="742" spans="1:9" ht="18" x14ac:dyDescent="0.2">
      <c r="A742" s="2">
        <v>41337</v>
      </c>
      <c r="B742" s="3">
        <v>0.3</v>
      </c>
      <c r="C742">
        <f t="shared" si="44"/>
        <v>0.29028419836272434</v>
      </c>
      <c r="E742" s="18">
        <f t="shared" si="46"/>
        <v>81045.270399439149</v>
      </c>
      <c r="G742" s="3">
        <v>35.57</v>
      </c>
      <c r="H742" s="18">
        <f t="shared" si="45"/>
        <v>32.177389873290906</v>
      </c>
      <c r="I742">
        <f t="shared" si="47"/>
        <v>387480.17278499441</v>
      </c>
    </row>
    <row r="743" spans="1:9" ht="18" x14ac:dyDescent="0.2">
      <c r="A743" s="2">
        <v>41344</v>
      </c>
      <c r="B743" s="3">
        <v>0.28999999999999998</v>
      </c>
      <c r="C743">
        <f t="shared" si="44"/>
        <v>0.2902571318519887</v>
      </c>
      <c r="E743" s="18">
        <f t="shared" si="46"/>
        <v>81045.270399439149</v>
      </c>
      <c r="G743" s="3">
        <v>35.44</v>
      </c>
      <c r="H743" s="18">
        <f t="shared" si="45"/>
        <v>32.488114647263203</v>
      </c>
      <c r="I743">
        <f t="shared" si="47"/>
        <v>387480.17278499441</v>
      </c>
    </row>
    <row r="744" spans="1:9" ht="18" x14ac:dyDescent="0.2">
      <c r="A744" s="2">
        <v>41351</v>
      </c>
      <c r="B744" s="3">
        <v>0.28999999999999998</v>
      </c>
      <c r="C744">
        <f t="shared" si="44"/>
        <v>0.29023264310418023</v>
      </c>
      <c r="E744" s="18">
        <f t="shared" si="46"/>
        <v>81045.270399439149</v>
      </c>
      <c r="G744" s="3">
        <v>34.56</v>
      </c>
      <c r="H744" s="18">
        <f t="shared" si="45"/>
        <v>32.685437061809566</v>
      </c>
      <c r="I744">
        <f t="shared" si="47"/>
        <v>387480.17278499441</v>
      </c>
    </row>
    <row r="745" spans="1:9" ht="18" x14ac:dyDescent="0.2">
      <c r="A745" s="2">
        <v>41365</v>
      </c>
      <c r="B745" s="3">
        <v>0.28999999999999998</v>
      </c>
      <c r="C745">
        <f t="shared" si="44"/>
        <v>0.29021048661806781</v>
      </c>
      <c r="E745" s="18">
        <f t="shared" si="46"/>
        <v>81045.270399439149</v>
      </c>
      <c r="G745" s="3">
        <v>33.950000000000003</v>
      </c>
      <c r="H745" s="18">
        <f t="shared" si="45"/>
        <v>32.805871627351515</v>
      </c>
      <c r="I745">
        <f t="shared" si="47"/>
        <v>387480.17278499441</v>
      </c>
    </row>
    <row r="746" spans="1:9" ht="18" x14ac:dyDescent="0.2">
      <c r="A746" s="2">
        <v>41372</v>
      </c>
      <c r="B746" s="3">
        <v>0.3</v>
      </c>
      <c r="C746">
        <f t="shared" si="44"/>
        <v>0.29114282122587087</v>
      </c>
      <c r="E746" s="18">
        <f t="shared" si="46"/>
        <v>83839.934895971528</v>
      </c>
      <c r="G746" s="3">
        <v>34.94</v>
      </c>
      <c r="H746" s="18">
        <f t="shared" si="45"/>
        <v>33.009121948556135</v>
      </c>
      <c r="I746">
        <f t="shared" si="47"/>
        <v>387480.17278499441</v>
      </c>
    </row>
    <row r="747" spans="1:9" ht="18" x14ac:dyDescent="0.2">
      <c r="A747" s="2">
        <v>41379</v>
      </c>
      <c r="B747" s="3">
        <v>0.28999999999999998</v>
      </c>
      <c r="C747">
        <f t="shared" si="44"/>
        <v>0.29103398110912126</v>
      </c>
      <c r="E747" s="18">
        <f t="shared" si="46"/>
        <v>83839.934895971528</v>
      </c>
      <c r="G747" s="3">
        <v>33.67</v>
      </c>
      <c r="H747" s="18">
        <f t="shared" si="45"/>
        <v>33.07206271536031</v>
      </c>
      <c r="I747">
        <f t="shared" si="47"/>
        <v>387480.17278499441</v>
      </c>
    </row>
    <row r="748" spans="1:9" ht="18" x14ac:dyDescent="0.2">
      <c r="A748" s="2">
        <v>41386</v>
      </c>
      <c r="B748" s="3">
        <v>0.31</v>
      </c>
      <c r="C748">
        <f t="shared" si="44"/>
        <v>0.29284026862253831</v>
      </c>
      <c r="E748" s="18">
        <f t="shared" si="46"/>
        <v>89621.999371555779</v>
      </c>
      <c r="G748" s="3">
        <v>34.85</v>
      </c>
      <c r="H748" s="18">
        <f t="shared" si="45"/>
        <v>33.241390075802187</v>
      </c>
      <c r="I748">
        <f t="shared" si="47"/>
        <v>387480.17278499441</v>
      </c>
    </row>
    <row r="749" spans="1:9" ht="18" x14ac:dyDescent="0.2">
      <c r="A749" s="2">
        <v>41393</v>
      </c>
      <c r="B749" s="3">
        <v>0.32</v>
      </c>
      <c r="C749">
        <f t="shared" si="44"/>
        <v>0.29542690970610608</v>
      </c>
      <c r="E749" s="18">
        <f t="shared" si="46"/>
        <v>89621.999371555779</v>
      </c>
      <c r="G749" s="3">
        <v>33.92</v>
      </c>
      <c r="H749" s="18">
        <f t="shared" si="45"/>
        <v>33.306019592392452</v>
      </c>
      <c r="I749">
        <f t="shared" si="47"/>
        <v>387480.17278499441</v>
      </c>
    </row>
    <row r="750" spans="1:9" ht="18" x14ac:dyDescent="0.2">
      <c r="A750" s="2">
        <v>41400</v>
      </c>
      <c r="B750" s="3">
        <v>0.34</v>
      </c>
      <c r="C750">
        <f t="shared" si="44"/>
        <v>0.29967196592457218</v>
      </c>
      <c r="E750" s="18">
        <f t="shared" si="46"/>
        <v>89621.999371555779</v>
      </c>
      <c r="G750" s="3">
        <v>34.909999999999997</v>
      </c>
      <c r="H750" s="18">
        <f t="shared" si="45"/>
        <v>33.458779631212217</v>
      </c>
      <c r="I750">
        <f t="shared" si="47"/>
        <v>387480.17278499441</v>
      </c>
    </row>
    <row r="751" spans="1:9" ht="18" x14ac:dyDescent="0.2">
      <c r="A751" s="2">
        <v>41407</v>
      </c>
      <c r="B751" s="3">
        <v>0.35</v>
      </c>
      <c r="C751">
        <f t="shared" si="44"/>
        <v>0.30446511202699389</v>
      </c>
      <c r="E751" s="18">
        <f t="shared" si="46"/>
        <v>89621.999371555779</v>
      </c>
      <c r="G751" s="3">
        <v>37.29</v>
      </c>
      <c r="H751" s="18">
        <f t="shared" si="45"/>
        <v>33.82365776157296</v>
      </c>
      <c r="I751">
        <f t="shared" si="47"/>
        <v>387480.17278499441</v>
      </c>
    </row>
    <row r="752" spans="1:9" ht="18" x14ac:dyDescent="0.2">
      <c r="A752" s="2">
        <v>41414</v>
      </c>
      <c r="B752" s="3">
        <v>0.34</v>
      </c>
      <c r="C752">
        <f t="shared" si="44"/>
        <v>0.30784938707204207</v>
      </c>
      <c r="E752" s="18">
        <f t="shared" si="46"/>
        <v>89621.999371555779</v>
      </c>
      <c r="G752" s="3">
        <v>38.26</v>
      </c>
      <c r="H752" s="18">
        <f t="shared" si="45"/>
        <v>34.246166546185059</v>
      </c>
      <c r="I752">
        <f t="shared" si="47"/>
        <v>387480.17278499441</v>
      </c>
    </row>
    <row r="753" spans="1:9" ht="18" x14ac:dyDescent="0.2">
      <c r="A753" s="2">
        <v>41421</v>
      </c>
      <c r="B753" s="3">
        <v>0.34</v>
      </c>
      <c r="C753">
        <f t="shared" si="44"/>
        <v>0.31091135020803806</v>
      </c>
      <c r="E753" s="18">
        <f t="shared" si="46"/>
        <v>89621.999371555779</v>
      </c>
      <c r="G753" s="3">
        <v>38.92</v>
      </c>
      <c r="H753" s="18">
        <f t="shared" si="45"/>
        <v>34.691293541786479</v>
      </c>
      <c r="I753">
        <f t="shared" si="47"/>
        <v>387480.17278499441</v>
      </c>
    </row>
    <row r="754" spans="1:9" ht="18" x14ac:dyDescent="0.2">
      <c r="A754" s="2">
        <v>41428</v>
      </c>
      <c r="B754" s="3">
        <v>0.34</v>
      </c>
      <c r="C754">
        <f t="shared" si="44"/>
        <v>0.31368169780727251</v>
      </c>
      <c r="E754" s="18">
        <f t="shared" si="46"/>
        <v>89621.999371555779</v>
      </c>
      <c r="G754" s="3">
        <v>38.69</v>
      </c>
      <c r="H754" s="18">
        <f t="shared" si="45"/>
        <v>35.072122728283006</v>
      </c>
      <c r="I754">
        <f t="shared" si="47"/>
        <v>387480.17278499441</v>
      </c>
    </row>
    <row r="755" spans="1:9" ht="18" x14ac:dyDescent="0.2">
      <c r="A755" s="2">
        <v>41435</v>
      </c>
      <c r="B755" s="3">
        <v>0.33</v>
      </c>
      <c r="C755">
        <f t="shared" si="44"/>
        <v>0.31523582182562748</v>
      </c>
      <c r="E755" s="18">
        <f t="shared" si="46"/>
        <v>89621.999371555779</v>
      </c>
      <c r="G755" s="3">
        <v>37.880000000000003</v>
      </c>
      <c r="H755" s="18">
        <f t="shared" si="45"/>
        <v>35.339539611303671</v>
      </c>
      <c r="I755">
        <f t="shared" si="47"/>
        <v>387480.17278499441</v>
      </c>
    </row>
    <row r="756" spans="1:9" ht="18" x14ac:dyDescent="0.2">
      <c r="A756" s="2">
        <v>41442</v>
      </c>
      <c r="B756" s="3">
        <v>0.34</v>
      </c>
      <c r="C756">
        <f t="shared" si="44"/>
        <v>0.31759431498509155</v>
      </c>
      <c r="E756" s="18">
        <f t="shared" si="46"/>
        <v>89621.999371555779</v>
      </c>
      <c r="G756" s="3">
        <v>37.049999999999997</v>
      </c>
      <c r="H756" s="18">
        <f t="shared" si="45"/>
        <v>35.502440600703324</v>
      </c>
      <c r="I756">
        <f t="shared" si="47"/>
        <v>387480.17278499441</v>
      </c>
    </row>
    <row r="757" spans="1:9" ht="18" x14ac:dyDescent="0.2">
      <c r="A757" s="2">
        <v>41449</v>
      </c>
      <c r="B757" s="3">
        <v>0.33</v>
      </c>
      <c r="C757">
        <f t="shared" si="44"/>
        <v>0.31877580879603523</v>
      </c>
      <c r="E757" s="18">
        <f t="shared" si="46"/>
        <v>89621.999371555779</v>
      </c>
      <c r="G757" s="3">
        <v>37.64</v>
      </c>
      <c r="H757" s="18">
        <f t="shared" si="45"/>
        <v>35.706017686350627</v>
      </c>
      <c r="I757">
        <f t="shared" si="47"/>
        <v>387480.17278499441</v>
      </c>
    </row>
    <row r="758" spans="1:9" ht="18" x14ac:dyDescent="0.2">
      <c r="A758" s="2">
        <v>41463</v>
      </c>
      <c r="B758" s="3">
        <v>0.34</v>
      </c>
      <c r="C758">
        <f t="shared" si="44"/>
        <v>0.32079716033926997</v>
      </c>
      <c r="E758" s="18">
        <f t="shared" si="46"/>
        <v>89621.999371555779</v>
      </c>
      <c r="G758" s="3">
        <v>38.49</v>
      </c>
      <c r="H758" s="18">
        <f t="shared" si="45"/>
        <v>35.971158859079139</v>
      </c>
      <c r="I758">
        <f t="shared" si="47"/>
        <v>387480.17278499441</v>
      </c>
    </row>
    <row r="759" spans="1:9" ht="18" x14ac:dyDescent="0.2">
      <c r="A759" s="2">
        <v>41470</v>
      </c>
      <c r="B759" s="3">
        <v>0.33</v>
      </c>
      <c r="C759">
        <f t="shared" si="44"/>
        <v>0.32167362125933951</v>
      </c>
      <c r="E759" s="18">
        <f t="shared" si="46"/>
        <v>89621.999371555779</v>
      </c>
      <c r="G759" s="3">
        <v>39.479999999999997</v>
      </c>
      <c r="H759" s="18">
        <f t="shared" si="45"/>
        <v>36.305334205833503</v>
      </c>
      <c r="I759">
        <f t="shared" si="47"/>
        <v>387480.17278499441</v>
      </c>
    </row>
    <row r="760" spans="1:9" ht="18" x14ac:dyDescent="0.2">
      <c r="A760" s="2">
        <v>41477</v>
      </c>
      <c r="B760" s="3">
        <v>0.33</v>
      </c>
      <c r="C760">
        <f t="shared" si="44"/>
        <v>0.32246660971083096</v>
      </c>
      <c r="E760" s="18">
        <f t="shared" si="46"/>
        <v>89621.999371555779</v>
      </c>
      <c r="G760" s="3">
        <v>40.33</v>
      </c>
      <c r="H760" s="18">
        <f t="shared" si="45"/>
        <v>36.688635710039833</v>
      </c>
      <c r="I760">
        <f t="shared" si="47"/>
        <v>387480.17278499441</v>
      </c>
    </row>
    <row r="761" spans="1:9" ht="18" x14ac:dyDescent="0.2">
      <c r="A761" s="2">
        <v>41484</v>
      </c>
      <c r="B761" s="3">
        <v>0.34</v>
      </c>
      <c r="C761">
        <f t="shared" si="44"/>
        <v>0.32413645640503752</v>
      </c>
      <c r="E761" s="18">
        <f t="shared" si="46"/>
        <v>89621.999371555779</v>
      </c>
      <c r="G761" s="3">
        <v>40.25</v>
      </c>
      <c r="H761" s="18">
        <f t="shared" si="45"/>
        <v>37.027813261464608</v>
      </c>
      <c r="I761">
        <f t="shared" si="47"/>
        <v>387480.17278499441</v>
      </c>
    </row>
    <row r="762" spans="1:9" ht="18" x14ac:dyDescent="0.2">
      <c r="A762" s="2">
        <v>41491</v>
      </c>
      <c r="B762" s="3">
        <v>0.34</v>
      </c>
      <c r="C762">
        <f t="shared" si="44"/>
        <v>0.32564727008074823</v>
      </c>
      <c r="E762" s="18">
        <f t="shared" si="46"/>
        <v>89621.999371555779</v>
      </c>
      <c r="G762" s="3">
        <v>39.15</v>
      </c>
      <c r="H762" s="18">
        <f t="shared" si="45"/>
        <v>37.229926284182262</v>
      </c>
      <c r="I762">
        <f t="shared" si="47"/>
        <v>387480.17278499441</v>
      </c>
    </row>
    <row r="763" spans="1:9" ht="18" x14ac:dyDescent="0.2">
      <c r="A763" s="2">
        <v>41498</v>
      </c>
      <c r="B763" s="3">
        <v>0.35</v>
      </c>
      <c r="C763">
        <f t="shared" si="44"/>
        <v>0.32796657769210552</v>
      </c>
      <c r="E763" s="18">
        <f t="shared" si="46"/>
        <v>89621.999371555779</v>
      </c>
      <c r="G763" s="3">
        <v>38.270000000000003</v>
      </c>
      <c r="H763" s="18">
        <f t="shared" si="45"/>
        <v>37.328980923783952</v>
      </c>
      <c r="I763">
        <f t="shared" si="47"/>
        <v>387480.17278499441</v>
      </c>
    </row>
    <row r="764" spans="1:9" ht="18" x14ac:dyDescent="0.2">
      <c r="A764" s="2">
        <v>41505</v>
      </c>
      <c r="B764" s="3">
        <v>0.35</v>
      </c>
      <c r="C764">
        <f t="shared" si="44"/>
        <v>0.33006499886428592</v>
      </c>
      <c r="E764" s="18">
        <f t="shared" si="46"/>
        <v>89621.999371555779</v>
      </c>
      <c r="G764" s="3">
        <v>37.57</v>
      </c>
      <c r="H764" s="18">
        <f t="shared" si="45"/>
        <v>37.351935121518814</v>
      </c>
      <c r="I764">
        <f t="shared" si="47"/>
        <v>387480.17278499441</v>
      </c>
    </row>
    <row r="765" spans="1:9" ht="18" x14ac:dyDescent="0.2">
      <c r="A765" s="2">
        <v>41512</v>
      </c>
      <c r="B765" s="3">
        <v>0.35</v>
      </c>
      <c r="C765">
        <f t="shared" si="44"/>
        <v>0.33196357040102059</v>
      </c>
      <c r="E765" s="18">
        <f t="shared" si="46"/>
        <v>89621.999371555779</v>
      </c>
      <c r="G765" s="3">
        <v>36.29</v>
      </c>
      <c r="H765" s="18">
        <f t="shared" si="45"/>
        <v>37.250798443278924</v>
      </c>
      <c r="I765">
        <f t="shared" si="47"/>
        <v>387480.17278499441</v>
      </c>
    </row>
    <row r="766" spans="1:9" ht="18" x14ac:dyDescent="0.2">
      <c r="A766" s="2">
        <v>41519</v>
      </c>
      <c r="B766" s="3">
        <v>0.35</v>
      </c>
      <c r="C766">
        <f t="shared" si="44"/>
        <v>0.3336813256009234</v>
      </c>
      <c r="E766" s="18">
        <f t="shared" si="46"/>
        <v>89621.999371555779</v>
      </c>
      <c r="G766" s="3">
        <v>37.75</v>
      </c>
      <c r="H766" s="18">
        <f t="shared" si="45"/>
        <v>37.298341448680929</v>
      </c>
      <c r="I766">
        <f t="shared" si="47"/>
        <v>403069.06923762854</v>
      </c>
    </row>
    <row r="767" spans="1:9" ht="18" x14ac:dyDescent="0.2">
      <c r="A767" s="2">
        <v>41526</v>
      </c>
      <c r="B767" s="3">
        <v>0.37</v>
      </c>
      <c r="C767">
        <f t="shared" si="44"/>
        <v>0.33714024697226402</v>
      </c>
      <c r="E767" s="18">
        <f t="shared" si="46"/>
        <v>89621.999371555779</v>
      </c>
      <c r="G767" s="3">
        <v>37.770000000000003</v>
      </c>
      <c r="H767" s="18">
        <f t="shared" si="45"/>
        <v>37.34326131071132</v>
      </c>
      <c r="I767">
        <f t="shared" si="47"/>
        <v>403069.06923762854</v>
      </c>
    </row>
    <row r="768" spans="1:9" ht="18" x14ac:dyDescent="0.2">
      <c r="A768" s="2">
        <v>41533</v>
      </c>
      <c r="B768" s="3">
        <v>0.37</v>
      </c>
      <c r="C768">
        <f t="shared" si="44"/>
        <v>0.34026974726061981</v>
      </c>
      <c r="E768" s="18">
        <f t="shared" si="46"/>
        <v>89621.999371555779</v>
      </c>
      <c r="G768" s="3">
        <v>37.92</v>
      </c>
      <c r="H768" s="18">
        <f t="shared" si="45"/>
        <v>37.398188804929291</v>
      </c>
      <c r="I768">
        <f t="shared" si="47"/>
        <v>403069.06923762854</v>
      </c>
    </row>
    <row r="769" spans="1:9" ht="18" x14ac:dyDescent="0.2">
      <c r="A769" s="2">
        <v>41540</v>
      </c>
      <c r="B769" s="3">
        <v>0.37</v>
      </c>
      <c r="C769">
        <f t="shared" si="44"/>
        <v>0.34310119990246557</v>
      </c>
      <c r="E769" s="18">
        <f t="shared" si="46"/>
        <v>89621.999371555779</v>
      </c>
      <c r="G769" s="3">
        <v>37.520000000000003</v>
      </c>
      <c r="H769" s="18">
        <f t="shared" si="45"/>
        <v>37.409789871126499</v>
      </c>
      <c r="I769">
        <f t="shared" si="47"/>
        <v>403069.06923762854</v>
      </c>
    </row>
    <row r="770" spans="1:9" ht="18" x14ac:dyDescent="0.2">
      <c r="A770" s="2">
        <v>41547</v>
      </c>
      <c r="B770" s="3">
        <v>0.37</v>
      </c>
      <c r="C770">
        <f t="shared" si="44"/>
        <v>0.34566299038794501</v>
      </c>
      <c r="E770" s="18">
        <f t="shared" si="46"/>
        <v>89621.999371555779</v>
      </c>
      <c r="G770" s="3">
        <v>37.83</v>
      </c>
      <c r="H770" s="18">
        <f t="shared" si="45"/>
        <v>37.449809883400164</v>
      </c>
      <c r="I770">
        <f t="shared" si="47"/>
        <v>403069.06923762854</v>
      </c>
    </row>
    <row r="771" spans="1:9" ht="18" x14ac:dyDescent="0.2">
      <c r="A771" s="2">
        <v>41561</v>
      </c>
      <c r="B771" s="3">
        <v>0.37</v>
      </c>
      <c r="C771">
        <f t="shared" si="44"/>
        <v>0.34798080082718835</v>
      </c>
      <c r="E771" s="18">
        <f t="shared" si="46"/>
        <v>89621.999371555779</v>
      </c>
      <c r="G771" s="3">
        <v>39.28</v>
      </c>
      <c r="H771" s="18">
        <f t="shared" si="45"/>
        <v>37.624113704028723</v>
      </c>
      <c r="I771">
        <f t="shared" si="47"/>
        <v>403069.06923762854</v>
      </c>
    </row>
    <row r="772" spans="1:9" ht="18" x14ac:dyDescent="0.2">
      <c r="A772" s="2">
        <v>41568</v>
      </c>
      <c r="B772" s="3">
        <v>0.36</v>
      </c>
      <c r="C772">
        <f t="shared" si="44"/>
        <v>0.3491254864626942</v>
      </c>
      <c r="E772" s="18">
        <f t="shared" si="46"/>
        <v>89621.999371555779</v>
      </c>
      <c r="G772" s="3">
        <v>38.18</v>
      </c>
      <c r="H772" s="18">
        <f t="shared" si="45"/>
        <v>37.677055256025987</v>
      </c>
      <c r="I772">
        <f t="shared" si="47"/>
        <v>403069.06923762854</v>
      </c>
    </row>
    <row r="773" spans="1:9" ht="18" x14ac:dyDescent="0.2">
      <c r="A773" s="2">
        <v>41575</v>
      </c>
      <c r="B773" s="3">
        <v>0.36</v>
      </c>
      <c r="C773">
        <f t="shared" si="44"/>
        <v>0.35016115441862811</v>
      </c>
      <c r="E773" s="18">
        <f t="shared" si="46"/>
        <v>89621.999371555779</v>
      </c>
      <c r="G773" s="3">
        <v>37.99</v>
      </c>
      <c r="H773" s="18">
        <f t="shared" si="45"/>
        <v>37.706859517356847</v>
      </c>
      <c r="I773">
        <f t="shared" si="47"/>
        <v>403069.06923762854</v>
      </c>
    </row>
    <row r="774" spans="1:9" ht="18" x14ac:dyDescent="0.2">
      <c r="A774" s="2">
        <v>41582</v>
      </c>
      <c r="B774" s="3">
        <v>0.36</v>
      </c>
      <c r="C774">
        <f t="shared" si="44"/>
        <v>0.35109818733113973</v>
      </c>
      <c r="E774" s="18">
        <f t="shared" si="46"/>
        <v>89621.999371555779</v>
      </c>
      <c r="G774" s="3">
        <v>39.04</v>
      </c>
      <c r="H774" s="18">
        <f t="shared" si="45"/>
        <v>37.833825277608575</v>
      </c>
      <c r="I774">
        <f t="shared" si="47"/>
        <v>403069.06923762854</v>
      </c>
    </row>
    <row r="775" spans="1:9" ht="18" x14ac:dyDescent="0.2">
      <c r="A775" s="2">
        <v>41589</v>
      </c>
      <c r="B775" s="3">
        <v>0.38</v>
      </c>
      <c r="C775">
        <f t="shared" si="44"/>
        <v>0.35385074091865021</v>
      </c>
      <c r="E775" s="18">
        <f t="shared" si="46"/>
        <v>89621.999371555779</v>
      </c>
      <c r="G775" s="3">
        <v>39.700000000000003</v>
      </c>
      <c r="H775" s="18">
        <f t="shared" si="45"/>
        <v>38.011556203550619</v>
      </c>
      <c r="I775">
        <f t="shared" si="47"/>
        <v>403069.06923762854</v>
      </c>
    </row>
    <row r="776" spans="1:9" ht="18" x14ac:dyDescent="0.2">
      <c r="A776" s="2">
        <v>41596</v>
      </c>
      <c r="B776" s="3">
        <v>0.36</v>
      </c>
      <c r="C776">
        <f t="shared" si="44"/>
        <v>0.3544363846406835</v>
      </c>
      <c r="E776" s="18">
        <f t="shared" si="46"/>
        <v>89621.999371555779</v>
      </c>
      <c r="G776" s="3">
        <v>41.57</v>
      </c>
      <c r="H776" s="18">
        <f t="shared" si="45"/>
        <v>38.350455612736276</v>
      </c>
      <c r="I776">
        <f t="shared" si="47"/>
        <v>403069.06923762854</v>
      </c>
    </row>
    <row r="777" spans="1:9" ht="18" x14ac:dyDescent="0.2">
      <c r="A777" s="2">
        <v>41603</v>
      </c>
      <c r="B777" s="3">
        <v>0.37</v>
      </c>
      <c r="C777">
        <f t="shared" si="44"/>
        <v>0.35591863372252319</v>
      </c>
      <c r="E777" s="18">
        <f t="shared" si="46"/>
        <v>89621.999371555779</v>
      </c>
      <c r="G777" s="3">
        <v>41.4</v>
      </c>
      <c r="H777" s="18">
        <f t="shared" si="45"/>
        <v>38.640888411523299</v>
      </c>
      <c r="I777">
        <f t="shared" si="47"/>
        <v>403069.06923762854</v>
      </c>
    </row>
    <row r="778" spans="1:9" ht="18" x14ac:dyDescent="0.2">
      <c r="A778" s="2">
        <v>41610</v>
      </c>
      <c r="B778" s="3">
        <v>0.36</v>
      </c>
      <c r="C778">
        <f t="shared" si="44"/>
        <v>0.3563073352727591</v>
      </c>
      <c r="E778" s="18">
        <f t="shared" si="46"/>
        <v>89621.999371555779</v>
      </c>
      <c r="G778" s="3">
        <v>40.56</v>
      </c>
      <c r="H778" s="18">
        <f t="shared" si="45"/>
        <v>38.823660943759172</v>
      </c>
      <c r="I778">
        <f t="shared" si="47"/>
        <v>403069.06923762854</v>
      </c>
    </row>
    <row r="779" spans="1:9" ht="18" x14ac:dyDescent="0.2">
      <c r="A779" s="2">
        <v>41624</v>
      </c>
      <c r="B779" s="3">
        <v>0.37</v>
      </c>
      <c r="C779">
        <f t="shared" si="44"/>
        <v>0.35761139858011537</v>
      </c>
      <c r="E779" s="18">
        <f t="shared" si="46"/>
        <v>89621.999371555779</v>
      </c>
      <c r="G779" s="3">
        <v>41.74</v>
      </c>
      <c r="H779" s="18">
        <f t="shared" si="45"/>
        <v>39.101407520544015</v>
      </c>
      <c r="I779">
        <f t="shared" si="47"/>
        <v>403069.06923762854</v>
      </c>
    </row>
    <row r="780" spans="1:9" ht="18" x14ac:dyDescent="0.2">
      <c r="A780" s="2">
        <v>41631</v>
      </c>
      <c r="B780" s="3">
        <v>0.37</v>
      </c>
      <c r="C780">
        <f t="shared" si="44"/>
        <v>0.35879126538200912</v>
      </c>
      <c r="E780" s="18">
        <f t="shared" si="46"/>
        <v>89621.999371555779</v>
      </c>
      <c r="G780" s="3">
        <v>42.06</v>
      </c>
      <c r="H780" s="18">
        <f t="shared" si="45"/>
        <v>39.383178232873156</v>
      </c>
      <c r="I780">
        <f t="shared" si="47"/>
        <v>403069.06923762854</v>
      </c>
    </row>
    <row r="781" spans="1:9" ht="18" x14ac:dyDescent="0.2">
      <c r="A781" s="2">
        <v>41638</v>
      </c>
      <c r="B781" s="3">
        <v>0.37</v>
      </c>
      <c r="C781">
        <f t="shared" si="44"/>
        <v>0.35985876391705585</v>
      </c>
      <c r="E781" s="18">
        <f t="shared" si="46"/>
        <v>89621.999371555779</v>
      </c>
      <c r="G781" s="3">
        <v>42.44</v>
      </c>
      <c r="H781" s="18">
        <f t="shared" si="45"/>
        <v>39.674304115456664</v>
      </c>
      <c r="I781">
        <f t="shared" si="47"/>
        <v>403069.06923762854</v>
      </c>
    </row>
    <row r="782" spans="1:9" ht="18" x14ac:dyDescent="0.2">
      <c r="A782" s="2">
        <v>41645</v>
      </c>
      <c r="B782" s="3">
        <v>0.37</v>
      </c>
      <c r="C782">
        <f t="shared" si="44"/>
        <v>0.3608245959249553</v>
      </c>
      <c r="E782" s="18">
        <f t="shared" si="46"/>
        <v>89621.999371555779</v>
      </c>
      <c r="G782" s="3">
        <v>42.59</v>
      </c>
      <c r="H782" s="18">
        <f t="shared" si="45"/>
        <v>39.951989437794126</v>
      </c>
      <c r="I782">
        <f t="shared" si="47"/>
        <v>403069.06923762854</v>
      </c>
    </row>
    <row r="783" spans="1:9" ht="18" x14ac:dyDescent="0.2">
      <c r="A783" s="2">
        <v>41652</v>
      </c>
      <c r="B783" s="3">
        <v>0.38</v>
      </c>
      <c r="C783">
        <f t="shared" si="44"/>
        <v>0.36265082488448336</v>
      </c>
      <c r="E783" s="18">
        <f t="shared" si="46"/>
        <v>89621.999371555779</v>
      </c>
      <c r="G783" s="3">
        <v>42.32</v>
      </c>
      <c r="H783" s="18">
        <f t="shared" si="45"/>
        <v>40.177514253242308</v>
      </c>
      <c r="I783">
        <f t="shared" si="47"/>
        <v>403069.06923762854</v>
      </c>
    </row>
    <row r="784" spans="1:9" ht="18" x14ac:dyDescent="0.2">
      <c r="A784" s="2">
        <v>41666</v>
      </c>
      <c r="B784" s="3">
        <v>0.37</v>
      </c>
      <c r="C784">
        <f t="shared" si="44"/>
        <v>0.3633507463240564</v>
      </c>
      <c r="E784" s="18">
        <f t="shared" si="46"/>
        <v>89621.999371555779</v>
      </c>
      <c r="G784" s="3">
        <v>40.31</v>
      </c>
      <c r="H784" s="18">
        <f t="shared" si="45"/>
        <v>40.19013194340971</v>
      </c>
      <c r="I784">
        <f t="shared" si="47"/>
        <v>403069.06923762854</v>
      </c>
    </row>
    <row r="785" spans="1:9" ht="18" x14ac:dyDescent="0.2">
      <c r="A785" s="2">
        <v>41673</v>
      </c>
      <c r="B785" s="3">
        <v>0.37</v>
      </c>
      <c r="C785">
        <f t="shared" si="44"/>
        <v>0.36398400857890817</v>
      </c>
      <c r="E785" s="18">
        <f t="shared" si="46"/>
        <v>89621.999371555779</v>
      </c>
      <c r="G785" s="3">
        <v>41.23</v>
      </c>
      <c r="H785" s="18">
        <f t="shared" si="45"/>
        <v>40.289166996418309</v>
      </c>
      <c r="I785">
        <f t="shared" si="47"/>
        <v>403069.06923762854</v>
      </c>
    </row>
    <row r="786" spans="1:9" ht="18" x14ac:dyDescent="0.2">
      <c r="A786" s="2">
        <v>41680</v>
      </c>
      <c r="B786" s="3">
        <v>0.42</v>
      </c>
      <c r="C786">
        <f t="shared" si="44"/>
        <v>0.36931886490472643</v>
      </c>
      <c r="E786" s="18">
        <f t="shared" si="46"/>
        <v>89621.999371555779</v>
      </c>
      <c r="G786" s="3">
        <v>42.34</v>
      </c>
      <c r="H786" s="18">
        <f t="shared" si="45"/>
        <v>40.484484425330855</v>
      </c>
      <c r="I786">
        <f t="shared" si="47"/>
        <v>403069.06923762854</v>
      </c>
    </row>
    <row r="787" spans="1:9" ht="18" x14ac:dyDescent="0.2">
      <c r="A787" s="2">
        <v>41687</v>
      </c>
      <c r="B787" s="3">
        <v>0.44</v>
      </c>
      <c r="C787">
        <f t="shared" si="44"/>
        <v>0.37605040158046676</v>
      </c>
      <c r="E787" s="18">
        <f t="shared" si="46"/>
        <v>89621.999371555779</v>
      </c>
      <c r="G787" s="3">
        <v>41.95</v>
      </c>
      <c r="H787" s="18">
        <f t="shared" si="45"/>
        <v>40.624057337204107</v>
      </c>
      <c r="I787">
        <f t="shared" si="47"/>
        <v>403069.06923762854</v>
      </c>
    </row>
    <row r="788" spans="1:9" ht="18" x14ac:dyDescent="0.2">
      <c r="A788" s="2">
        <v>41694</v>
      </c>
      <c r="B788" s="3">
        <v>0.43</v>
      </c>
      <c r="C788">
        <f t="shared" si="44"/>
        <v>0.38118845857280326</v>
      </c>
      <c r="E788" s="18">
        <f t="shared" si="46"/>
        <v>89621.999371555779</v>
      </c>
      <c r="G788" s="3">
        <v>43.25</v>
      </c>
      <c r="H788" s="18">
        <f t="shared" si="45"/>
        <v>40.874147114613237</v>
      </c>
      <c r="I788">
        <f t="shared" si="47"/>
        <v>403069.06923762854</v>
      </c>
    </row>
    <row r="789" spans="1:9" ht="18" x14ac:dyDescent="0.2">
      <c r="A789" s="2">
        <v>41701</v>
      </c>
      <c r="B789" s="3">
        <v>0.43</v>
      </c>
      <c r="C789">
        <f t="shared" si="44"/>
        <v>0.38583717680396484</v>
      </c>
      <c r="E789" s="18">
        <f t="shared" si="46"/>
        <v>89621.999371555779</v>
      </c>
      <c r="G789" s="3">
        <v>43.25</v>
      </c>
      <c r="H789" s="18">
        <f t="shared" si="45"/>
        <v>41.100418817983403</v>
      </c>
      <c r="I789">
        <f t="shared" si="47"/>
        <v>403069.06923762854</v>
      </c>
    </row>
    <row r="790" spans="1:9" ht="18" x14ac:dyDescent="0.2">
      <c r="A790" s="2">
        <v>41708</v>
      </c>
      <c r="B790" s="3">
        <v>0.42</v>
      </c>
      <c r="C790">
        <f t="shared" si="44"/>
        <v>0.38909077901311107</v>
      </c>
      <c r="E790" s="18">
        <f t="shared" si="46"/>
        <v>89621.999371555779</v>
      </c>
      <c r="G790" s="3">
        <v>41.36</v>
      </c>
      <c r="H790" s="18">
        <f t="shared" si="45"/>
        <v>41.125140835318319</v>
      </c>
      <c r="I790">
        <f t="shared" si="47"/>
        <v>403069.06923762854</v>
      </c>
    </row>
    <row r="791" spans="1:9" ht="18" x14ac:dyDescent="0.2">
      <c r="A791" s="2">
        <v>41722</v>
      </c>
      <c r="B791" s="3">
        <v>0.42</v>
      </c>
      <c r="C791">
        <f t="shared" si="44"/>
        <v>0.39203451434519571</v>
      </c>
      <c r="E791" s="18">
        <f t="shared" si="46"/>
        <v>89621.999371555779</v>
      </c>
      <c r="G791" s="3">
        <v>43.72</v>
      </c>
      <c r="H791" s="18">
        <f t="shared" si="45"/>
        <v>41.372270279573719</v>
      </c>
      <c r="I791">
        <f t="shared" si="47"/>
        <v>403069.06923762854</v>
      </c>
    </row>
    <row r="792" spans="1:9" ht="18" x14ac:dyDescent="0.2">
      <c r="A792" s="2">
        <v>41729</v>
      </c>
      <c r="B792" s="3">
        <v>0.43</v>
      </c>
      <c r="C792">
        <f t="shared" si="44"/>
        <v>0.39565027488374849</v>
      </c>
      <c r="E792" s="18">
        <f t="shared" si="46"/>
        <v>89621.999371555779</v>
      </c>
      <c r="G792" s="3">
        <v>43.55</v>
      </c>
      <c r="H792" s="18">
        <f t="shared" si="45"/>
        <v>41.579673110090511</v>
      </c>
      <c r="I792">
        <f t="shared" si="47"/>
        <v>403069.06923762854</v>
      </c>
    </row>
    <row r="793" spans="1:9" ht="18" x14ac:dyDescent="0.2">
      <c r="A793" s="2">
        <v>41736</v>
      </c>
      <c r="B793" s="3">
        <v>0.43</v>
      </c>
      <c r="C793">
        <f t="shared" ref="C793:C856" si="48">(B793-C792)*$D$4+C792</f>
        <v>0.39892167727577243</v>
      </c>
      <c r="E793" s="18">
        <f t="shared" si="46"/>
        <v>89621.999371555779</v>
      </c>
      <c r="G793" s="3">
        <v>40.46</v>
      </c>
      <c r="H793" s="18">
        <f t="shared" si="45"/>
        <v>41.473037575796177</v>
      </c>
      <c r="I793">
        <f t="shared" si="47"/>
        <v>403069.06923762854</v>
      </c>
    </row>
    <row r="794" spans="1:9" ht="18" x14ac:dyDescent="0.2">
      <c r="A794" s="2">
        <v>41743</v>
      </c>
      <c r="B794" s="3">
        <v>0.44</v>
      </c>
      <c r="C794">
        <f t="shared" si="48"/>
        <v>0.40283389848760365</v>
      </c>
      <c r="E794" s="18">
        <f t="shared" si="46"/>
        <v>89621.999371555779</v>
      </c>
      <c r="G794" s="3">
        <v>40.729999999999997</v>
      </c>
      <c r="H794" s="18">
        <f t="shared" ref="H794:H857" si="49">(G794-H793)*$D$4+H793</f>
        <v>41.402272092387015</v>
      </c>
      <c r="I794">
        <f t="shared" si="47"/>
        <v>405758.85294237785</v>
      </c>
    </row>
    <row r="795" spans="1:9" ht="18" x14ac:dyDescent="0.2">
      <c r="A795" s="2">
        <v>41757</v>
      </c>
      <c r="B795" s="3">
        <v>0.44</v>
      </c>
      <c r="C795">
        <f t="shared" si="48"/>
        <v>0.40637352720306996</v>
      </c>
      <c r="E795" s="18">
        <f t="shared" si="46"/>
        <v>89621.999371555779</v>
      </c>
      <c r="G795" s="3">
        <v>39.58</v>
      </c>
      <c r="H795" s="18">
        <f t="shared" si="49"/>
        <v>41.228722369302538</v>
      </c>
      <c r="I795">
        <f t="shared" si="47"/>
        <v>394302.36679251946</v>
      </c>
    </row>
    <row r="796" spans="1:9" ht="18" x14ac:dyDescent="0.2">
      <c r="A796" s="2">
        <v>41764</v>
      </c>
      <c r="B796" s="3">
        <v>0.43</v>
      </c>
      <c r="C796">
        <f t="shared" si="48"/>
        <v>0.40862366746944423</v>
      </c>
      <c r="E796" s="18">
        <f t="shared" si="46"/>
        <v>89621.999371555779</v>
      </c>
      <c r="G796" s="3">
        <v>39.06</v>
      </c>
      <c r="H796" s="18">
        <f t="shared" si="49"/>
        <v>41.022177381749913</v>
      </c>
      <c r="I796">
        <f t="shared" si="47"/>
        <v>389122.04262040957</v>
      </c>
    </row>
    <row r="797" spans="1:9" ht="18" x14ac:dyDescent="0.2">
      <c r="A797" s="2">
        <v>41771</v>
      </c>
      <c r="B797" s="3">
        <v>0.43</v>
      </c>
      <c r="C797">
        <f t="shared" si="48"/>
        <v>0.41065950866283052</v>
      </c>
      <c r="E797" s="18">
        <f t="shared" ref="E797:E860" si="50">IF(C796&gt;B796,E796*B797/B796,E796)</f>
        <v>89621.999371555779</v>
      </c>
      <c r="G797" s="3">
        <v>39.96</v>
      </c>
      <c r="H797" s="18">
        <f t="shared" si="49"/>
        <v>40.921017631107063</v>
      </c>
      <c r="I797">
        <f t="shared" si="47"/>
        <v>398087.9883029075</v>
      </c>
    </row>
    <row r="798" spans="1:9" ht="18" x14ac:dyDescent="0.2">
      <c r="A798" s="2">
        <v>41778</v>
      </c>
      <c r="B798" s="3">
        <v>0.44</v>
      </c>
      <c r="C798">
        <f t="shared" si="48"/>
        <v>0.41345384117113237</v>
      </c>
      <c r="E798" s="18">
        <f t="shared" si="50"/>
        <v>89621.999371555779</v>
      </c>
      <c r="G798" s="3">
        <v>40.72</v>
      </c>
      <c r="H798" s="18">
        <f t="shared" si="49"/>
        <v>40.901873094811151</v>
      </c>
      <c r="I798">
        <f t="shared" ref="I798:I861" si="51">IF(H797&gt;G797,I797*G798/G797,I797)</f>
        <v>405659.23132368352</v>
      </c>
    </row>
    <row r="799" spans="1:9" ht="18" x14ac:dyDescent="0.2">
      <c r="A799" s="2">
        <v>41785</v>
      </c>
      <c r="B799" s="3">
        <v>0.45</v>
      </c>
      <c r="C799">
        <f t="shared" si="48"/>
        <v>0.4169344277262626</v>
      </c>
      <c r="E799" s="18">
        <f t="shared" si="50"/>
        <v>89621.999371555779</v>
      </c>
      <c r="G799" s="3">
        <v>41.75</v>
      </c>
      <c r="H799" s="18">
        <f t="shared" si="49"/>
        <v>40.982647085781515</v>
      </c>
      <c r="I799">
        <f t="shared" si="51"/>
        <v>415920.2580492089</v>
      </c>
    </row>
    <row r="800" spans="1:9" ht="18" x14ac:dyDescent="0.2">
      <c r="A800" s="2">
        <v>41792</v>
      </c>
      <c r="B800" s="3">
        <v>0.45</v>
      </c>
      <c r="C800">
        <f t="shared" si="48"/>
        <v>0.42008352984757091</v>
      </c>
      <c r="E800" s="18">
        <f t="shared" si="50"/>
        <v>89621.999371555779</v>
      </c>
      <c r="G800" s="3">
        <v>41.8</v>
      </c>
      <c r="H800" s="18">
        <f t="shared" si="49"/>
        <v>41.060490220468992</v>
      </c>
      <c r="I800">
        <f t="shared" si="51"/>
        <v>415920.2580492089</v>
      </c>
    </row>
    <row r="801" spans="1:9" ht="18" x14ac:dyDescent="0.2">
      <c r="A801" s="2">
        <v>41799</v>
      </c>
      <c r="B801" s="3">
        <v>0.46</v>
      </c>
      <c r="C801">
        <f t="shared" si="48"/>
        <v>0.42388509843351652</v>
      </c>
      <c r="E801" s="18">
        <f t="shared" si="50"/>
        <v>89621.999371555779</v>
      </c>
      <c r="G801" s="3">
        <v>42.17</v>
      </c>
      <c r="H801" s="18">
        <f t="shared" si="49"/>
        <v>41.166157818519565</v>
      </c>
      <c r="I801">
        <f t="shared" si="51"/>
        <v>415920.2580492089</v>
      </c>
    </row>
    <row r="802" spans="1:9" ht="18" x14ac:dyDescent="0.2">
      <c r="A802" s="2">
        <v>41806</v>
      </c>
      <c r="B802" s="3">
        <v>0.45</v>
      </c>
      <c r="C802">
        <f t="shared" si="48"/>
        <v>0.42637223191603874</v>
      </c>
      <c r="E802" s="18">
        <f t="shared" si="50"/>
        <v>89621.999371555779</v>
      </c>
      <c r="G802" s="3">
        <v>42.16</v>
      </c>
      <c r="H802" s="18">
        <f t="shared" si="49"/>
        <v>41.260809454851035</v>
      </c>
      <c r="I802">
        <f t="shared" si="51"/>
        <v>415920.2580492089</v>
      </c>
    </row>
    <row r="803" spans="1:9" ht="18" x14ac:dyDescent="0.2">
      <c r="A803" s="2">
        <v>41813</v>
      </c>
      <c r="B803" s="3">
        <v>0.44</v>
      </c>
      <c r="C803">
        <f t="shared" si="48"/>
        <v>0.4276701145907017</v>
      </c>
      <c r="E803" s="18">
        <f t="shared" si="50"/>
        <v>89621.999371555779</v>
      </c>
      <c r="G803" s="3">
        <v>41.18</v>
      </c>
      <c r="H803" s="18">
        <f t="shared" si="49"/>
        <v>41.253113316293792</v>
      </c>
      <c r="I803">
        <f t="shared" si="51"/>
        <v>415920.2580492089</v>
      </c>
    </row>
    <row r="804" spans="1:9" ht="18" x14ac:dyDescent="0.2">
      <c r="A804" s="2">
        <v>41827</v>
      </c>
      <c r="B804" s="3">
        <v>0.45</v>
      </c>
      <c r="C804">
        <f t="shared" si="48"/>
        <v>0.42979677034396818</v>
      </c>
      <c r="E804" s="18">
        <f t="shared" si="50"/>
        <v>89621.999371555779</v>
      </c>
      <c r="G804" s="3">
        <v>42.97</v>
      </c>
      <c r="H804" s="18">
        <f t="shared" si="49"/>
        <v>41.416626333789623</v>
      </c>
      <c r="I804">
        <f t="shared" si="51"/>
        <v>433999.35620142071</v>
      </c>
    </row>
    <row r="805" spans="1:9" ht="18" x14ac:dyDescent="0.2">
      <c r="A805" s="2">
        <v>41834</v>
      </c>
      <c r="B805" s="3">
        <v>0.44</v>
      </c>
      <c r="C805">
        <f t="shared" si="48"/>
        <v>0.43076850650168552</v>
      </c>
      <c r="E805" s="18">
        <f t="shared" si="50"/>
        <v>89621.999371555779</v>
      </c>
      <c r="G805" s="3">
        <v>43.54</v>
      </c>
      <c r="H805" s="18">
        <f t="shared" si="49"/>
        <v>41.618852397238228</v>
      </c>
      <c r="I805">
        <f t="shared" si="51"/>
        <v>433999.35620142071</v>
      </c>
    </row>
    <row r="806" spans="1:9" ht="18" x14ac:dyDescent="0.2">
      <c r="A806" s="2">
        <v>41841</v>
      </c>
      <c r="B806" s="3">
        <v>0.42</v>
      </c>
      <c r="C806">
        <f t="shared" si="48"/>
        <v>0.42974293445390593</v>
      </c>
      <c r="E806" s="18">
        <f t="shared" si="50"/>
        <v>89621.999371555779</v>
      </c>
      <c r="G806" s="3">
        <v>41.57</v>
      </c>
      <c r="H806" s="18">
        <f t="shared" si="49"/>
        <v>41.614199787977448</v>
      </c>
      <c r="I806">
        <f t="shared" si="51"/>
        <v>433999.35620142071</v>
      </c>
    </row>
    <row r="807" spans="1:9" ht="18" x14ac:dyDescent="0.2">
      <c r="A807" s="2">
        <v>41855</v>
      </c>
      <c r="B807" s="3">
        <v>0.45</v>
      </c>
      <c r="C807">
        <f t="shared" si="48"/>
        <v>0.43167217879162917</v>
      </c>
      <c r="E807" s="18">
        <f t="shared" si="50"/>
        <v>96023.570755238339</v>
      </c>
      <c r="G807" s="3">
        <v>41.88</v>
      </c>
      <c r="H807" s="18">
        <f t="shared" si="49"/>
        <v>41.639514093884358</v>
      </c>
      <c r="I807">
        <f t="shared" si="51"/>
        <v>437235.82000758965</v>
      </c>
    </row>
    <row r="808" spans="1:9" ht="18" x14ac:dyDescent="0.2">
      <c r="A808" s="2">
        <v>41862</v>
      </c>
      <c r="B808" s="3">
        <v>0.45</v>
      </c>
      <c r="C808">
        <f t="shared" si="48"/>
        <v>0.43341768557337879</v>
      </c>
      <c r="E808" s="18">
        <f t="shared" si="50"/>
        <v>96023.570755238339</v>
      </c>
      <c r="G808" s="3">
        <v>43.16</v>
      </c>
      <c r="H808" s="18">
        <f t="shared" si="49"/>
        <v>41.784322275419179</v>
      </c>
      <c r="I808">
        <f t="shared" si="51"/>
        <v>437235.82000758965</v>
      </c>
    </row>
    <row r="809" spans="1:9" ht="18" x14ac:dyDescent="0.2">
      <c r="A809" s="2">
        <v>41869</v>
      </c>
      <c r="B809" s="3">
        <v>0.45</v>
      </c>
      <c r="C809">
        <f t="shared" si="48"/>
        <v>0.43499695361400936</v>
      </c>
      <c r="E809" s="18">
        <f t="shared" si="50"/>
        <v>96023.570755238339</v>
      </c>
      <c r="G809" s="3">
        <v>43.87</v>
      </c>
      <c r="H809" s="18">
        <f t="shared" si="49"/>
        <v>41.982958249188783</v>
      </c>
      <c r="I809">
        <f t="shared" si="51"/>
        <v>437235.82000758965</v>
      </c>
    </row>
    <row r="810" spans="1:9" ht="18" x14ac:dyDescent="0.2">
      <c r="A810" s="2">
        <v>41876</v>
      </c>
      <c r="B810" s="3">
        <v>0.46</v>
      </c>
      <c r="C810">
        <f t="shared" si="48"/>
        <v>0.43737819612696083</v>
      </c>
      <c r="E810" s="18">
        <f t="shared" si="50"/>
        <v>96023.570755238339</v>
      </c>
      <c r="G810" s="3">
        <v>44.21</v>
      </c>
      <c r="H810" s="18">
        <f t="shared" si="49"/>
        <v>42.195057463551755</v>
      </c>
      <c r="I810">
        <f t="shared" si="51"/>
        <v>437235.82000758965</v>
      </c>
    </row>
    <row r="811" spans="1:9" ht="18" x14ac:dyDescent="0.2">
      <c r="A811" s="2">
        <v>41883</v>
      </c>
      <c r="B811" s="3">
        <v>0.48</v>
      </c>
      <c r="C811">
        <f t="shared" si="48"/>
        <v>0.44143741554344074</v>
      </c>
      <c r="E811" s="18">
        <f t="shared" si="50"/>
        <v>96023.570755238339</v>
      </c>
      <c r="G811" s="3">
        <v>44.3</v>
      </c>
      <c r="H811" s="18">
        <f t="shared" si="49"/>
        <v>42.395528181308734</v>
      </c>
      <c r="I811">
        <f t="shared" si="51"/>
        <v>437235.82000758965</v>
      </c>
    </row>
    <row r="812" spans="1:9" ht="18" x14ac:dyDescent="0.2">
      <c r="A812" s="2">
        <v>41890</v>
      </c>
      <c r="B812" s="3">
        <v>0.46</v>
      </c>
      <c r="C812">
        <f t="shared" si="48"/>
        <v>0.44320528072977972</v>
      </c>
      <c r="E812" s="18">
        <f t="shared" si="50"/>
        <v>96023.570755238339</v>
      </c>
      <c r="G812" s="3">
        <v>45.09</v>
      </c>
      <c r="H812" s="18">
        <f t="shared" si="49"/>
        <v>42.652144544993618</v>
      </c>
      <c r="I812">
        <f t="shared" si="51"/>
        <v>437235.82000758965</v>
      </c>
    </row>
    <row r="813" spans="1:9" ht="18" x14ac:dyDescent="0.2">
      <c r="A813" s="2">
        <v>41897</v>
      </c>
      <c r="B813" s="3">
        <v>0.46</v>
      </c>
      <c r="C813">
        <f t="shared" si="48"/>
        <v>0.44480477780313404</v>
      </c>
      <c r="E813" s="18">
        <f t="shared" si="50"/>
        <v>96023.570755238339</v>
      </c>
      <c r="G813" s="3">
        <v>44.69</v>
      </c>
      <c r="H813" s="18">
        <f t="shared" si="49"/>
        <v>42.846226016898989</v>
      </c>
      <c r="I813">
        <f t="shared" si="51"/>
        <v>437235.82000758965</v>
      </c>
    </row>
    <row r="814" spans="1:9" ht="18" x14ac:dyDescent="0.2">
      <c r="A814" s="2">
        <v>41911</v>
      </c>
      <c r="B814" s="3">
        <v>0.44</v>
      </c>
      <c r="C814">
        <f t="shared" si="48"/>
        <v>0.4443471799171213</v>
      </c>
      <c r="E814" s="18">
        <f t="shared" si="50"/>
        <v>96023.570755238339</v>
      </c>
      <c r="G814" s="3">
        <v>43.47</v>
      </c>
      <c r="H814" s="18">
        <f t="shared" si="49"/>
        <v>42.905633062908606</v>
      </c>
      <c r="I814">
        <f t="shared" si="51"/>
        <v>437235.82000758965</v>
      </c>
    </row>
    <row r="815" spans="1:9" ht="18" x14ac:dyDescent="0.2">
      <c r="A815" s="2">
        <v>41918</v>
      </c>
      <c r="B815" s="3">
        <v>0.4</v>
      </c>
      <c r="C815">
        <f t="shared" si="48"/>
        <v>0.44012363897263357</v>
      </c>
      <c r="E815" s="18">
        <f t="shared" si="50"/>
        <v>87294.155232034856</v>
      </c>
      <c r="G815" s="3">
        <v>41.75</v>
      </c>
      <c r="H815" s="18">
        <f t="shared" si="49"/>
        <v>42.795572771203027</v>
      </c>
      <c r="I815">
        <f t="shared" si="51"/>
        <v>437235.82000758965</v>
      </c>
    </row>
    <row r="816" spans="1:9" ht="18" x14ac:dyDescent="0.2">
      <c r="A816" s="2">
        <v>41932</v>
      </c>
      <c r="B816" s="3">
        <v>0.44</v>
      </c>
      <c r="C816">
        <f t="shared" si="48"/>
        <v>0.44011186383238277</v>
      </c>
      <c r="E816" s="18">
        <f t="shared" si="50"/>
        <v>96023.570755238339</v>
      </c>
      <c r="G816" s="3">
        <v>43.64</v>
      </c>
      <c r="H816" s="18">
        <f t="shared" si="49"/>
        <v>42.875994412040832</v>
      </c>
      <c r="I816">
        <f t="shared" si="51"/>
        <v>457029.24994326255</v>
      </c>
    </row>
    <row r="817" spans="1:9" ht="18" x14ac:dyDescent="0.2">
      <c r="A817" s="2">
        <v>41939</v>
      </c>
      <c r="B817" s="3">
        <v>0.47</v>
      </c>
      <c r="C817">
        <f t="shared" si="48"/>
        <v>0.44295835299120345</v>
      </c>
      <c r="E817" s="18">
        <f t="shared" si="50"/>
        <v>102570.63239764095</v>
      </c>
      <c r="G817" s="3">
        <v>44.93</v>
      </c>
      <c r="H817" s="18">
        <f t="shared" si="49"/>
        <v>43.071613991846469</v>
      </c>
      <c r="I817">
        <f t="shared" si="51"/>
        <v>457029.24994326255</v>
      </c>
    </row>
    <row r="818" spans="1:9" ht="18" x14ac:dyDescent="0.2">
      <c r="A818" s="2">
        <v>41953</v>
      </c>
      <c r="B818" s="3">
        <v>0.47</v>
      </c>
      <c r="C818">
        <f t="shared" si="48"/>
        <v>0.44553374794442219</v>
      </c>
      <c r="E818" s="18">
        <f t="shared" si="50"/>
        <v>102570.63239764095</v>
      </c>
      <c r="G818" s="3">
        <v>44.78</v>
      </c>
      <c r="H818" s="18">
        <f t="shared" si="49"/>
        <v>43.234317421194426</v>
      </c>
      <c r="I818">
        <f t="shared" si="51"/>
        <v>457029.24994326255</v>
      </c>
    </row>
    <row r="819" spans="1:9" ht="18" x14ac:dyDescent="0.2">
      <c r="A819" s="2">
        <v>41960</v>
      </c>
      <c r="B819" s="3">
        <v>0.49</v>
      </c>
      <c r="C819">
        <f t="shared" si="48"/>
        <v>0.44976862909257248</v>
      </c>
      <c r="E819" s="18">
        <f t="shared" si="50"/>
        <v>102570.63239764095</v>
      </c>
      <c r="G819" s="3">
        <v>44.91</v>
      </c>
      <c r="H819" s="18">
        <f t="shared" si="49"/>
        <v>43.393906238223529</v>
      </c>
      <c r="I819">
        <f t="shared" si="51"/>
        <v>457029.24994326255</v>
      </c>
    </row>
    <row r="820" spans="1:9" ht="18" x14ac:dyDescent="0.2">
      <c r="A820" s="2">
        <v>41967</v>
      </c>
      <c r="B820" s="3">
        <v>0.5</v>
      </c>
      <c r="C820">
        <f t="shared" si="48"/>
        <v>0.45455256917899417</v>
      </c>
      <c r="E820" s="18">
        <f t="shared" si="50"/>
        <v>102570.63239764095</v>
      </c>
      <c r="G820" s="3">
        <v>44.69</v>
      </c>
      <c r="H820" s="18">
        <f t="shared" si="49"/>
        <v>43.517343739345101</v>
      </c>
      <c r="I820">
        <f t="shared" si="51"/>
        <v>457029.24994326255</v>
      </c>
    </row>
    <row r="821" spans="1:9" ht="18" x14ac:dyDescent="0.2">
      <c r="A821" s="2">
        <v>41974</v>
      </c>
      <c r="B821" s="3">
        <v>0.51</v>
      </c>
      <c r="C821">
        <f t="shared" si="48"/>
        <v>0.45983327687623282</v>
      </c>
      <c r="E821" s="18">
        <f t="shared" si="50"/>
        <v>102570.63239764095</v>
      </c>
      <c r="G821" s="3">
        <v>46.58</v>
      </c>
      <c r="H821" s="18">
        <f t="shared" si="49"/>
        <v>43.809025287978898</v>
      </c>
      <c r="I821">
        <f t="shared" si="51"/>
        <v>457029.24994326255</v>
      </c>
    </row>
    <row r="822" spans="1:9" ht="18" x14ac:dyDescent="0.2">
      <c r="A822" s="2">
        <v>41981</v>
      </c>
      <c r="B822" s="3">
        <v>0.47</v>
      </c>
      <c r="C822">
        <f t="shared" si="48"/>
        <v>0.4608015362213535</v>
      </c>
      <c r="E822" s="18">
        <f t="shared" si="50"/>
        <v>102570.63239764095</v>
      </c>
      <c r="G822" s="3">
        <v>44.6</v>
      </c>
      <c r="H822" s="18">
        <f t="shared" si="49"/>
        <v>43.884356212933291</v>
      </c>
      <c r="I822">
        <f t="shared" si="51"/>
        <v>457029.24994326255</v>
      </c>
    </row>
    <row r="823" spans="1:9" ht="18" x14ac:dyDescent="0.2">
      <c r="A823" s="2">
        <v>41988</v>
      </c>
      <c r="B823" s="3">
        <v>0.49</v>
      </c>
      <c r="C823">
        <f t="shared" si="48"/>
        <v>0.46358234229551032</v>
      </c>
      <c r="E823" s="18">
        <f t="shared" si="50"/>
        <v>102570.63239764095</v>
      </c>
      <c r="G823" s="3">
        <v>46.01</v>
      </c>
      <c r="H823" s="18">
        <f t="shared" si="49"/>
        <v>44.086798478368216</v>
      </c>
      <c r="I823">
        <f t="shared" si="51"/>
        <v>457029.24994326255</v>
      </c>
    </row>
    <row r="824" spans="1:9" ht="18" x14ac:dyDescent="0.2">
      <c r="A824" s="2">
        <v>41995</v>
      </c>
      <c r="B824" s="3">
        <v>0.49</v>
      </c>
      <c r="C824">
        <f t="shared" si="48"/>
        <v>0.46609830969593791</v>
      </c>
      <c r="E824" s="18">
        <f t="shared" si="50"/>
        <v>102570.63239764095</v>
      </c>
      <c r="G824" s="3">
        <v>46.47</v>
      </c>
      <c r="H824" s="18">
        <f t="shared" si="49"/>
        <v>44.313770051856956</v>
      </c>
      <c r="I824">
        <f t="shared" si="51"/>
        <v>457029.24994326255</v>
      </c>
    </row>
    <row r="825" spans="1:9" ht="18" x14ac:dyDescent="0.2">
      <c r="A825" s="2">
        <v>42002</v>
      </c>
      <c r="B825" s="3">
        <v>0.48</v>
      </c>
      <c r="C825">
        <f t="shared" si="48"/>
        <v>0.46742228020108667</v>
      </c>
      <c r="E825" s="18">
        <f t="shared" si="50"/>
        <v>102570.63239764095</v>
      </c>
      <c r="G825" s="3">
        <v>46.42</v>
      </c>
      <c r="H825" s="18">
        <f t="shared" si="49"/>
        <v>44.514363380251531</v>
      </c>
      <c r="I825">
        <f t="shared" si="51"/>
        <v>457029.24994326255</v>
      </c>
    </row>
    <row r="826" spans="1:9" ht="18" x14ac:dyDescent="0.2">
      <c r="A826" s="2">
        <v>42009</v>
      </c>
      <c r="B826" s="3">
        <v>0.48</v>
      </c>
      <c r="C826">
        <f t="shared" si="48"/>
        <v>0.46862015827717363</v>
      </c>
      <c r="E826" s="18">
        <f t="shared" si="50"/>
        <v>102570.63239764095</v>
      </c>
      <c r="G826" s="3">
        <v>44.37</v>
      </c>
      <c r="H826" s="18">
        <f t="shared" si="49"/>
        <v>44.500614486894243</v>
      </c>
      <c r="I826">
        <f t="shared" si="51"/>
        <v>457029.24994326255</v>
      </c>
    </row>
    <row r="827" spans="1:9" ht="18" x14ac:dyDescent="0.2">
      <c r="A827" s="2">
        <v>42016</v>
      </c>
      <c r="B827" s="3">
        <v>0.48</v>
      </c>
      <c r="C827">
        <f t="shared" si="48"/>
        <v>0.46970395272696663</v>
      </c>
      <c r="E827" s="18">
        <f t="shared" si="50"/>
        <v>102570.63239764095</v>
      </c>
      <c r="G827" s="3">
        <v>41.82</v>
      </c>
      <c r="H827" s="18">
        <f t="shared" si="49"/>
        <v>44.245317869094791</v>
      </c>
      <c r="I827">
        <f t="shared" si="51"/>
        <v>430763.20109594864</v>
      </c>
    </row>
    <row r="828" spans="1:9" ht="18" x14ac:dyDescent="0.2">
      <c r="A828" s="2">
        <v>42030</v>
      </c>
      <c r="B828" s="3">
        <v>0.46</v>
      </c>
      <c r="C828">
        <f t="shared" si="48"/>
        <v>0.46877976675296984</v>
      </c>
      <c r="E828" s="18">
        <f t="shared" si="50"/>
        <v>102570.63239764095</v>
      </c>
      <c r="G828" s="3">
        <v>40.659999999999997</v>
      </c>
      <c r="H828" s="18">
        <f t="shared" si="49"/>
        <v>43.903859024419098</v>
      </c>
      <c r="I828">
        <f t="shared" si="51"/>
        <v>418814.72397324897</v>
      </c>
    </row>
    <row r="829" spans="1:9" ht="18" x14ac:dyDescent="0.2">
      <c r="A829" s="2">
        <v>42044</v>
      </c>
      <c r="B829" s="3">
        <v>0.54</v>
      </c>
      <c r="C829">
        <f t="shared" si="48"/>
        <v>0.47556264610982985</v>
      </c>
      <c r="E829" s="18">
        <f t="shared" si="50"/>
        <v>120409.00324940459</v>
      </c>
      <c r="G829" s="3">
        <v>44.61</v>
      </c>
      <c r="H829" s="18">
        <f t="shared" si="49"/>
        <v>43.971110545902995</v>
      </c>
      <c r="I829">
        <f t="shared" si="51"/>
        <v>459501.3486583039</v>
      </c>
    </row>
    <row r="830" spans="1:9" ht="18" x14ac:dyDescent="0.2">
      <c r="A830" s="2">
        <v>42058</v>
      </c>
      <c r="B830" s="3">
        <v>0.53</v>
      </c>
      <c r="C830">
        <f t="shared" si="48"/>
        <v>0.48074715600413176</v>
      </c>
      <c r="E830" s="18">
        <f t="shared" si="50"/>
        <v>120409.00324940459</v>
      </c>
      <c r="G830" s="3">
        <v>45.82</v>
      </c>
      <c r="H830" s="18">
        <f t="shared" si="49"/>
        <v>44.147195255816996</v>
      </c>
      <c r="I830">
        <f t="shared" si="51"/>
        <v>459501.3486583039</v>
      </c>
    </row>
    <row r="831" spans="1:9" ht="18" x14ac:dyDescent="0.2">
      <c r="A831" s="2">
        <v>42065</v>
      </c>
      <c r="B831" s="3">
        <v>0.54</v>
      </c>
      <c r="C831">
        <f t="shared" si="48"/>
        <v>0.48639028400373824</v>
      </c>
      <c r="E831" s="18">
        <f t="shared" si="50"/>
        <v>120409.00324940459</v>
      </c>
      <c r="G831" s="3">
        <v>45.52</v>
      </c>
      <c r="H831" s="18">
        <f t="shared" si="49"/>
        <v>44.277938564786808</v>
      </c>
      <c r="I831">
        <f t="shared" si="51"/>
        <v>459501.3486583039</v>
      </c>
    </row>
    <row r="832" spans="1:9" ht="18" x14ac:dyDescent="0.2">
      <c r="A832" s="2">
        <v>42072</v>
      </c>
      <c r="B832" s="3">
        <v>0.55000000000000004</v>
      </c>
      <c r="C832">
        <f t="shared" si="48"/>
        <v>0.49244835219385841</v>
      </c>
      <c r="E832" s="18">
        <f t="shared" si="50"/>
        <v>120409.00324940459</v>
      </c>
      <c r="G832" s="3">
        <v>45.61</v>
      </c>
      <c r="H832" s="18">
        <f t="shared" si="49"/>
        <v>44.404801558616633</v>
      </c>
      <c r="I832">
        <f t="shared" si="51"/>
        <v>459501.3486583039</v>
      </c>
    </row>
    <row r="833" spans="1:9" ht="18" x14ac:dyDescent="0.2">
      <c r="A833" s="2">
        <v>42079</v>
      </c>
      <c r="B833" s="3">
        <v>0.56999999999999995</v>
      </c>
      <c r="C833">
        <f t="shared" si="48"/>
        <v>0.49983422341349093</v>
      </c>
      <c r="E833" s="18">
        <f t="shared" si="50"/>
        <v>120409.00324940459</v>
      </c>
      <c r="G833" s="3">
        <v>46.17</v>
      </c>
      <c r="H833" s="18">
        <f t="shared" si="49"/>
        <v>44.57291569589124</v>
      </c>
      <c r="I833">
        <f t="shared" si="51"/>
        <v>459501.3486583039</v>
      </c>
    </row>
    <row r="834" spans="1:9" ht="18" x14ac:dyDescent="0.2">
      <c r="A834" s="2">
        <v>42086</v>
      </c>
      <c r="B834" s="3">
        <v>0.52</v>
      </c>
      <c r="C834">
        <f t="shared" si="48"/>
        <v>0.50175477356458709</v>
      </c>
      <c r="E834" s="18">
        <f t="shared" si="50"/>
        <v>120409.00324940459</v>
      </c>
      <c r="G834" s="3">
        <v>44.52</v>
      </c>
      <c r="H834" s="18">
        <f t="shared" si="49"/>
        <v>44.567876105806363</v>
      </c>
      <c r="I834">
        <f t="shared" si="51"/>
        <v>459501.3486583039</v>
      </c>
    </row>
    <row r="835" spans="1:9" ht="18" x14ac:dyDescent="0.2">
      <c r="A835" s="2">
        <v>42093</v>
      </c>
      <c r="B835" s="3">
        <v>0.51</v>
      </c>
      <c r="C835">
        <f t="shared" si="48"/>
        <v>0.50254003322510266</v>
      </c>
      <c r="E835" s="18">
        <f t="shared" si="50"/>
        <v>120409.00324940459</v>
      </c>
      <c r="G835" s="3">
        <v>45.25</v>
      </c>
      <c r="H835" s="18">
        <f t="shared" si="49"/>
        <v>44.632840286205756</v>
      </c>
      <c r="I835">
        <f t="shared" si="51"/>
        <v>467035.84965831653</v>
      </c>
    </row>
    <row r="836" spans="1:9" ht="18" x14ac:dyDescent="0.2">
      <c r="A836" s="2">
        <v>42100</v>
      </c>
      <c r="B836" s="3">
        <v>0.55000000000000004</v>
      </c>
      <c r="C836">
        <f t="shared" si="48"/>
        <v>0.50706003006080713</v>
      </c>
      <c r="E836" s="18">
        <f t="shared" si="50"/>
        <v>120409.00324940459</v>
      </c>
      <c r="G836" s="3">
        <v>46.44</v>
      </c>
      <c r="H836" s="18">
        <f t="shared" si="49"/>
        <v>44.80495073513854</v>
      </c>
      <c r="I836">
        <f t="shared" si="51"/>
        <v>467035.84965831653</v>
      </c>
    </row>
    <row r="837" spans="1:9" ht="18" x14ac:dyDescent="0.2">
      <c r="A837" s="2">
        <v>42107</v>
      </c>
      <c r="B837" s="3">
        <v>0.53</v>
      </c>
      <c r="C837">
        <f t="shared" si="48"/>
        <v>0.50924478910263504</v>
      </c>
      <c r="E837" s="18">
        <f t="shared" si="50"/>
        <v>120409.00324940459</v>
      </c>
      <c r="G837" s="3">
        <v>47.29</v>
      </c>
      <c r="H837" s="18">
        <f t="shared" si="49"/>
        <v>45.041622093696773</v>
      </c>
      <c r="I837">
        <f t="shared" si="51"/>
        <v>467035.84965831653</v>
      </c>
    </row>
    <row r="838" spans="1:9" ht="18" x14ac:dyDescent="0.2">
      <c r="A838" s="2">
        <v>42114</v>
      </c>
      <c r="B838" s="3">
        <v>0.53</v>
      </c>
      <c r="C838">
        <f t="shared" si="48"/>
        <v>0.51122147585476507</v>
      </c>
      <c r="E838" s="18">
        <f t="shared" si="50"/>
        <v>120409.00324940459</v>
      </c>
      <c r="G838" s="3">
        <v>47.11</v>
      </c>
      <c r="H838" s="18">
        <f t="shared" si="49"/>
        <v>45.23861046572565</v>
      </c>
      <c r="I838">
        <f t="shared" si="51"/>
        <v>467035.84965831653</v>
      </c>
    </row>
    <row r="839" spans="1:9" ht="18" x14ac:dyDescent="0.2">
      <c r="A839" s="2">
        <v>42121</v>
      </c>
      <c r="B839" s="3">
        <v>0.55000000000000004</v>
      </c>
      <c r="C839">
        <f t="shared" si="48"/>
        <v>0.51491466863050173</v>
      </c>
      <c r="E839" s="18">
        <f t="shared" si="50"/>
        <v>120409.00324940459</v>
      </c>
      <c r="G839" s="3">
        <v>47.87</v>
      </c>
      <c r="H839" s="18">
        <f t="shared" si="49"/>
        <v>45.489218992799394</v>
      </c>
      <c r="I839">
        <f t="shared" si="51"/>
        <v>467035.84965831653</v>
      </c>
    </row>
    <row r="840" spans="1:9" ht="18" x14ac:dyDescent="0.2">
      <c r="A840" s="2">
        <v>42149</v>
      </c>
      <c r="B840" s="3">
        <v>0.54</v>
      </c>
      <c r="C840">
        <f t="shared" si="48"/>
        <v>0.51730374780854915</v>
      </c>
      <c r="E840" s="18">
        <f t="shared" si="50"/>
        <v>120409.00324940459</v>
      </c>
      <c r="G840" s="3">
        <v>49.51</v>
      </c>
      <c r="H840" s="18">
        <f t="shared" si="49"/>
        <v>45.872150517294692</v>
      </c>
      <c r="I840">
        <f t="shared" si="51"/>
        <v>467035.84965831653</v>
      </c>
    </row>
    <row r="841" spans="1:9" ht="18" x14ac:dyDescent="0.2">
      <c r="A841" s="2">
        <v>42156</v>
      </c>
      <c r="B841" s="3">
        <v>0.54</v>
      </c>
      <c r="C841">
        <f t="shared" si="48"/>
        <v>0.51946529563630639</v>
      </c>
      <c r="E841" s="18">
        <f t="shared" si="50"/>
        <v>120409.00324940459</v>
      </c>
      <c r="G841" s="3">
        <v>50.74</v>
      </c>
      <c r="H841" s="18">
        <f t="shared" si="49"/>
        <v>46.335755229933291</v>
      </c>
      <c r="I841">
        <f t="shared" si="51"/>
        <v>467035.84965831653</v>
      </c>
    </row>
    <row r="842" spans="1:9" ht="18" x14ac:dyDescent="0.2">
      <c r="A842" s="2">
        <v>42163</v>
      </c>
      <c r="B842" s="3">
        <v>0.51</v>
      </c>
      <c r="C842">
        <f t="shared" si="48"/>
        <v>0.51856383890903912</v>
      </c>
      <c r="E842" s="18">
        <f t="shared" si="50"/>
        <v>120409.00324940459</v>
      </c>
      <c r="G842" s="3">
        <v>51.37</v>
      </c>
      <c r="H842" s="18">
        <f t="shared" si="49"/>
        <v>46.815207112796784</v>
      </c>
      <c r="I842">
        <f t="shared" si="51"/>
        <v>467035.84965831653</v>
      </c>
    </row>
    <row r="843" spans="1:9" ht="18" x14ac:dyDescent="0.2">
      <c r="A843" s="2">
        <v>42170</v>
      </c>
      <c r="B843" s="3">
        <v>0.53</v>
      </c>
      <c r="C843">
        <f t="shared" si="48"/>
        <v>0.51965299710817825</v>
      </c>
      <c r="E843" s="18">
        <f t="shared" si="50"/>
        <v>125130.92494545967</v>
      </c>
      <c r="G843" s="3">
        <v>51.24</v>
      </c>
      <c r="H843" s="18">
        <f t="shared" si="49"/>
        <v>47.236615959197088</v>
      </c>
      <c r="I843">
        <f t="shared" si="51"/>
        <v>467035.84965831653</v>
      </c>
    </row>
    <row r="844" spans="1:9" ht="18" x14ac:dyDescent="0.2">
      <c r="A844" s="2">
        <v>42177</v>
      </c>
      <c r="B844" s="3">
        <v>0.5</v>
      </c>
      <c r="C844">
        <f t="shared" si="48"/>
        <v>0.51778128309787552</v>
      </c>
      <c r="E844" s="18">
        <f t="shared" si="50"/>
        <v>125130.92494545967</v>
      </c>
      <c r="G844" s="3">
        <v>51.89</v>
      </c>
      <c r="H844" s="18">
        <f t="shared" si="49"/>
        <v>47.679795391654508</v>
      </c>
      <c r="I844">
        <f t="shared" si="51"/>
        <v>467035.84965831653</v>
      </c>
    </row>
    <row r="845" spans="1:9" ht="18" x14ac:dyDescent="0.2">
      <c r="A845" s="2">
        <v>42184</v>
      </c>
      <c r="B845" s="3">
        <v>0.49</v>
      </c>
      <c r="C845">
        <f t="shared" si="48"/>
        <v>0.51513544661236355</v>
      </c>
      <c r="E845" s="18">
        <f t="shared" si="50"/>
        <v>122628.30644655047</v>
      </c>
      <c r="G845" s="3">
        <v>50.82</v>
      </c>
      <c r="H845" s="18">
        <f t="shared" si="49"/>
        <v>47.978862497211225</v>
      </c>
      <c r="I845">
        <f t="shared" si="51"/>
        <v>467035.84965831653</v>
      </c>
    </row>
    <row r="846" spans="1:9" ht="18" x14ac:dyDescent="0.2">
      <c r="A846" s="2">
        <v>42191</v>
      </c>
      <c r="B846" s="3">
        <v>0.48</v>
      </c>
      <c r="C846">
        <f t="shared" si="48"/>
        <v>0.5117892136016623</v>
      </c>
      <c r="E846" s="18">
        <f t="shared" si="50"/>
        <v>120125.68794764129</v>
      </c>
      <c r="G846" s="3">
        <v>50.79</v>
      </c>
      <c r="H846" s="18">
        <f t="shared" si="49"/>
        <v>48.246589878429205</v>
      </c>
      <c r="I846">
        <f t="shared" si="51"/>
        <v>467035.84965831653</v>
      </c>
    </row>
    <row r="847" spans="1:9" ht="18" x14ac:dyDescent="0.2">
      <c r="A847" s="2">
        <v>42198</v>
      </c>
      <c r="B847" s="3">
        <v>0.49</v>
      </c>
      <c r="C847">
        <f t="shared" si="48"/>
        <v>0.50971405040150397</v>
      </c>
      <c r="E847" s="18">
        <f t="shared" si="50"/>
        <v>122628.30644655047</v>
      </c>
      <c r="G847" s="3">
        <v>52.43</v>
      </c>
      <c r="H847" s="18">
        <f t="shared" si="49"/>
        <v>48.645009890007373</v>
      </c>
      <c r="I847">
        <f t="shared" si="51"/>
        <v>467035.84965831653</v>
      </c>
    </row>
    <row r="848" spans="1:9" ht="18" x14ac:dyDescent="0.2">
      <c r="A848" s="2">
        <v>42205</v>
      </c>
      <c r="B848" s="3">
        <v>0.47</v>
      </c>
      <c r="C848">
        <f t="shared" si="48"/>
        <v>0.50593175988707506</v>
      </c>
      <c r="E848" s="18">
        <f t="shared" si="50"/>
        <v>117623.06944873207</v>
      </c>
      <c r="G848" s="3">
        <v>52.2</v>
      </c>
      <c r="H848" s="18">
        <f t="shared" si="49"/>
        <v>48.983580376673338</v>
      </c>
      <c r="I848">
        <f t="shared" si="51"/>
        <v>467035.84965831653</v>
      </c>
    </row>
    <row r="849" spans="1:9" ht="18" x14ac:dyDescent="0.2">
      <c r="A849" s="2">
        <v>42212</v>
      </c>
      <c r="B849" s="3">
        <v>0.48</v>
      </c>
      <c r="C849">
        <f t="shared" si="48"/>
        <v>0.50346206846925834</v>
      </c>
      <c r="E849" s="18">
        <f t="shared" si="50"/>
        <v>120125.68794764126</v>
      </c>
      <c r="G849" s="3">
        <v>51.91</v>
      </c>
      <c r="H849" s="18">
        <f t="shared" si="49"/>
        <v>49.262287007466355</v>
      </c>
      <c r="I849">
        <f t="shared" si="51"/>
        <v>467035.84965831653</v>
      </c>
    </row>
    <row r="850" spans="1:9" ht="18" x14ac:dyDescent="0.2">
      <c r="A850" s="2">
        <v>42219</v>
      </c>
      <c r="B850" s="3">
        <v>0.56000000000000005</v>
      </c>
      <c r="C850">
        <f t="shared" si="48"/>
        <v>0.50884663337694802</v>
      </c>
      <c r="E850" s="18">
        <f t="shared" si="50"/>
        <v>140146.63593891484</v>
      </c>
      <c r="G850" s="3">
        <v>51.55</v>
      </c>
      <c r="H850" s="18">
        <f t="shared" si="49"/>
        <v>49.480164435326699</v>
      </c>
      <c r="I850">
        <f t="shared" si="51"/>
        <v>467035.84965831653</v>
      </c>
    </row>
    <row r="851" spans="1:9" ht="18" x14ac:dyDescent="0.2">
      <c r="A851" s="2">
        <v>42226</v>
      </c>
      <c r="B851" s="3">
        <v>0.56999999999999995</v>
      </c>
      <c r="C851">
        <f t="shared" si="48"/>
        <v>0.51467076353152441</v>
      </c>
      <c r="E851" s="18">
        <f t="shared" si="50"/>
        <v>140146.63593891484</v>
      </c>
      <c r="G851" s="3">
        <v>51.43</v>
      </c>
      <c r="H851" s="18">
        <f t="shared" si="49"/>
        <v>49.665863060533681</v>
      </c>
      <c r="I851">
        <f t="shared" si="51"/>
        <v>467035.84965831653</v>
      </c>
    </row>
    <row r="852" spans="1:9" ht="18" x14ac:dyDescent="0.2">
      <c r="A852" s="2">
        <v>42233</v>
      </c>
      <c r="B852" s="3">
        <v>0.52</v>
      </c>
      <c r="C852">
        <f t="shared" si="48"/>
        <v>0.51517830986185542</v>
      </c>
      <c r="E852" s="18">
        <f t="shared" si="50"/>
        <v>140146.63593891484</v>
      </c>
      <c r="G852" s="3">
        <v>48.18</v>
      </c>
      <c r="H852" s="18">
        <f t="shared" si="49"/>
        <v>49.52435229286381</v>
      </c>
      <c r="I852">
        <f t="shared" si="51"/>
        <v>467035.84965831653</v>
      </c>
    </row>
    <row r="853" spans="1:9" ht="18" x14ac:dyDescent="0.2">
      <c r="A853" s="2">
        <v>42240</v>
      </c>
      <c r="B853" s="3">
        <v>0.55000000000000004</v>
      </c>
      <c r="C853">
        <f t="shared" si="48"/>
        <v>0.51849466130358346</v>
      </c>
      <c r="E853" s="18">
        <f t="shared" si="50"/>
        <v>140146.63593891484</v>
      </c>
      <c r="G853" s="3">
        <v>48.58</v>
      </c>
      <c r="H853" s="18">
        <f t="shared" si="49"/>
        <v>49.434413979257734</v>
      </c>
      <c r="I853">
        <f t="shared" si="51"/>
        <v>470913.27472812409</v>
      </c>
    </row>
    <row r="854" spans="1:9" ht="18" x14ac:dyDescent="0.2">
      <c r="A854" s="2">
        <v>42247</v>
      </c>
      <c r="B854" s="3">
        <v>0.53</v>
      </c>
      <c r="C854">
        <f t="shared" si="48"/>
        <v>0.51959040784609933</v>
      </c>
      <c r="E854" s="18">
        <f t="shared" si="50"/>
        <v>140146.63593891484</v>
      </c>
      <c r="G854" s="3">
        <v>46.59</v>
      </c>
      <c r="H854" s="18">
        <f t="shared" si="49"/>
        <v>49.163517409804619</v>
      </c>
      <c r="I854">
        <f t="shared" si="51"/>
        <v>451623.08500583167</v>
      </c>
    </row>
    <row r="855" spans="1:9" ht="18" x14ac:dyDescent="0.2">
      <c r="A855" s="2">
        <v>42254</v>
      </c>
      <c r="B855" s="3">
        <v>0.55000000000000004</v>
      </c>
      <c r="C855">
        <f t="shared" si="48"/>
        <v>0.52248655947980416</v>
      </c>
      <c r="E855" s="18">
        <f t="shared" si="50"/>
        <v>140146.63593891484</v>
      </c>
      <c r="G855" s="3">
        <v>47.39</v>
      </c>
      <c r="H855" s="18">
        <f t="shared" si="49"/>
        <v>48.994610989823229</v>
      </c>
      <c r="I855">
        <f t="shared" si="51"/>
        <v>459377.93514544668</v>
      </c>
    </row>
    <row r="856" spans="1:9" ht="18" x14ac:dyDescent="0.2">
      <c r="A856" s="2">
        <v>42261</v>
      </c>
      <c r="B856" s="3">
        <v>0.56999999999999995</v>
      </c>
      <c r="C856">
        <f t="shared" si="48"/>
        <v>0.52701164905315612</v>
      </c>
      <c r="E856" s="18">
        <f t="shared" si="50"/>
        <v>140146.63593891484</v>
      </c>
      <c r="G856" s="3">
        <v>46.16</v>
      </c>
      <c r="H856" s="18">
        <f t="shared" si="49"/>
        <v>48.724648038411495</v>
      </c>
      <c r="I856">
        <f t="shared" si="51"/>
        <v>447454.8530557885</v>
      </c>
    </row>
    <row r="857" spans="1:9" ht="18" x14ac:dyDescent="0.2">
      <c r="A857" s="2">
        <v>42268</v>
      </c>
      <c r="B857" s="3">
        <v>0.56999999999999995</v>
      </c>
      <c r="C857">
        <f t="shared" ref="C857:C920" si="52">(B857-C856)*$D$4+C856</f>
        <v>0.53110577771476031</v>
      </c>
      <c r="E857" s="18">
        <f t="shared" si="50"/>
        <v>140146.63593891484</v>
      </c>
      <c r="G857" s="3">
        <v>46.57</v>
      </c>
      <c r="H857" s="18">
        <f t="shared" si="49"/>
        <v>48.519443463324684</v>
      </c>
      <c r="I857">
        <f t="shared" si="51"/>
        <v>451429.21375234122</v>
      </c>
    </row>
    <row r="858" spans="1:9" ht="18" x14ac:dyDescent="0.2">
      <c r="A858" s="2">
        <v>42275</v>
      </c>
      <c r="B858" s="3">
        <v>0.6</v>
      </c>
      <c r="C858">
        <f t="shared" si="52"/>
        <v>0.53766713221811646</v>
      </c>
      <c r="E858" s="18">
        <f t="shared" si="50"/>
        <v>140146.63593891484</v>
      </c>
      <c r="G858" s="3">
        <v>46.07</v>
      </c>
      <c r="H858" s="18">
        <f t="shared" ref="H858:H921" si="53">(G858-H857)*$D$4+H857</f>
        <v>48.286163133484237</v>
      </c>
      <c r="I858">
        <f t="shared" si="51"/>
        <v>446582.43241508183</v>
      </c>
    </row>
    <row r="859" spans="1:9" ht="18" x14ac:dyDescent="0.2">
      <c r="A859" s="2">
        <v>42282</v>
      </c>
      <c r="B859" s="3">
        <v>0.63</v>
      </c>
      <c r="C859">
        <f t="shared" si="52"/>
        <v>0.54646073867353395</v>
      </c>
      <c r="E859" s="18">
        <f t="shared" si="50"/>
        <v>140146.63593891484</v>
      </c>
      <c r="G859" s="3">
        <v>47.25</v>
      </c>
      <c r="H859" s="18">
        <f t="shared" si="53"/>
        <v>48.187480930295266</v>
      </c>
      <c r="I859">
        <f t="shared" si="51"/>
        <v>458020.83637101401</v>
      </c>
    </row>
    <row r="860" spans="1:9" ht="18" x14ac:dyDescent="0.2">
      <c r="A860" s="2">
        <v>42289</v>
      </c>
      <c r="B860" s="3">
        <v>0.68</v>
      </c>
      <c r="C860">
        <f t="shared" si="52"/>
        <v>0.55917876356176877</v>
      </c>
      <c r="E860" s="18">
        <f t="shared" si="50"/>
        <v>140146.63593891484</v>
      </c>
      <c r="G860" s="3">
        <v>47.63</v>
      </c>
      <c r="H860" s="18">
        <f t="shared" si="53"/>
        <v>48.13438750836238</v>
      </c>
      <c r="I860">
        <f t="shared" si="51"/>
        <v>461704.39018733124</v>
      </c>
    </row>
    <row r="861" spans="1:9" ht="18" x14ac:dyDescent="0.2">
      <c r="A861" s="2">
        <v>42296</v>
      </c>
      <c r="B861" s="3">
        <v>0.69</v>
      </c>
      <c r="C861">
        <f t="shared" si="52"/>
        <v>0.5716379289368384</v>
      </c>
      <c r="E861" s="18">
        <f t="shared" ref="E861:E924" si="54">IF(C860&gt;B860,E860*B861/B860,E860)</f>
        <v>140146.63593891484</v>
      </c>
      <c r="G861" s="3">
        <v>48.73</v>
      </c>
      <c r="H861" s="18">
        <f t="shared" si="53"/>
        <v>48.191112507565961</v>
      </c>
      <c r="I861">
        <f t="shared" si="51"/>
        <v>472367.30912930187</v>
      </c>
    </row>
    <row r="862" spans="1:9" ht="18" x14ac:dyDescent="0.2">
      <c r="A862" s="2">
        <v>42303</v>
      </c>
      <c r="B862" s="3">
        <v>0.69</v>
      </c>
      <c r="C862">
        <f t="shared" si="52"/>
        <v>0.58291050713332992</v>
      </c>
      <c r="E862" s="18">
        <f t="shared" si="54"/>
        <v>140146.63593891484</v>
      </c>
      <c r="G862" s="3">
        <v>49.02</v>
      </c>
      <c r="H862" s="18">
        <f t="shared" si="53"/>
        <v>48.270054173512058</v>
      </c>
      <c r="I862">
        <f t="shared" ref="I862:I925" si="55">IF(H861&gt;G861,I861*G862/G861,I861)</f>
        <v>472367.30912930187</v>
      </c>
    </row>
    <row r="863" spans="1:9" ht="18" x14ac:dyDescent="0.2">
      <c r="A863" s="2">
        <v>42310</v>
      </c>
      <c r="B863" s="3">
        <v>0.77</v>
      </c>
      <c r="C863">
        <f t="shared" si="52"/>
        <v>0.60072855407301273</v>
      </c>
      <c r="E863" s="18">
        <f t="shared" si="54"/>
        <v>140146.63593891484</v>
      </c>
      <c r="G863" s="3">
        <v>52.24</v>
      </c>
      <c r="H863" s="18">
        <f t="shared" si="53"/>
        <v>48.648144252225194</v>
      </c>
      <c r="I863">
        <f t="shared" si="55"/>
        <v>472367.30912930187</v>
      </c>
    </row>
    <row r="864" spans="1:9" ht="18" x14ac:dyDescent="0.2">
      <c r="A864" s="2">
        <v>42317</v>
      </c>
      <c r="B864" s="3">
        <v>0.72</v>
      </c>
      <c r="C864">
        <f t="shared" si="52"/>
        <v>0.61208773939939243</v>
      </c>
      <c r="E864" s="18">
        <f t="shared" si="54"/>
        <v>140146.63593891484</v>
      </c>
      <c r="G864" s="3">
        <v>50.02</v>
      </c>
      <c r="H864" s="18">
        <f t="shared" si="53"/>
        <v>48.778797180584696</v>
      </c>
      <c r="I864">
        <f t="shared" si="55"/>
        <v>472367.30912930187</v>
      </c>
    </row>
    <row r="865" spans="1:9" ht="18" x14ac:dyDescent="0.2">
      <c r="A865" s="2">
        <v>42324</v>
      </c>
      <c r="B865" s="3">
        <v>0.76</v>
      </c>
      <c r="C865">
        <f t="shared" si="52"/>
        <v>0.62617462136135504</v>
      </c>
      <c r="E865" s="18">
        <f t="shared" si="54"/>
        <v>140146.63593891484</v>
      </c>
      <c r="G865" s="3">
        <v>51.53</v>
      </c>
      <c r="H865" s="18">
        <f t="shared" si="53"/>
        <v>49.040816496719486</v>
      </c>
      <c r="I865">
        <f t="shared" si="55"/>
        <v>472367.30912930187</v>
      </c>
    </row>
    <row r="866" spans="1:9" ht="18" x14ac:dyDescent="0.2">
      <c r="A866" s="2">
        <v>42331</v>
      </c>
      <c r="B866" s="3">
        <v>0.77</v>
      </c>
      <c r="C866">
        <f t="shared" si="52"/>
        <v>0.63987227646979739</v>
      </c>
      <c r="E866" s="18">
        <f t="shared" si="54"/>
        <v>140146.63593891484</v>
      </c>
      <c r="G866" s="3">
        <v>51.25</v>
      </c>
      <c r="H866" s="18">
        <f t="shared" si="53"/>
        <v>49.251214925603342</v>
      </c>
      <c r="I866">
        <f t="shared" si="55"/>
        <v>472367.30912930187</v>
      </c>
    </row>
    <row r="867" spans="1:9" ht="18" x14ac:dyDescent="0.2">
      <c r="A867" s="2">
        <v>42338</v>
      </c>
      <c r="B867" s="3">
        <v>0.82</v>
      </c>
      <c r="C867">
        <f t="shared" si="52"/>
        <v>0.65702729775838808</v>
      </c>
      <c r="E867" s="18">
        <f t="shared" si="54"/>
        <v>140146.63593891484</v>
      </c>
      <c r="G867" s="3">
        <v>51.8</v>
      </c>
      <c r="H867" s="18">
        <f t="shared" si="53"/>
        <v>49.493956361260167</v>
      </c>
      <c r="I867">
        <f t="shared" si="55"/>
        <v>472367.30912930187</v>
      </c>
    </row>
    <row r="868" spans="1:9" ht="18" x14ac:dyDescent="0.2">
      <c r="A868" s="2">
        <v>42345</v>
      </c>
      <c r="B868" s="3">
        <v>0.79</v>
      </c>
      <c r="C868">
        <f t="shared" si="52"/>
        <v>0.66969136463854162</v>
      </c>
      <c r="E868" s="18">
        <f t="shared" si="54"/>
        <v>140146.63593891484</v>
      </c>
      <c r="G868" s="3">
        <v>48.89</v>
      </c>
      <c r="H868" s="18">
        <f t="shared" si="53"/>
        <v>49.43643670780682</v>
      </c>
      <c r="I868">
        <f t="shared" si="55"/>
        <v>472367.30912930187</v>
      </c>
    </row>
    <row r="869" spans="1:9" ht="18" x14ac:dyDescent="0.2">
      <c r="A869" s="2">
        <v>42352</v>
      </c>
      <c r="B869" s="3">
        <v>0.78</v>
      </c>
      <c r="C869">
        <f t="shared" si="52"/>
        <v>0.68019694895868055</v>
      </c>
      <c r="E869" s="18">
        <f t="shared" si="54"/>
        <v>140146.63593891484</v>
      </c>
      <c r="G869" s="3">
        <v>49.14</v>
      </c>
      <c r="H869" s="18">
        <f t="shared" si="53"/>
        <v>49.408204640396647</v>
      </c>
      <c r="I869">
        <f t="shared" si="55"/>
        <v>474782.76888144598</v>
      </c>
    </row>
    <row r="870" spans="1:9" ht="18" x14ac:dyDescent="0.2">
      <c r="A870" s="2">
        <v>42359</v>
      </c>
      <c r="B870" s="3">
        <v>0.81</v>
      </c>
      <c r="C870">
        <f t="shared" si="52"/>
        <v>0.69255914429594911</v>
      </c>
      <c r="E870" s="18">
        <f t="shared" si="54"/>
        <v>140146.63593891484</v>
      </c>
      <c r="G870" s="3">
        <v>50.82</v>
      </c>
      <c r="H870" s="18">
        <f t="shared" si="53"/>
        <v>49.542661341311252</v>
      </c>
      <c r="I870">
        <f t="shared" si="55"/>
        <v>491014.65841585444</v>
      </c>
    </row>
    <row r="871" spans="1:9" ht="18" x14ac:dyDescent="0.2">
      <c r="A871" s="2">
        <v>42366</v>
      </c>
      <c r="B871" s="3">
        <v>0.8</v>
      </c>
      <c r="C871">
        <f t="shared" si="52"/>
        <v>0.70279160674395391</v>
      </c>
      <c r="E871" s="18">
        <f t="shared" si="54"/>
        <v>140146.63593891484</v>
      </c>
      <c r="G871" s="3">
        <v>50.38</v>
      </c>
      <c r="H871" s="18">
        <f t="shared" si="53"/>
        <v>49.622407880233993</v>
      </c>
      <c r="I871">
        <f t="shared" si="55"/>
        <v>491014.65841585444</v>
      </c>
    </row>
    <row r="872" spans="1:9" ht="18" x14ac:dyDescent="0.2">
      <c r="A872" s="2">
        <v>42373</v>
      </c>
      <c r="B872" s="3">
        <v>0.72</v>
      </c>
      <c r="C872">
        <f t="shared" si="52"/>
        <v>0.70443050133976781</v>
      </c>
      <c r="E872" s="18">
        <f t="shared" si="54"/>
        <v>140146.63593891484</v>
      </c>
      <c r="G872" s="3">
        <v>44.96</v>
      </c>
      <c r="H872" s="18">
        <f t="shared" si="53"/>
        <v>49.178369034497422</v>
      </c>
      <c r="I872">
        <f t="shared" si="55"/>
        <v>491014.65841585444</v>
      </c>
    </row>
    <row r="873" spans="1:9" ht="18" x14ac:dyDescent="0.2">
      <c r="A873" s="2">
        <v>42380</v>
      </c>
      <c r="B873" s="3">
        <v>0.66</v>
      </c>
      <c r="C873">
        <f t="shared" si="52"/>
        <v>0.70019902502169473</v>
      </c>
      <c r="E873" s="18">
        <f t="shared" si="54"/>
        <v>140146.63593891484</v>
      </c>
      <c r="G873" s="3">
        <v>43.81</v>
      </c>
      <c r="H873" s="18">
        <f t="shared" si="53"/>
        <v>48.667095793116715</v>
      </c>
      <c r="I873">
        <f t="shared" si="55"/>
        <v>478455.34219747735</v>
      </c>
    </row>
    <row r="874" spans="1:9" ht="18" x14ac:dyDescent="0.2">
      <c r="A874" s="2">
        <v>42387</v>
      </c>
      <c r="B874" s="3">
        <v>0.69</v>
      </c>
      <c r="C874">
        <f t="shared" si="52"/>
        <v>0.69922768930534285</v>
      </c>
      <c r="E874" s="18">
        <f t="shared" si="54"/>
        <v>146516.93757250186</v>
      </c>
      <c r="G874" s="3">
        <v>43.74</v>
      </c>
      <c r="H874" s="18">
        <f t="shared" si="53"/>
        <v>48.197848574724645</v>
      </c>
      <c r="I874">
        <f t="shared" si="55"/>
        <v>477690.86207983701</v>
      </c>
    </row>
    <row r="875" spans="1:9" ht="18" x14ac:dyDescent="0.2">
      <c r="A875" s="2">
        <v>42394</v>
      </c>
      <c r="B875" s="3">
        <v>0.71</v>
      </c>
      <c r="C875">
        <f t="shared" si="52"/>
        <v>0.700253623657215</v>
      </c>
      <c r="E875" s="18">
        <f t="shared" si="54"/>
        <v>150763.80532822656</v>
      </c>
      <c r="G875" s="3">
        <v>45.7</v>
      </c>
      <c r="H875" s="18">
        <f t="shared" si="53"/>
        <v>47.95995823427468</v>
      </c>
      <c r="I875">
        <f t="shared" si="55"/>
        <v>499096.30537376658</v>
      </c>
    </row>
    <row r="876" spans="1:9" ht="18" x14ac:dyDescent="0.2">
      <c r="A876" s="2">
        <v>42401</v>
      </c>
      <c r="B876" s="3">
        <v>0.64</v>
      </c>
      <c r="C876">
        <f t="shared" si="52"/>
        <v>0.69451518330890882</v>
      </c>
      <c r="E876" s="18">
        <f t="shared" si="54"/>
        <v>150763.80532822656</v>
      </c>
      <c r="G876" s="3">
        <v>44.36</v>
      </c>
      <c r="H876" s="18">
        <f t="shared" si="53"/>
        <v>47.617105069105662</v>
      </c>
      <c r="I876">
        <f t="shared" si="55"/>
        <v>484461.97169322282</v>
      </c>
    </row>
    <row r="877" spans="1:9" ht="18" x14ac:dyDescent="0.2">
      <c r="A877" s="2">
        <v>42408</v>
      </c>
      <c r="B877" s="3">
        <v>0.63</v>
      </c>
      <c r="C877">
        <f t="shared" si="52"/>
        <v>0.68837088013663184</v>
      </c>
      <c r="E877" s="18">
        <f t="shared" si="54"/>
        <v>148408.12086997303</v>
      </c>
      <c r="G877" s="3">
        <v>44.16</v>
      </c>
      <c r="H877" s="18">
        <f t="shared" si="53"/>
        <v>47.287856967286075</v>
      </c>
      <c r="I877">
        <f t="shared" si="55"/>
        <v>482277.74278567894</v>
      </c>
    </row>
    <row r="878" spans="1:9" ht="18" x14ac:dyDescent="0.2">
      <c r="A878" s="2">
        <v>42415</v>
      </c>
      <c r="B878" s="3">
        <v>0.74</v>
      </c>
      <c r="C878">
        <f t="shared" si="52"/>
        <v>0.69328793917123832</v>
      </c>
      <c r="E878" s="18">
        <f t="shared" si="54"/>
        <v>174320.64991076197</v>
      </c>
      <c r="G878" s="3">
        <v>44.41</v>
      </c>
      <c r="H878" s="18">
        <f t="shared" si="53"/>
        <v>47.01377535135407</v>
      </c>
      <c r="I878">
        <f t="shared" si="55"/>
        <v>485008.02892010874</v>
      </c>
    </row>
    <row r="879" spans="1:9" ht="18" x14ac:dyDescent="0.2">
      <c r="A879" s="2">
        <v>42422</v>
      </c>
      <c r="B879" s="3">
        <v>0.77</v>
      </c>
      <c r="C879">
        <f t="shared" si="52"/>
        <v>0.70059384972635852</v>
      </c>
      <c r="E879" s="18">
        <f t="shared" si="54"/>
        <v>174320.64991076197</v>
      </c>
      <c r="G879" s="3">
        <v>44.2</v>
      </c>
      <c r="H879" s="18">
        <f t="shared" si="53"/>
        <v>46.745796746463206</v>
      </c>
      <c r="I879">
        <f t="shared" si="55"/>
        <v>482714.58856718778</v>
      </c>
    </row>
    <row r="880" spans="1:9" ht="18" x14ac:dyDescent="0.2">
      <c r="A880" s="2">
        <v>42429</v>
      </c>
      <c r="B880" s="3">
        <v>0.79</v>
      </c>
      <c r="C880">
        <f t="shared" si="52"/>
        <v>0.709108721180991</v>
      </c>
      <c r="E880" s="18">
        <f t="shared" si="54"/>
        <v>174320.64991076197</v>
      </c>
      <c r="G880" s="3">
        <v>46.13</v>
      </c>
      <c r="H880" s="18">
        <f t="shared" si="53"/>
        <v>46.687149437276233</v>
      </c>
      <c r="I880">
        <f t="shared" si="55"/>
        <v>503792.39752498583</v>
      </c>
    </row>
    <row r="881" spans="1:9" ht="18" x14ac:dyDescent="0.2">
      <c r="A881" s="2">
        <v>42436</v>
      </c>
      <c r="B881" s="3">
        <v>0.79</v>
      </c>
      <c r="C881">
        <f t="shared" si="52"/>
        <v>0.71681265249708714</v>
      </c>
      <c r="E881" s="18">
        <f t="shared" si="54"/>
        <v>174320.64991076197</v>
      </c>
      <c r="G881" s="3">
        <v>45.58</v>
      </c>
      <c r="H881" s="18">
        <f t="shared" si="53"/>
        <v>46.581706633726114</v>
      </c>
      <c r="I881">
        <f t="shared" si="55"/>
        <v>497785.76802924019</v>
      </c>
    </row>
    <row r="882" spans="1:9" ht="18" x14ac:dyDescent="0.2">
      <c r="A882" s="2">
        <v>42443</v>
      </c>
      <c r="B882" s="3">
        <v>0.83</v>
      </c>
      <c r="C882">
        <f t="shared" si="52"/>
        <v>0.72759239987831692</v>
      </c>
      <c r="E882" s="18">
        <f t="shared" si="54"/>
        <v>174320.64991076197</v>
      </c>
      <c r="G882" s="3">
        <v>46.46</v>
      </c>
      <c r="H882" s="18">
        <f t="shared" si="53"/>
        <v>46.5701155257522</v>
      </c>
      <c r="I882">
        <f t="shared" si="55"/>
        <v>507396.37522243313</v>
      </c>
    </row>
    <row r="883" spans="1:9" ht="18" x14ac:dyDescent="0.2">
      <c r="A883" s="2">
        <v>42457</v>
      </c>
      <c r="B883" s="3">
        <v>0.89</v>
      </c>
      <c r="C883">
        <f t="shared" si="52"/>
        <v>0.74305979036609626</v>
      </c>
      <c r="E883" s="18">
        <f t="shared" si="54"/>
        <v>174320.64991076197</v>
      </c>
      <c r="G883" s="3">
        <v>45.99</v>
      </c>
      <c r="H883" s="18">
        <f t="shared" si="53"/>
        <v>46.514866428061517</v>
      </c>
      <c r="I883">
        <f t="shared" si="55"/>
        <v>502263.43728970515</v>
      </c>
    </row>
    <row r="884" spans="1:9" ht="18" x14ac:dyDescent="0.2">
      <c r="A884" s="2">
        <v>42464</v>
      </c>
      <c r="B884" s="3">
        <v>0.87</v>
      </c>
      <c r="C884">
        <f t="shared" si="52"/>
        <v>0.7551493341407538</v>
      </c>
      <c r="E884" s="18">
        <f t="shared" si="54"/>
        <v>174320.64991076197</v>
      </c>
      <c r="G884" s="3">
        <v>44.35</v>
      </c>
      <c r="H884" s="18">
        <f t="shared" si="53"/>
        <v>46.308688673008042</v>
      </c>
      <c r="I884">
        <f t="shared" si="55"/>
        <v>484352.76024784567</v>
      </c>
    </row>
    <row r="885" spans="1:9" ht="18" x14ac:dyDescent="0.2">
      <c r="A885" s="2">
        <v>42471</v>
      </c>
      <c r="B885" s="3">
        <v>0.91</v>
      </c>
      <c r="C885">
        <f t="shared" si="52"/>
        <v>0.76989701660353915</v>
      </c>
      <c r="E885" s="18">
        <f t="shared" si="54"/>
        <v>174320.64991076197</v>
      </c>
      <c r="G885" s="3">
        <v>47.88</v>
      </c>
      <c r="H885" s="18">
        <f t="shared" si="53"/>
        <v>46.4583373708168</v>
      </c>
      <c r="I885">
        <f t="shared" si="55"/>
        <v>522904.40046599443</v>
      </c>
    </row>
    <row r="886" spans="1:9" ht="18" x14ac:dyDescent="0.2">
      <c r="A886" s="2">
        <v>42478</v>
      </c>
      <c r="B886" s="3">
        <v>0.89</v>
      </c>
      <c r="C886">
        <f t="shared" si="52"/>
        <v>0.78133539597463064</v>
      </c>
      <c r="E886" s="18">
        <f t="shared" si="54"/>
        <v>174320.64991076197</v>
      </c>
      <c r="G886" s="3">
        <v>49.5</v>
      </c>
      <c r="H886" s="18">
        <f t="shared" si="53"/>
        <v>46.748019525977107</v>
      </c>
      <c r="I886">
        <f t="shared" si="55"/>
        <v>522904.40046599443</v>
      </c>
    </row>
    <row r="887" spans="1:9" ht="18" x14ac:dyDescent="0.2">
      <c r="A887" s="2">
        <v>42485</v>
      </c>
      <c r="B887" s="3">
        <v>0.87</v>
      </c>
      <c r="C887">
        <f t="shared" si="52"/>
        <v>0.78977964397704681</v>
      </c>
      <c r="E887" s="18">
        <f t="shared" si="54"/>
        <v>174320.64991076197</v>
      </c>
      <c r="G887" s="3">
        <v>48.91</v>
      </c>
      <c r="H887" s="18">
        <f t="shared" si="53"/>
        <v>46.953922428265003</v>
      </c>
      <c r="I887">
        <f t="shared" si="55"/>
        <v>522904.40046599443</v>
      </c>
    </row>
    <row r="888" spans="1:9" ht="18" x14ac:dyDescent="0.2">
      <c r="A888" s="2">
        <v>42492</v>
      </c>
      <c r="B888" s="3">
        <v>0.86</v>
      </c>
      <c r="C888">
        <f t="shared" si="52"/>
        <v>0.79646729693161378</v>
      </c>
      <c r="E888" s="18">
        <f t="shared" si="54"/>
        <v>174320.64991076197</v>
      </c>
      <c r="G888" s="3">
        <v>47.67</v>
      </c>
      <c r="H888" s="18">
        <f t="shared" si="53"/>
        <v>47.022120292239762</v>
      </c>
      <c r="I888">
        <f t="shared" si="55"/>
        <v>522904.40046599443</v>
      </c>
    </row>
    <row r="889" spans="1:9" ht="18" x14ac:dyDescent="0.2">
      <c r="A889" s="2">
        <v>42499</v>
      </c>
      <c r="B889" s="3">
        <v>1</v>
      </c>
      <c r="C889">
        <f t="shared" si="52"/>
        <v>0.81585136389050772</v>
      </c>
      <c r="E889" s="18">
        <f t="shared" si="54"/>
        <v>174320.64991076197</v>
      </c>
      <c r="G889" s="3">
        <v>47.36</v>
      </c>
      <c r="H889" s="18">
        <f t="shared" si="53"/>
        <v>47.054299312026451</v>
      </c>
      <c r="I889">
        <f t="shared" si="55"/>
        <v>522904.40046599443</v>
      </c>
    </row>
    <row r="890" spans="1:9" ht="18" x14ac:dyDescent="0.2">
      <c r="A890" s="2">
        <v>42506</v>
      </c>
      <c r="B890" s="3">
        <v>1.0900000000000001</v>
      </c>
      <c r="C890">
        <f t="shared" si="52"/>
        <v>0.84196075780569746</v>
      </c>
      <c r="E890" s="18">
        <f t="shared" si="54"/>
        <v>174320.64991076197</v>
      </c>
      <c r="G890" s="3">
        <v>49.14</v>
      </c>
      <c r="H890" s="18">
        <f t="shared" si="53"/>
        <v>47.252937472785838</v>
      </c>
      <c r="I890">
        <f t="shared" si="55"/>
        <v>522904.40046599443</v>
      </c>
    </row>
    <row r="891" spans="1:9" ht="18" x14ac:dyDescent="0.2">
      <c r="A891" s="2">
        <v>42513</v>
      </c>
      <c r="B891" s="3">
        <v>1.1200000000000001</v>
      </c>
      <c r="C891">
        <f t="shared" si="52"/>
        <v>0.86844068563372623</v>
      </c>
      <c r="E891" s="18">
        <f t="shared" si="54"/>
        <v>174320.64991076197</v>
      </c>
      <c r="G891" s="3">
        <v>50.63</v>
      </c>
      <c r="H891" s="18">
        <f t="shared" si="53"/>
        <v>47.574562475377661</v>
      </c>
      <c r="I891">
        <f t="shared" si="55"/>
        <v>522904.40046599443</v>
      </c>
    </row>
    <row r="892" spans="1:9" ht="18" x14ac:dyDescent="0.2">
      <c r="A892" s="2">
        <v>42520</v>
      </c>
      <c r="B892" s="3">
        <v>1.1399999999999999</v>
      </c>
      <c r="C892">
        <f t="shared" si="52"/>
        <v>0.89430347747813321</v>
      </c>
      <c r="E892" s="18">
        <f t="shared" si="54"/>
        <v>174320.64991076197</v>
      </c>
      <c r="G892" s="3">
        <v>50.02</v>
      </c>
      <c r="H892" s="18">
        <f t="shared" si="53"/>
        <v>47.807461287246454</v>
      </c>
      <c r="I892">
        <f t="shared" si="55"/>
        <v>522904.40046599443</v>
      </c>
    </row>
    <row r="893" spans="1:9" ht="18" x14ac:dyDescent="0.2">
      <c r="A893" s="2">
        <v>42527</v>
      </c>
      <c r="B893" s="3">
        <v>1.1299999999999999</v>
      </c>
      <c r="C893">
        <f t="shared" si="52"/>
        <v>0.91675076533735855</v>
      </c>
      <c r="E893" s="18">
        <f t="shared" si="54"/>
        <v>174320.64991076197</v>
      </c>
      <c r="G893" s="3">
        <v>49.4</v>
      </c>
      <c r="H893" s="18">
        <f t="shared" si="53"/>
        <v>47.959131640842031</v>
      </c>
      <c r="I893">
        <f t="shared" si="55"/>
        <v>522904.40046599443</v>
      </c>
    </row>
    <row r="894" spans="1:9" ht="18" x14ac:dyDescent="0.2">
      <c r="A894" s="2">
        <v>42534</v>
      </c>
      <c r="B894" s="3">
        <v>1.1499999999999999</v>
      </c>
      <c r="C894">
        <f t="shared" si="52"/>
        <v>0.93896497816237201</v>
      </c>
      <c r="E894" s="18">
        <f t="shared" si="54"/>
        <v>174320.64991076197</v>
      </c>
      <c r="G894" s="3">
        <v>48.19</v>
      </c>
      <c r="H894" s="18">
        <f t="shared" si="53"/>
        <v>47.98111910361898</v>
      </c>
      <c r="I894">
        <f t="shared" si="55"/>
        <v>522904.40046599443</v>
      </c>
    </row>
    <row r="895" spans="1:9" ht="18" x14ac:dyDescent="0.2">
      <c r="A895" s="2">
        <v>42541</v>
      </c>
      <c r="B895" s="3">
        <v>1.1200000000000001</v>
      </c>
      <c r="C895">
        <f t="shared" si="52"/>
        <v>0.95620640881357466</v>
      </c>
      <c r="E895" s="18">
        <f t="shared" si="54"/>
        <v>174320.64991076197</v>
      </c>
      <c r="G895" s="3">
        <v>46.12</v>
      </c>
      <c r="H895" s="18">
        <f t="shared" si="53"/>
        <v>47.803869665179079</v>
      </c>
      <c r="I895">
        <f t="shared" si="55"/>
        <v>522904.40046599443</v>
      </c>
    </row>
    <row r="896" spans="1:9" ht="18" x14ac:dyDescent="0.2">
      <c r="A896" s="2">
        <v>42555</v>
      </c>
      <c r="B896" s="3">
        <v>1.25</v>
      </c>
      <c r="C896">
        <f t="shared" si="52"/>
        <v>0.98418675083132945</v>
      </c>
      <c r="E896" s="18">
        <f t="shared" si="54"/>
        <v>174320.64991076197</v>
      </c>
      <c r="G896" s="3">
        <v>48.22</v>
      </c>
      <c r="H896" s="18">
        <f t="shared" si="53"/>
        <v>47.843501125638213</v>
      </c>
      <c r="I896">
        <f t="shared" si="55"/>
        <v>546714.01106830558</v>
      </c>
    </row>
    <row r="897" spans="1:9" ht="18" x14ac:dyDescent="0.2">
      <c r="A897" s="2">
        <v>42562</v>
      </c>
      <c r="B897" s="3">
        <v>1.29</v>
      </c>
      <c r="C897">
        <f t="shared" si="52"/>
        <v>1.0133118221807267</v>
      </c>
      <c r="E897" s="18">
        <f t="shared" si="54"/>
        <v>174320.64991076197</v>
      </c>
      <c r="G897" s="3">
        <v>50.05</v>
      </c>
      <c r="H897" s="18">
        <f t="shared" si="53"/>
        <v>48.053643875577428</v>
      </c>
      <c r="I897">
        <f t="shared" si="55"/>
        <v>546714.01106830558</v>
      </c>
    </row>
    <row r="898" spans="1:9" ht="18" x14ac:dyDescent="0.2">
      <c r="A898" s="2">
        <v>42569</v>
      </c>
      <c r="B898" s="3">
        <v>1.34</v>
      </c>
      <c r="C898">
        <f t="shared" si="52"/>
        <v>1.0444249819730385</v>
      </c>
      <c r="E898" s="18">
        <f t="shared" si="54"/>
        <v>174320.64991076197</v>
      </c>
      <c r="G898" s="3">
        <v>49.94</v>
      </c>
      <c r="H898" s="18">
        <f t="shared" si="53"/>
        <v>48.233296839808148</v>
      </c>
      <c r="I898">
        <f t="shared" si="55"/>
        <v>546714.01106830558</v>
      </c>
    </row>
    <row r="899" spans="1:9" ht="18" x14ac:dyDescent="0.2">
      <c r="A899" s="2">
        <v>42576</v>
      </c>
      <c r="B899" s="3">
        <v>1.4</v>
      </c>
      <c r="C899">
        <f t="shared" si="52"/>
        <v>1.0782892694041777</v>
      </c>
      <c r="E899" s="18">
        <f t="shared" si="54"/>
        <v>174320.64991076197</v>
      </c>
      <c r="G899" s="3">
        <v>49.89</v>
      </c>
      <c r="H899" s="18">
        <f t="shared" si="53"/>
        <v>48.391078093159756</v>
      </c>
      <c r="I899">
        <f t="shared" si="55"/>
        <v>546714.01106830558</v>
      </c>
    </row>
    <row r="900" spans="1:9" ht="18" x14ac:dyDescent="0.2">
      <c r="A900" s="2">
        <v>42583</v>
      </c>
      <c r="B900" s="3">
        <v>1.43</v>
      </c>
      <c r="C900">
        <f t="shared" si="52"/>
        <v>1.1117855294609227</v>
      </c>
      <c r="E900" s="18">
        <f t="shared" si="54"/>
        <v>174320.64991076197</v>
      </c>
      <c r="G900" s="3">
        <v>51.7</v>
      </c>
      <c r="H900" s="18">
        <f t="shared" si="53"/>
        <v>48.706213512858824</v>
      </c>
      <c r="I900">
        <f t="shared" si="55"/>
        <v>546714.01106830558</v>
      </c>
    </row>
    <row r="901" spans="1:9" ht="18" x14ac:dyDescent="0.2">
      <c r="A901" s="2">
        <v>42590</v>
      </c>
      <c r="B901" s="3">
        <v>1.55</v>
      </c>
      <c r="C901">
        <f t="shared" si="52"/>
        <v>1.1535202409408347</v>
      </c>
      <c r="E901" s="18">
        <f t="shared" si="54"/>
        <v>174320.64991076197</v>
      </c>
      <c r="G901" s="3">
        <v>50.94</v>
      </c>
      <c r="H901" s="18">
        <f t="shared" si="53"/>
        <v>48.918955083062748</v>
      </c>
      <c r="I901">
        <f t="shared" si="55"/>
        <v>546714.01106830558</v>
      </c>
    </row>
    <row r="902" spans="1:9" ht="18" x14ac:dyDescent="0.2">
      <c r="A902" s="2">
        <v>42597</v>
      </c>
      <c r="B902" s="3">
        <v>1.53</v>
      </c>
      <c r="C902">
        <f t="shared" si="52"/>
        <v>1.1893754560893266</v>
      </c>
      <c r="E902" s="18">
        <f t="shared" si="54"/>
        <v>174320.64991076197</v>
      </c>
      <c r="G902" s="3">
        <v>51.36</v>
      </c>
      <c r="H902" s="18">
        <f t="shared" si="53"/>
        <v>49.151435551342487</v>
      </c>
      <c r="I902">
        <f t="shared" si="55"/>
        <v>546714.01106830558</v>
      </c>
    </row>
    <row r="903" spans="1:9" ht="18" x14ac:dyDescent="0.2">
      <c r="A903" s="2">
        <v>42604</v>
      </c>
      <c r="B903" s="3">
        <v>1.52</v>
      </c>
      <c r="C903">
        <f t="shared" si="52"/>
        <v>1.2208635078903431</v>
      </c>
      <c r="E903" s="18">
        <f t="shared" si="54"/>
        <v>174320.64991076197</v>
      </c>
      <c r="G903" s="3">
        <v>51.64</v>
      </c>
      <c r="H903" s="18">
        <f t="shared" si="53"/>
        <v>49.388441689309872</v>
      </c>
      <c r="I903">
        <f t="shared" si="55"/>
        <v>546714.01106830558</v>
      </c>
    </row>
    <row r="904" spans="1:9" ht="18" x14ac:dyDescent="0.2">
      <c r="A904" s="2">
        <v>42611</v>
      </c>
      <c r="B904" s="3">
        <v>1.54</v>
      </c>
      <c r="C904">
        <f t="shared" si="52"/>
        <v>1.2512574595198342</v>
      </c>
      <c r="E904" s="18">
        <f t="shared" si="54"/>
        <v>174320.64991076197</v>
      </c>
      <c r="G904" s="3">
        <v>52.63</v>
      </c>
      <c r="H904" s="18">
        <f t="shared" si="53"/>
        <v>49.697161528423216</v>
      </c>
      <c r="I904">
        <f t="shared" si="55"/>
        <v>546714.01106830558</v>
      </c>
    </row>
    <row r="905" spans="1:9" ht="18" x14ac:dyDescent="0.2">
      <c r="A905" s="2">
        <v>42618</v>
      </c>
      <c r="B905" s="3">
        <v>1.46</v>
      </c>
      <c r="C905">
        <f t="shared" si="52"/>
        <v>1.2711377014703262</v>
      </c>
      <c r="E905" s="18">
        <f t="shared" si="54"/>
        <v>174320.64991076197</v>
      </c>
      <c r="G905" s="3">
        <v>51.98</v>
      </c>
      <c r="H905" s="18">
        <f t="shared" si="53"/>
        <v>49.914574716192433</v>
      </c>
      <c r="I905">
        <f t="shared" si="55"/>
        <v>546714.01106830558</v>
      </c>
    </row>
    <row r="906" spans="1:9" ht="18" x14ac:dyDescent="0.2">
      <c r="A906" s="2">
        <v>42625</v>
      </c>
      <c r="B906" s="3">
        <v>1.55</v>
      </c>
      <c r="C906">
        <f t="shared" si="52"/>
        <v>1.2976960156160096</v>
      </c>
      <c r="E906" s="18">
        <f t="shared" si="54"/>
        <v>174320.64991076197</v>
      </c>
      <c r="G906" s="3">
        <v>51.33</v>
      </c>
      <c r="H906" s="18">
        <f t="shared" si="53"/>
        <v>50.049377124174107</v>
      </c>
      <c r="I906">
        <f t="shared" si="55"/>
        <v>546714.01106830558</v>
      </c>
    </row>
    <row r="907" spans="1:9" ht="18" x14ac:dyDescent="0.2">
      <c r="A907" s="2">
        <v>42632</v>
      </c>
      <c r="B907" s="3">
        <v>1.6</v>
      </c>
      <c r="C907">
        <f t="shared" si="52"/>
        <v>1.3264868712716278</v>
      </c>
      <c r="E907" s="18">
        <f t="shared" si="54"/>
        <v>174320.64991076197</v>
      </c>
      <c r="G907" s="3">
        <v>52.44</v>
      </c>
      <c r="H907" s="18">
        <f t="shared" si="53"/>
        <v>50.277055493300381</v>
      </c>
      <c r="I907">
        <f t="shared" si="55"/>
        <v>546714.01106830558</v>
      </c>
    </row>
    <row r="908" spans="1:9" ht="18" x14ac:dyDescent="0.2">
      <c r="A908" s="2">
        <v>42639</v>
      </c>
      <c r="B908" s="3">
        <v>1.69</v>
      </c>
      <c r="C908">
        <f t="shared" si="52"/>
        <v>1.3611071692457584</v>
      </c>
      <c r="E908" s="18">
        <f t="shared" si="54"/>
        <v>174320.64991076197</v>
      </c>
      <c r="G908" s="3">
        <v>51.93</v>
      </c>
      <c r="H908" s="18">
        <f t="shared" si="53"/>
        <v>50.434478779652729</v>
      </c>
      <c r="I908">
        <f t="shared" si="55"/>
        <v>546714.01106830558</v>
      </c>
    </row>
    <row r="909" spans="1:9" ht="18" x14ac:dyDescent="0.2">
      <c r="A909" s="2">
        <v>42653</v>
      </c>
      <c r="B909" s="3">
        <v>1.62</v>
      </c>
      <c r="C909">
        <f t="shared" si="52"/>
        <v>1.385763629317591</v>
      </c>
      <c r="E909" s="18">
        <f t="shared" si="54"/>
        <v>174320.64991076197</v>
      </c>
      <c r="G909" s="3">
        <v>53.04</v>
      </c>
      <c r="H909" s="18">
        <f t="shared" si="53"/>
        <v>50.682623657781043</v>
      </c>
      <c r="I909">
        <f t="shared" si="55"/>
        <v>546714.01106830558</v>
      </c>
    </row>
    <row r="910" spans="1:9" ht="18" x14ac:dyDescent="0.2">
      <c r="A910" s="2">
        <v>42660</v>
      </c>
      <c r="B910" s="3">
        <v>1.66</v>
      </c>
      <c r="C910">
        <f t="shared" si="52"/>
        <v>1.4118813789063918</v>
      </c>
      <c r="E910" s="18">
        <f t="shared" si="54"/>
        <v>174320.64991076197</v>
      </c>
      <c r="G910" s="3">
        <v>53.8</v>
      </c>
      <c r="H910" s="18">
        <f t="shared" si="53"/>
        <v>50.979516642754277</v>
      </c>
      <c r="I910">
        <f t="shared" si="55"/>
        <v>546714.01106830558</v>
      </c>
    </row>
    <row r="911" spans="1:9" ht="18" x14ac:dyDescent="0.2">
      <c r="A911" s="2">
        <v>42667</v>
      </c>
      <c r="B911" s="3">
        <v>1.74</v>
      </c>
      <c r="C911">
        <f t="shared" si="52"/>
        <v>1.4431307713914974</v>
      </c>
      <c r="E911" s="18">
        <f t="shared" si="54"/>
        <v>174320.64991076197</v>
      </c>
      <c r="G911" s="3">
        <v>54.29</v>
      </c>
      <c r="H911" s="18">
        <f t="shared" si="53"/>
        <v>51.294800772015776</v>
      </c>
      <c r="I911">
        <f t="shared" si="55"/>
        <v>546714.01106830558</v>
      </c>
    </row>
    <row r="912" spans="1:9" ht="18" x14ac:dyDescent="0.2">
      <c r="A912" s="2">
        <v>42674</v>
      </c>
      <c r="B912" s="3">
        <v>1.66</v>
      </c>
      <c r="C912">
        <f t="shared" si="52"/>
        <v>1.4637849836399262</v>
      </c>
      <c r="E912" s="18">
        <f t="shared" si="54"/>
        <v>174320.64991076197</v>
      </c>
      <c r="G912" s="3">
        <v>53.23</v>
      </c>
      <c r="H912" s="18">
        <f t="shared" si="53"/>
        <v>51.479105460395225</v>
      </c>
      <c r="I912">
        <f t="shared" si="55"/>
        <v>546714.01106830558</v>
      </c>
    </row>
    <row r="913" spans="1:9" ht="18" x14ac:dyDescent="0.2">
      <c r="A913" s="2">
        <v>42681</v>
      </c>
      <c r="B913" s="3">
        <v>2.16</v>
      </c>
      <c r="C913">
        <f t="shared" si="52"/>
        <v>1.5300911756742188</v>
      </c>
      <c r="E913" s="18">
        <f t="shared" si="54"/>
        <v>174320.64991076197</v>
      </c>
      <c r="G913" s="3">
        <v>60.24</v>
      </c>
      <c r="H913" s="18">
        <f t="shared" si="53"/>
        <v>52.31347636892901</v>
      </c>
      <c r="I913">
        <f t="shared" si="55"/>
        <v>546714.01106830558</v>
      </c>
    </row>
    <row r="914" spans="1:9" ht="18" x14ac:dyDescent="0.2">
      <c r="A914" s="2">
        <v>42688</v>
      </c>
      <c r="B914" s="3">
        <v>2.2999999999999998</v>
      </c>
      <c r="C914">
        <f t="shared" si="52"/>
        <v>1.6034158256100075</v>
      </c>
      <c r="E914" s="18">
        <f t="shared" si="54"/>
        <v>174320.64991076197</v>
      </c>
      <c r="G914" s="3">
        <v>61.04</v>
      </c>
      <c r="H914" s="18">
        <f t="shared" si="53"/>
        <v>53.144573857602438</v>
      </c>
      <c r="I914">
        <f t="shared" si="55"/>
        <v>546714.01106830558</v>
      </c>
    </row>
    <row r="915" spans="1:9" ht="18" x14ac:dyDescent="0.2">
      <c r="A915" s="2">
        <v>42702</v>
      </c>
      <c r="B915" s="3">
        <v>2.1800000000000002</v>
      </c>
      <c r="C915">
        <f t="shared" si="52"/>
        <v>1.65832860412334</v>
      </c>
      <c r="E915" s="18">
        <f t="shared" si="54"/>
        <v>174320.64991076197</v>
      </c>
      <c r="G915" s="3">
        <v>64.099999999999994</v>
      </c>
      <c r="H915" s="18">
        <f t="shared" si="53"/>
        <v>54.187947775926013</v>
      </c>
      <c r="I915">
        <f t="shared" si="55"/>
        <v>546714.01106830558</v>
      </c>
    </row>
    <row r="916" spans="1:9" ht="18" x14ac:dyDescent="0.2">
      <c r="A916" s="2">
        <v>42709</v>
      </c>
      <c r="B916" s="3">
        <v>2.2599999999999998</v>
      </c>
      <c r="C916">
        <f t="shared" si="52"/>
        <v>1.7156306418258791</v>
      </c>
      <c r="E916" s="18">
        <f t="shared" si="54"/>
        <v>174320.64991076197</v>
      </c>
      <c r="G916" s="3">
        <v>67.150000000000006</v>
      </c>
      <c r="H916" s="18">
        <f t="shared" si="53"/>
        <v>55.422428940123538</v>
      </c>
      <c r="I916">
        <f t="shared" si="55"/>
        <v>546714.01106830558</v>
      </c>
    </row>
    <row r="917" spans="1:9" ht="18" x14ac:dyDescent="0.2">
      <c r="A917" s="2">
        <v>42716</v>
      </c>
      <c r="B917" s="3">
        <v>2.4700000000000002</v>
      </c>
      <c r="C917">
        <f t="shared" si="52"/>
        <v>1.7874753426043668</v>
      </c>
      <c r="E917" s="18">
        <f t="shared" si="54"/>
        <v>174320.64991076197</v>
      </c>
      <c r="G917" s="3">
        <v>66.72</v>
      </c>
      <c r="H917" s="18">
        <f t="shared" si="53"/>
        <v>56.4983880886832</v>
      </c>
      <c r="I917">
        <f t="shared" si="55"/>
        <v>546714.01106830558</v>
      </c>
    </row>
    <row r="918" spans="1:9" ht="18" x14ac:dyDescent="0.2">
      <c r="A918" s="2">
        <v>42723</v>
      </c>
      <c r="B918" s="3">
        <v>2.7</v>
      </c>
      <c r="C918">
        <f t="shared" si="52"/>
        <v>1.8743824528325224</v>
      </c>
      <c r="E918" s="18">
        <f t="shared" si="54"/>
        <v>174320.64991076197</v>
      </c>
      <c r="G918" s="3">
        <v>68.38</v>
      </c>
      <c r="H918" s="18">
        <f t="shared" si="53"/>
        <v>57.629970175475279</v>
      </c>
      <c r="I918">
        <f t="shared" si="55"/>
        <v>546714.01106830558</v>
      </c>
    </row>
    <row r="919" spans="1:9" ht="18" x14ac:dyDescent="0.2">
      <c r="A919" s="2">
        <v>42730</v>
      </c>
      <c r="B919" s="3">
        <v>2.63</v>
      </c>
      <c r="C919">
        <f t="shared" si="52"/>
        <v>1.9463460287532346</v>
      </c>
      <c r="E919" s="18">
        <f t="shared" si="54"/>
        <v>174320.64991076197</v>
      </c>
      <c r="G919" s="3">
        <v>67.78</v>
      </c>
      <c r="H919" s="18">
        <f t="shared" si="53"/>
        <v>58.596639682572871</v>
      </c>
      <c r="I919">
        <f t="shared" si="55"/>
        <v>546714.01106830558</v>
      </c>
    </row>
    <row r="920" spans="1:9" ht="18" x14ac:dyDescent="0.2">
      <c r="A920" s="2">
        <v>42737</v>
      </c>
      <c r="B920" s="3">
        <v>2.54</v>
      </c>
      <c r="C920">
        <f t="shared" si="52"/>
        <v>2.0028845022053074</v>
      </c>
      <c r="E920" s="18">
        <f t="shared" si="54"/>
        <v>174320.64991076197</v>
      </c>
      <c r="G920" s="3">
        <v>67.650000000000006</v>
      </c>
      <c r="H920" s="18">
        <f t="shared" si="53"/>
        <v>59.45886447470879</v>
      </c>
      <c r="I920">
        <f t="shared" si="55"/>
        <v>546714.01106830558</v>
      </c>
    </row>
    <row r="921" spans="1:9" ht="18" x14ac:dyDescent="0.2">
      <c r="A921" s="2">
        <v>42751</v>
      </c>
      <c r="B921" s="3">
        <v>2.56</v>
      </c>
      <c r="C921">
        <f t="shared" ref="C921:C984" si="56">(B921-C920)*$D$4+C920</f>
        <v>2.0559431210428971</v>
      </c>
      <c r="E921" s="18">
        <f t="shared" si="54"/>
        <v>174320.64991076197</v>
      </c>
      <c r="G921" s="3">
        <v>66.09</v>
      </c>
      <c r="H921" s="18">
        <f t="shared" si="53"/>
        <v>60.090401191403188</v>
      </c>
      <c r="I921">
        <f t="shared" si="55"/>
        <v>546714.01106830558</v>
      </c>
    </row>
    <row r="922" spans="1:9" ht="18" x14ac:dyDescent="0.2">
      <c r="A922" s="2">
        <v>42758</v>
      </c>
      <c r="B922" s="3">
        <v>2.75</v>
      </c>
      <c r="C922">
        <f t="shared" si="56"/>
        <v>2.1220437761816688</v>
      </c>
      <c r="E922" s="18">
        <f t="shared" si="54"/>
        <v>174320.64991076197</v>
      </c>
      <c r="G922" s="3">
        <v>68.66</v>
      </c>
      <c r="H922" s="18">
        <f t="shared" ref="H922:H985" si="57">(G922-H921)*$D$4+H921</f>
        <v>60.906553458888595</v>
      </c>
      <c r="I922">
        <f t="shared" si="55"/>
        <v>546714.01106830558</v>
      </c>
    </row>
    <row r="923" spans="1:9" ht="18" x14ac:dyDescent="0.2">
      <c r="A923" s="2">
        <v>42765</v>
      </c>
      <c r="B923" s="3">
        <v>2.82</v>
      </c>
      <c r="C923">
        <f t="shared" si="56"/>
        <v>2.1885157974977005</v>
      </c>
      <c r="E923" s="18">
        <f t="shared" si="54"/>
        <v>174320.64991076197</v>
      </c>
      <c r="G923" s="3">
        <v>68.86</v>
      </c>
      <c r="H923" s="18">
        <f t="shared" si="57"/>
        <v>61.664024558042065</v>
      </c>
      <c r="I923">
        <f t="shared" si="55"/>
        <v>546714.01106830558</v>
      </c>
    </row>
    <row r="924" spans="1:9" ht="18" x14ac:dyDescent="0.2">
      <c r="A924" s="2">
        <v>42772</v>
      </c>
      <c r="B924" s="3">
        <v>2.8</v>
      </c>
      <c r="C924">
        <f t="shared" si="56"/>
        <v>2.2467523882122054</v>
      </c>
      <c r="E924" s="18">
        <f t="shared" si="54"/>
        <v>174320.64991076197</v>
      </c>
      <c r="G924" s="3">
        <v>68.72</v>
      </c>
      <c r="H924" s="18">
        <f t="shared" si="57"/>
        <v>62.336022219180919</v>
      </c>
      <c r="I924">
        <f t="shared" si="55"/>
        <v>546714.01106830558</v>
      </c>
    </row>
    <row r="925" spans="1:9" ht="18" x14ac:dyDescent="0.2">
      <c r="A925" s="2">
        <v>42779</v>
      </c>
      <c r="B925" s="3">
        <v>2.64</v>
      </c>
      <c r="C925">
        <f t="shared" si="56"/>
        <v>2.284204541715805</v>
      </c>
      <c r="E925" s="18">
        <f t="shared" ref="E925:E988" si="58">IF(C924&gt;B924,E924*B925/B924,E924)</f>
        <v>174320.64991076197</v>
      </c>
      <c r="G925" s="3">
        <v>71.27</v>
      </c>
      <c r="H925" s="18">
        <f t="shared" si="57"/>
        <v>63.186877245925594</v>
      </c>
      <c r="I925">
        <f t="shared" si="55"/>
        <v>546714.01106830558</v>
      </c>
    </row>
    <row r="926" spans="1:9" ht="18" x14ac:dyDescent="0.2">
      <c r="A926" s="2">
        <v>42786</v>
      </c>
      <c r="B926" s="3">
        <v>2.5</v>
      </c>
      <c r="C926">
        <f t="shared" si="56"/>
        <v>2.3047564901238236</v>
      </c>
      <c r="E926" s="18">
        <f t="shared" si="58"/>
        <v>174320.64991076197</v>
      </c>
      <c r="G926" s="3">
        <v>71.349999999999994</v>
      </c>
      <c r="H926" s="18">
        <f t="shared" si="57"/>
        <v>63.964317508218393</v>
      </c>
      <c r="I926">
        <f t="shared" ref="I926:I989" si="59">IF(H925&gt;G925,I925*G926/G925,I925)</f>
        <v>546714.01106830558</v>
      </c>
    </row>
    <row r="927" spans="1:9" ht="18" x14ac:dyDescent="0.2">
      <c r="A927" s="2">
        <v>42800</v>
      </c>
      <c r="B927" s="3">
        <v>2.44</v>
      </c>
      <c r="C927">
        <f t="shared" si="56"/>
        <v>2.317636824397745</v>
      </c>
      <c r="E927" s="18">
        <f t="shared" si="58"/>
        <v>174320.64991076197</v>
      </c>
      <c r="G927" s="3">
        <v>72.099999999999994</v>
      </c>
      <c r="H927" s="18">
        <f t="shared" si="57"/>
        <v>64.739144412197589</v>
      </c>
      <c r="I927">
        <f t="shared" si="59"/>
        <v>546714.01106830558</v>
      </c>
    </row>
    <row r="928" spans="1:9" ht="18" x14ac:dyDescent="0.2">
      <c r="A928" s="2">
        <v>42807</v>
      </c>
      <c r="B928" s="3">
        <v>2.62</v>
      </c>
      <c r="C928">
        <f t="shared" si="56"/>
        <v>2.3464333173122456</v>
      </c>
      <c r="E928" s="18">
        <f t="shared" si="58"/>
        <v>174320.64991076197</v>
      </c>
      <c r="G928" s="3">
        <v>71.62</v>
      </c>
      <c r="H928" s="18">
        <f t="shared" si="57"/>
        <v>65.394463991988289</v>
      </c>
      <c r="I928">
        <f t="shared" si="59"/>
        <v>546714.01106830558</v>
      </c>
    </row>
    <row r="929" spans="1:9" ht="18" x14ac:dyDescent="0.2">
      <c r="A929" s="2">
        <v>42814</v>
      </c>
      <c r="B929" s="3">
        <v>2.65</v>
      </c>
      <c r="C929">
        <f t="shared" si="56"/>
        <v>2.3753444299491746</v>
      </c>
      <c r="E929" s="18">
        <f t="shared" si="58"/>
        <v>174320.64991076197</v>
      </c>
      <c r="G929" s="3">
        <v>68.95</v>
      </c>
      <c r="H929" s="18">
        <f t="shared" si="57"/>
        <v>65.733086468941792</v>
      </c>
      <c r="I929">
        <f t="shared" si="59"/>
        <v>546714.01106830558</v>
      </c>
    </row>
    <row r="930" spans="1:9" ht="18" x14ac:dyDescent="0.2">
      <c r="A930" s="2">
        <v>42821</v>
      </c>
      <c r="B930" s="3">
        <v>2.69</v>
      </c>
      <c r="C930">
        <f t="shared" si="56"/>
        <v>2.4053116270968724</v>
      </c>
      <c r="E930" s="18">
        <f t="shared" si="58"/>
        <v>174320.64991076197</v>
      </c>
      <c r="G930" s="3">
        <v>69.38</v>
      </c>
      <c r="H930" s="18">
        <f t="shared" si="57"/>
        <v>66.080411567137816</v>
      </c>
      <c r="I930">
        <f t="shared" si="59"/>
        <v>546714.01106830558</v>
      </c>
    </row>
    <row r="931" spans="1:9" ht="18" x14ac:dyDescent="0.2">
      <c r="A931" s="2">
        <v>42828</v>
      </c>
      <c r="B931" s="3">
        <v>2.4700000000000002</v>
      </c>
      <c r="C931">
        <f t="shared" si="56"/>
        <v>2.411472424516218</v>
      </c>
      <c r="E931" s="18">
        <f t="shared" si="58"/>
        <v>174320.64991076197</v>
      </c>
      <c r="G931" s="3">
        <v>68.069999999999993</v>
      </c>
      <c r="H931" s="18">
        <f t="shared" si="57"/>
        <v>66.26989617979136</v>
      </c>
      <c r="I931">
        <f t="shared" si="59"/>
        <v>546714.01106830558</v>
      </c>
    </row>
    <row r="932" spans="1:9" ht="18" x14ac:dyDescent="0.2">
      <c r="A932" s="2">
        <v>42842</v>
      </c>
      <c r="B932" s="3">
        <v>2.5099999999999998</v>
      </c>
      <c r="C932">
        <f t="shared" si="56"/>
        <v>2.420856003133721</v>
      </c>
      <c r="E932" s="18">
        <f t="shared" si="58"/>
        <v>174320.64991076197</v>
      </c>
      <c r="G932" s="3">
        <v>67.14</v>
      </c>
      <c r="H932" s="18">
        <f t="shared" si="57"/>
        <v>66.352763210287421</v>
      </c>
      <c r="I932">
        <f t="shared" si="59"/>
        <v>546714.01106830558</v>
      </c>
    </row>
    <row r="933" spans="1:9" ht="18" x14ac:dyDescent="0.2">
      <c r="A933" s="2">
        <v>42849</v>
      </c>
      <c r="B933" s="3">
        <v>2.57</v>
      </c>
      <c r="C933">
        <f t="shared" si="56"/>
        <v>2.435060193311462</v>
      </c>
      <c r="E933" s="18">
        <f t="shared" si="58"/>
        <v>174320.64991076197</v>
      </c>
      <c r="G933" s="3">
        <v>69.11</v>
      </c>
      <c r="H933" s="18">
        <f t="shared" si="57"/>
        <v>66.615357190260042</v>
      </c>
      <c r="I933">
        <f t="shared" si="59"/>
        <v>546714.01106830558</v>
      </c>
    </row>
    <row r="934" spans="1:9" ht="18" x14ac:dyDescent="0.2">
      <c r="A934" s="2">
        <v>42856</v>
      </c>
      <c r="B934" s="3">
        <v>2.56</v>
      </c>
      <c r="C934">
        <f t="shared" si="56"/>
        <v>2.4469592225198942</v>
      </c>
      <c r="E934" s="18">
        <f t="shared" si="58"/>
        <v>174320.64991076197</v>
      </c>
      <c r="G934" s="3">
        <v>69.11</v>
      </c>
      <c r="H934" s="18">
        <f t="shared" si="57"/>
        <v>66.852942219759086</v>
      </c>
      <c r="I934">
        <f t="shared" si="59"/>
        <v>546714.01106830558</v>
      </c>
    </row>
    <row r="935" spans="1:9" ht="18" x14ac:dyDescent="0.2">
      <c r="A935" s="2">
        <v>42863</v>
      </c>
      <c r="B935" s="3">
        <v>3.15</v>
      </c>
      <c r="C935">
        <f t="shared" si="56"/>
        <v>2.513915487041809</v>
      </c>
      <c r="E935" s="18">
        <f t="shared" si="58"/>
        <v>174320.64991076197</v>
      </c>
      <c r="G935" s="3">
        <v>69.05</v>
      </c>
      <c r="H935" s="18">
        <f t="shared" si="57"/>
        <v>67.062185817877264</v>
      </c>
      <c r="I935">
        <f t="shared" si="59"/>
        <v>546714.01106830558</v>
      </c>
    </row>
    <row r="936" spans="1:9" ht="18" x14ac:dyDescent="0.2">
      <c r="A936" s="2">
        <v>42870</v>
      </c>
      <c r="B936" s="3">
        <v>3.35</v>
      </c>
      <c r="C936">
        <f t="shared" si="56"/>
        <v>2.5935425835140178</v>
      </c>
      <c r="E936" s="18">
        <f t="shared" si="58"/>
        <v>174320.64991076197</v>
      </c>
      <c r="G936" s="3">
        <v>67.349999999999994</v>
      </c>
      <c r="H936" s="18">
        <f t="shared" si="57"/>
        <v>67.089596692365149</v>
      </c>
      <c r="I936">
        <f t="shared" si="59"/>
        <v>546714.01106830558</v>
      </c>
    </row>
    <row r="937" spans="1:9" ht="18" x14ac:dyDescent="0.2">
      <c r="A937" s="2">
        <v>42877</v>
      </c>
      <c r="B937" s="3">
        <v>3.5</v>
      </c>
      <c r="C937">
        <f t="shared" si="56"/>
        <v>2.6798718612745875</v>
      </c>
      <c r="E937" s="18">
        <f t="shared" si="58"/>
        <v>174320.64991076197</v>
      </c>
      <c r="G937" s="3">
        <v>67.81</v>
      </c>
      <c r="H937" s="18">
        <f t="shared" si="57"/>
        <v>67.158206531187517</v>
      </c>
      <c r="I937">
        <f t="shared" si="59"/>
        <v>546714.01106830558</v>
      </c>
    </row>
    <row r="938" spans="1:9" ht="18" x14ac:dyDescent="0.2">
      <c r="A938" s="2">
        <v>42884</v>
      </c>
      <c r="B938" s="3">
        <v>3.55</v>
      </c>
      <c r="C938">
        <f t="shared" si="56"/>
        <v>2.762741207819865</v>
      </c>
      <c r="E938" s="18">
        <f t="shared" si="58"/>
        <v>174320.64991076197</v>
      </c>
      <c r="G938" s="3">
        <v>65.650000000000006</v>
      </c>
      <c r="H938" s="18">
        <f t="shared" si="57"/>
        <v>67.014567813931563</v>
      </c>
      <c r="I938">
        <f t="shared" si="59"/>
        <v>546714.01106830558</v>
      </c>
    </row>
    <row r="939" spans="1:9" ht="18" x14ac:dyDescent="0.2">
      <c r="A939" s="2">
        <v>42891</v>
      </c>
      <c r="B939" s="3">
        <v>3.69</v>
      </c>
      <c r="C939">
        <f t="shared" si="56"/>
        <v>2.8510515689798779</v>
      </c>
      <c r="E939" s="18">
        <f t="shared" si="58"/>
        <v>174320.64991076197</v>
      </c>
      <c r="G939" s="3">
        <v>69.08</v>
      </c>
      <c r="H939" s="18">
        <f t="shared" si="57"/>
        <v>67.211275641176172</v>
      </c>
      <c r="I939">
        <f t="shared" si="59"/>
        <v>575278.04850873642</v>
      </c>
    </row>
    <row r="940" spans="1:9" ht="18" x14ac:dyDescent="0.2">
      <c r="A940" s="2">
        <v>42898</v>
      </c>
      <c r="B940" s="3">
        <v>3.74</v>
      </c>
      <c r="C940">
        <f t="shared" si="56"/>
        <v>2.9357133243151274</v>
      </c>
      <c r="E940" s="18">
        <f t="shared" si="58"/>
        <v>174320.64991076197</v>
      </c>
      <c r="G940" s="3">
        <v>68.459999999999994</v>
      </c>
      <c r="H940" s="18">
        <f t="shared" si="57"/>
        <v>67.330201770587962</v>
      </c>
      <c r="I940">
        <f t="shared" si="59"/>
        <v>575278.04850873642</v>
      </c>
    </row>
    <row r="941" spans="1:9" ht="18" x14ac:dyDescent="0.2">
      <c r="A941" s="2">
        <v>42912</v>
      </c>
      <c r="B941" s="3">
        <v>3.57</v>
      </c>
      <c r="C941">
        <f t="shared" si="56"/>
        <v>2.9961215791422582</v>
      </c>
      <c r="E941" s="18">
        <f t="shared" si="58"/>
        <v>174320.64991076197</v>
      </c>
      <c r="G941" s="3">
        <v>72.61</v>
      </c>
      <c r="H941" s="18">
        <f t="shared" si="57"/>
        <v>67.833039697198629</v>
      </c>
      <c r="I941">
        <f t="shared" si="59"/>
        <v>575278.04850873642</v>
      </c>
    </row>
    <row r="942" spans="1:9" ht="18" x14ac:dyDescent="0.2">
      <c r="A942" s="2">
        <v>42919</v>
      </c>
      <c r="B942" s="3">
        <v>3.62</v>
      </c>
      <c r="C942">
        <f t="shared" si="56"/>
        <v>3.0555385716049002</v>
      </c>
      <c r="E942" s="18">
        <f t="shared" si="58"/>
        <v>174320.64991076197</v>
      </c>
      <c r="G942" s="3">
        <v>74.55</v>
      </c>
      <c r="H942" s="18">
        <f t="shared" si="57"/>
        <v>68.472750202227331</v>
      </c>
      <c r="I942">
        <f t="shared" si="59"/>
        <v>575278.04850873642</v>
      </c>
    </row>
    <row r="943" spans="1:9" ht="18" x14ac:dyDescent="0.2">
      <c r="A943" s="2">
        <v>42926</v>
      </c>
      <c r="B943" s="3">
        <v>4.07</v>
      </c>
      <c r="C943">
        <f t="shared" si="56"/>
        <v>3.152153945737767</v>
      </c>
      <c r="E943" s="18">
        <f t="shared" si="58"/>
        <v>174320.64991076197</v>
      </c>
      <c r="G943" s="3">
        <v>73.69</v>
      </c>
      <c r="H943" s="18">
        <f t="shared" si="57"/>
        <v>68.969631135348536</v>
      </c>
      <c r="I943">
        <f t="shared" si="59"/>
        <v>575278.04850873642</v>
      </c>
    </row>
    <row r="944" spans="1:9" ht="18" x14ac:dyDescent="0.2">
      <c r="A944" s="2">
        <v>42933</v>
      </c>
      <c r="B944" s="3">
        <v>4.1500000000000004</v>
      </c>
      <c r="C944">
        <f t="shared" si="56"/>
        <v>3.247186903286551</v>
      </c>
      <c r="E944" s="18">
        <f t="shared" si="58"/>
        <v>174320.64991076197</v>
      </c>
      <c r="G944" s="3">
        <v>72.599999999999994</v>
      </c>
      <c r="H944" s="18">
        <f t="shared" si="57"/>
        <v>69.315380551029634</v>
      </c>
      <c r="I944">
        <f t="shared" si="59"/>
        <v>575278.04850873642</v>
      </c>
    </row>
    <row r="945" spans="1:9" ht="18" x14ac:dyDescent="0.2">
      <c r="A945" s="2">
        <v>42947</v>
      </c>
      <c r="B945" s="3">
        <v>4.13</v>
      </c>
      <c r="C945">
        <f t="shared" si="56"/>
        <v>3.3312643410687843</v>
      </c>
      <c r="E945" s="18">
        <f t="shared" si="58"/>
        <v>174320.64991076197</v>
      </c>
      <c r="G945" s="3">
        <v>74.81</v>
      </c>
      <c r="H945" s="18">
        <f t="shared" si="57"/>
        <v>69.83867764140777</v>
      </c>
      <c r="I945">
        <f t="shared" si="59"/>
        <v>575278.04850873642</v>
      </c>
    </row>
    <row r="946" spans="1:9" ht="18" x14ac:dyDescent="0.2">
      <c r="A946" s="2">
        <v>42954</v>
      </c>
      <c r="B946" s="3">
        <v>3.85</v>
      </c>
      <c r="C946">
        <f t="shared" si="56"/>
        <v>3.3806677371574714</v>
      </c>
      <c r="E946" s="18">
        <f t="shared" si="58"/>
        <v>174320.64991076197</v>
      </c>
      <c r="G946" s="3">
        <v>73.02</v>
      </c>
      <c r="H946" s="18">
        <f t="shared" si="57"/>
        <v>70.141660723178461</v>
      </c>
      <c r="I946">
        <f t="shared" si="59"/>
        <v>575278.04850873642</v>
      </c>
    </row>
    <row r="947" spans="1:9" ht="18" x14ac:dyDescent="0.2">
      <c r="A947" s="2">
        <v>42961</v>
      </c>
      <c r="B947" s="3">
        <v>3.99</v>
      </c>
      <c r="C947">
        <f t="shared" si="56"/>
        <v>3.4386993812377122</v>
      </c>
      <c r="E947" s="18">
        <f t="shared" si="58"/>
        <v>174320.64991076197</v>
      </c>
      <c r="G947" s="3">
        <v>72.48</v>
      </c>
      <c r="H947" s="18">
        <f t="shared" si="57"/>
        <v>70.364359701923377</v>
      </c>
      <c r="I947">
        <f t="shared" si="59"/>
        <v>575278.04850873642</v>
      </c>
    </row>
    <row r="948" spans="1:9" ht="18" x14ac:dyDescent="0.2">
      <c r="A948" s="2">
        <v>42968</v>
      </c>
      <c r="B948" s="3">
        <v>4.04</v>
      </c>
      <c r="C948">
        <f t="shared" si="56"/>
        <v>3.4959661068341208</v>
      </c>
      <c r="E948" s="18">
        <f t="shared" si="58"/>
        <v>174320.64991076197</v>
      </c>
      <c r="G948" s="3">
        <v>73.400000000000006</v>
      </c>
      <c r="H948" s="18">
        <f t="shared" si="57"/>
        <v>70.653468301740205</v>
      </c>
      <c r="I948">
        <f t="shared" si="59"/>
        <v>575278.04850873642</v>
      </c>
    </row>
    <row r="949" spans="1:9" ht="18" x14ac:dyDescent="0.2">
      <c r="A949" s="2">
        <v>42975</v>
      </c>
      <c r="B949" s="3">
        <v>4.21</v>
      </c>
      <c r="C949">
        <f t="shared" si="56"/>
        <v>3.5639693347546806</v>
      </c>
      <c r="E949" s="18">
        <f t="shared" si="58"/>
        <v>174320.64991076197</v>
      </c>
      <c r="G949" s="3">
        <v>73.25</v>
      </c>
      <c r="H949" s="18">
        <f t="shared" si="57"/>
        <v>70.900757034907798</v>
      </c>
      <c r="I949">
        <f t="shared" si="59"/>
        <v>575278.04850873642</v>
      </c>
    </row>
    <row r="950" spans="1:9" ht="18" x14ac:dyDescent="0.2">
      <c r="A950" s="2">
        <v>42989</v>
      </c>
      <c r="B950" s="3">
        <v>4.45</v>
      </c>
      <c r="C950">
        <f t="shared" si="56"/>
        <v>3.648353207635187</v>
      </c>
      <c r="E950" s="18">
        <f t="shared" si="58"/>
        <v>174320.64991076197</v>
      </c>
      <c r="G950" s="3">
        <v>73.180000000000007</v>
      </c>
      <c r="H950" s="18">
        <f t="shared" si="57"/>
        <v>71.117827793488004</v>
      </c>
      <c r="I950">
        <f t="shared" si="59"/>
        <v>575278.04850873642</v>
      </c>
    </row>
    <row r="951" spans="1:9" ht="18" x14ac:dyDescent="0.2">
      <c r="A951" s="2">
        <v>42996</v>
      </c>
      <c r="B951" s="3">
        <v>4.42</v>
      </c>
      <c r="C951">
        <f t="shared" si="56"/>
        <v>3.7218433783365978</v>
      </c>
      <c r="E951" s="18">
        <f t="shared" si="58"/>
        <v>174320.64991076197</v>
      </c>
      <c r="G951" s="3">
        <v>75.75</v>
      </c>
      <c r="H951" s="18">
        <f t="shared" si="57"/>
        <v>71.558987051251052</v>
      </c>
      <c r="I951">
        <f t="shared" si="59"/>
        <v>575278.04850873642</v>
      </c>
    </row>
    <row r="952" spans="1:9" ht="18" x14ac:dyDescent="0.2">
      <c r="A952" s="2">
        <v>43003</v>
      </c>
      <c r="B952" s="3">
        <v>4.42</v>
      </c>
      <c r="C952">
        <f t="shared" si="56"/>
        <v>3.7883344851616836</v>
      </c>
      <c r="E952" s="18">
        <f t="shared" si="58"/>
        <v>174320.64991076197</v>
      </c>
      <c r="G952" s="3">
        <v>76.290000000000006</v>
      </c>
      <c r="H952" s="18">
        <f t="shared" si="57"/>
        <v>72.009559713036666</v>
      </c>
      <c r="I952">
        <f t="shared" si="59"/>
        <v>575278.04850873642</v>
      </c>
    </row>
    <row r="953" spans="1:9" ht="18" x14ac:dyDescent="0.2">
      <c r="A953" s="2">
        <v>43017</v>
      </c>
      <c r="B953" s="3">
        <v>4.8099999999999996</v>
      </c>
      <c r="C953">
        <f t="shared" si="56"/>
        <v>3.8856359627653325</v>
      </c>
      <c r="E953" s="18">
        <f t="shared" si="58"/>
        <v>174320.64991076197</v>
      </c>
      <c r="G953" s="3">
        <v>77.02</v>
      </c>
      <c r="H953" s="18">
        <f t="shared" si="57"/>
        <v>72.486744502271264</v>
      </c>
      <c r="I953">
        <f t="shared" si="59"/>
        <v>575278.04850873642</v>
      </c>
    </row>
    <row r="954" spans="1:9" ht="18" x14ac:dyDescent="0.2">
      <c r="A954" s="2">
        <v>43024</v>
      </c>
      <c r="B954" s="3">
        <v>4.8600000000000003</v>
      </c>
      <c r="C954">
        <f t="shared" si="56"/>
        <v>3.9784325377400629</v>
      </c>
      <c r="E954" s="18">
        <f t="shared" si="58"/>
        <v>174320.64991076197</v>
      </c>
      <c r="G954" s="3">
        <v>79.95</v>
      </c>
      <c r="H954" s="18">
        <f t="shared" si="57"/>
        <v>73.197530740150185</v>
      </c>
      <c r="I954">
        <f t="shared" si="59"/>
        <v>575278.04850873642</v>
      </c>
    </row>
    <row r="955" spans="1:9" ht="18" x14ac:dyDescent="0.2">
      <c r="A955" s="2">
        <v>43031</v>
      </c>
      <c r="B955" s="3">
        <v>4.99</v>
      </c>
      <c r="C955">
        <f t="shared" si="56"/>
        <v>4.0747722960505328</v>
      </c>
      <c r="E955" s="18">
        <f t="shared" si="58"/>
        <v>174320.64991076197</v>
      </c>
      <c r="G955" s="3">
        <v>81.77</v>
      </c>
      <c r="H955" s="18">
        <f t="shared" si="57"/>
        <v>74.013956383945398</v>
      </c>
      <c r="I955">
        <f t="shared" si="59"/>
        <v>575278.04850873642</v>
      </c>
    </row>
    <row r="956" spans="1:9" ht="18" x14ac:dyDescent="0.2">
      <c r="A956" s="2">
        <v>43045</v>
      </c>
      <c r="B956" s="3">
        <v>5.34</v>
      </c>
      <c r="C956">
        <f t="shared" si="56"/>
        <v>4.1952701726171489</v>
      </c>
      <c r="E956" s="18">
        <f t="shared" si="58"/>
        <v>174320.64991076197</v>
      </c>
      <c r="G956" s="3">
        <v>78.34</v>
      </c>
      <c r="H956" s="18">
        <f t="shared" si="57"/>
        <v>74.42596053785536</v>
      </c>
      <c r="I956">
        <f t="shared" si="59"/>
        <v>575278.04850873642</v>
      </c>
    </row>
    <row r="957" spans="1:9" ht="18" x14ac:dyDescent="0.2">
      <c r="A957" s="2">
        <v>43052</v>
      </c>
      <c r="B957" s="3">
        <v>5.22</v>
      </c>
      <c r="C957">
        <f t="shared" si="56"/>
        <v>4.2928634895107534</v>
      </c>
      <c r="E957" s="18">
        <f t="shared" si="58"/>
        <v>174320.64991076197</v>
      </c>
      <c r="G957" s="3">
        <v>78.849999999999994</v>
      </c>
      <c r="H957" s="18">
        <f t="shared" si="57"/>
        <v>74.847297629488182</v>
      </c>
      <c r="I957">
        <f t="shared" si="59"/>
        <v>575278.04850873642</v>
      </c>
    </row>
    <row r="958" spans="1:9" ht="18" x14ac:dyDescent="0.2">
      <c r="A958" s="2">
        <v>43059</v>
      </c>
      <c r="B958" s="3">
        <v>5.36</v>
      </c>
      <c r="C958">
        <f t="shared" si="56"/>
        <v>4.3944955381287771</v>
      </c>
      <c r="E958" s="18">
        <f t="shared" si="58"/>
        <v>174320.64991076197</v>
      </c>
      <c r="G958" s="3">
        <v>78.989999999999995</v>
      </c>
      <c r="H958" s="18">
        <f t="shared" si="57"/>
        <v>75.241840712394065</v>
      </c>
      <c r="I958">
        <f t="shared" si="59"/>
        <v>575278.04850873642</v>
      </c>
    </row>
    <row r="959" spans="1:9" ht="18" x14ac:dyDescent="0.2">
      <c r="A959" s="2">
        <v>43066</v>
      </c>
      <c r="B959" s="3">
        <v>4.8899999999999997</v>
      </c>
      <c r="C959">
        <f t="shared" si="56"/>
        <v>4.44168643925937</v>
      </c>
      <c r="E959" s="18">
        <f t="shared" si="58"/>
        <v>174320.64991076197</v>
      </c>
      <c r="G959" s="3">
        <v>84.19</v>
      </c>
      <c r="H959" s="18">
        <f t="shared" si="57"/>
        <v>76.094046358832728</v>
      </c>
      <c r="I959">
        <f t="shared" si="59"/>
        <v>575278.04850873642</v>
      </c>
    </row>
    <row r="960" spans="1:9" ht="18" x14ac:dyDescent="0.2">
      <c r="A960" s="2">
        <v>43073</v>
      </c>
      <c r="B960" s="3">
        <v>4.7300000000000004</v>
      </c>
      <c r="C960">
        <f t="shared" si="56"/>
        <v>4.4691448736156207</v>
      </c>
      <c r="E960" s="18">
        <f t="shared" si="58"/>
        <v>174320.64991076197</v>
      </c>
      <c r="G960" s="3">
        <v>85.11</v>
      </c>
      <c r="H960" s="18">
        <f t="shared" si="57"/>
        <v>76.952708610372468</v>
      </c>
      <c r="I960">
        <f t="shared" si="59"/>
        <v>575278.04850873642</v>
      </c>
    </row>
    <row r="961" spans="1:9" ht="18" x14ac:dyDescent="0.2">
      <c r="A961" s="2">
        <v>43080</v>
      </c>
      <c r="B961" s="3">
        <v>4.74</v>
      </c>
      <c r="C961">
        <f t="shared" si="56"/>
        <v>4.4949405999379426</v>
      </c>
      <c r="E961" s="18">
        <f t="shared" si="58"/>
        <v>174320.64991076197</v>
      </c>
      <c r="G961" s="3">
        <v>85.28</v>
      </c>
      <c r="H961" s="18">
        <f t="shared" si="57"/>
        <v>77.745783980813187</v>
      </c>
      <c r="I961">
        <f t="shared" si="59"/>
        <v>575278.04850873642</v>
      </c>
    </row>
    <row r="962" spans="1:9" ht="18" x14ac:dyDescent="0.2">
      <c r="A962" s="2">
        <v>43087</v>
      </c>
      <c r="B962" s="3">
        <v>4.83</v>
      </c>
      <c r="C962">
        <f t="shared" si="56"/>
        <v>4.5268510189914721</v>
      </c>
      <c r="E962" s="18">
        <f t="shared" si="58"/>
        <v>174320.64991076197</v>
      </c>
      <c r="G962" s="3">
        <v>86.33</v>
      </c>
      <c r="H962" s="18">
        <f t="shared" si="57"/>
        <v>78.563328363592888</v>
      </c>
      <c r="I962">
        <f t="shared" si="59"/>
        <v>575278.04850873642</v>
      </c>
    </row>
    <row r="963" spans="1:9" ht="18" x14ac:dyDescent="0.2">
      <c r="A963" s="2">
        <v>43101</v>
      </c>
      <c r="B963" s="3">
        <v>5.33</v>
      </c>
      <c r="C963">
        <f t="shared" si="56"/>
        <v>4.6033413981351412</v>
      </c>
      <c r="E963" s="18">
        <f t="shared" si="58"/>
        <v>174320.64991076197</v>
      </c>
      <c r="G963" s="3">
        <v>87.04</v>
      </c>
      <c r="H963" s="18">
        <f t="shared" si="57"/>
        <v>79.370630424203085</v>
      </c>
      <c r="I963">
        <f t="shared" si="59"/>
        <v>575278.04850873642</v>
      </c>
    </row>
    <row r="964" spans="1:9" ht="18" x14ac:dyDescent="0.2">
      <c r="A964" s="2">
        <v>43108</v>
      </c>
      <c r="B964" s="3">
        <v>5.51</v>
      </c>
      <c r="C964">
        <f t="shared" si="56"/>
        <v>4.6896898364079851</v>
      </c>
      <c r="E964" s="18">
        <f t="shared" si="58"/>
        <v>174320.64991076197</v>
      </c>
      <c r="G964" s="3">
        <v>90.99</v>
      </c>
      <c r="H964" s="18">
        <f t="shared" si="57"/>
        <v>80.477237050469455</v>
      </c>
      <c r="I964">
        <f t="shared" si="59"/>
        <v>575278.04850873642</v>
      </c>
    </row>
    <row r="965" spans="1:9" ht="18" x14ac:dyDescent="0.2">
      <c r="A965" s="2">
        <v>43122</v>
      </c>
      <c r="B965" s="3">
        <v>6.02</v>
      </c>
      <c r="C965">
        <f t="shared" si="56"/>
        <v>4.8163860424643676</v>
      </c>
      <c r="E965" s="18">
        <f t="shared" si="58"/>
        <v>174320.64991076197</v>
      </c>
      <c r="G965" s="3">
        <v>93.94</v>
      </c>
      <c r="H965" s="18">
        <f t="shared" si="57"/>
        <v>81.759404950424738</v>
      </c>
      <c r="I965">
        <f t="shared" si="59"/>
        <v>575278.04850873642</v>
      </c>
    </row>
    <row r="966" spans="1:9" ht="18" x14ac:dyDescent="0.2">
      <c r="A966" s="2">
        <v>43129</v>
      </c>
      <c r="B966" s="3">
        <v>5.77</v>
      </c>
      <c r="C966">
        <f t="shared" si="56"/>
        <v>4.9072064193725229</v>
      </c>
      <c r="E966" s="18">
        <f t="shared" si="58"/>
        <v>174320.64991076197</v>
      </c>
      <c r="G966" s="3">
        <v>92.29</v>
      </c>
      <c r="H966" s="18">
        <f t="shared" si="57"/>
        <v>82.762318764669999</v>
      </c>
      <c r="I966">
        <f t="shared" si="59"/>
        <v>575278.04850873642</v>
      </c>
    </row>
    <row r="967" spans="1:9" ht="18" x14ac:dyDescent="0.2">
      <c r="A967" s="2">
        <v>43143</v>
      </c>
      <c r="B967" s="3">
        <v>6.03</v>
      </c>
      <c r="C967">
        <f t="shared" si="56"/>
        <v>5.0141391413370444</v>
      </c>
      <c r="E967" s="18">
        <f t="shared" si="58"/>
        <v>174320.64991076197</v>
      </c>
      <c r="G967" s="3">
        <v>92.62</v>
      </c>
      <c r="H967" s="18">
        <f t="shared" si="57"/>
        <v>83.701145548987142</v>
      </c>
      <c r="I967">
        <f t="shared" si="59"/>
        <v>575278.04850873642</v>
      </c>
    </row>
    <row r="968" spans="1:9" ht="18" x14ac:dyDescent="0.2">
      <c r="A968" s="2">
        <v>43150</v>
      </c>
      <c r="B968" s="3">
        <v>6.08</v>
      </c>
      <c r="C968">
        <f t="shared" si="56"/>
        <v>5.115649699304945</v>
      </c>
      <c r="E968" s="18">
        <f t="shared" si="58"/>
        <v>174320.64991076197</v>
      </c>
      <c r="G968" s="3">
        <v>94.74</v>
      </c>
      <c r="H968" s="18">
        <f t="shared" si="57"/>
        <v>84.752465020512176</v>
      </c>
      <c r="I968">
        <f t="shared" si="59"/>
        <v>575278.04850873642</v>
      </c>
    </row>
    <row r="969" spans="1:9" ht="18" x14ac:dyDescent="0.2">
      <c r="A969" s="2">
        <v>43157</v>
      </c>
      <c r="B969" s="3">
        <v>5.85</v>
      </c>
      <c r="C969">
        <f t="shared" si="56"/>
        <v>5.185587823180664</v>
      </c>
      <c r="E969" s="18">
        <f t="shared" si="58"/>
        <v>174320.64991076197</v>
      </c>
      <c r="G969" s="3">
        <v>91.52</v>
      </c>
      <c r="H969" s="18">
        <f t="shared" si="57"/>
        <v>85.396992161415781</v>
      </c>
      <c r="I969">
        <f t="shared" si="59"/>
        <v>575278.04850873642</v>
      </c>
    </row>
    <row r="970" spans="1:9" ht="18" x14ac:dyDescent="0.2">
      <c r="A970" s="2">
        <v>43164</v>
      </c>
      <c r="B970" s="3">
        <v>6.07</v>
      </c>
      <c r="C970">
        <f t="shared" si="56"/>
        <v>5.2698175543063153</v>
      </c>
      <c r="E970" s="18">
        <f t="shared" si="58"/>
        <v>174320.64991076197</v>
      </c>
      <c r="G970" s="3">
        <v>95.33</v>
      </c>
      <c r="H970" s="18">
        <f t="shared" si="57"/>
        <v>86.342992907947618</v>
      </c>
      <c r="I970">
        <f t="shared" si="59"/>
        <v>575278.04850873642</v>
      </c>
    </row>
    <row r="971" spans="1:9" ht="18" x14ac:dyDescent="0.2">
      <c r="A971" s="2">
        <v>43171</v>
      </c>
      <c r="B971" s="3">
        <v>6.2</v>
      </c>
      <c r="C971">
        <f t="shared" si="56"/>
        <v>5.3584063586580948</v>
      </c>
      <c r="E971" s="18">
        <f t="shared" si="58"/>
        <v>174320.64991076197</v>
      </c>
      <c r="G971" s="3">
        <v>93.23</v>
      </c>
      <c r="H971" s="18">
        <f t="shared" si="57"/>
        <v>86.998898345285937</v>
      </c>
      <c r="I971">
        <f t="shared" si="59"/>
        <v>575278.04850873642</v>
      </c>
    </row>
    <row r="972" spans="1:9" ht="18" x14ac:dyDescent="0.2">
      <c r="A972" s="2">
        <v>43178</v>
      </c>
      <c r="B972" s="3">
        <v>5.76</v>
      </c>
      <c r="C972">
        <f t="shared" si="56"/>
        <v>5.3966533721192285</v>
      </c>
      <c r="E972" s="18">
        <f t="shared" si="58"/>
        <v>174320.64991076197</v>
      </c>
      <c r="G972" s="3">
        <v>86.42</v>
      </c>
      <c r="H972" s="18">
        <f t="shared" si="57"/>
        <v>86.94376516954442</v>
      </c>
      <c r="I972">
        <f t="shared" si="59"/>
        <v>575278.04850873642</v>
      </c>
    </row>
    <row r="973" spans="1:9" ht="18" x14ac:dyDescent="0.2">
      <c r="A973" s="2">
        <v>43185</v>
      </c>
      <c r="B973" s="3">
        <v>5.73</v>
      </c>
      <c r="C973">
        <f t="shared" si="56"/>
        <v>5.4284006700126355</v>
      </c>
      <c r="E973" s="18">
        <f t="shared" si="58"/>
        <v>174320.64991076197</v>
      </c>
      <c r="G973" s="3">
        <v>88.81</v>
      </c>
      <c r="H973" s="18">
        <f t="shared" si="57"/>
        <v>87.121501820063997</v>
      </c>
      <c r="I973">
        <f t="shared" si="59"/>
        <v>591187.72839690908</v>
      </c>
    </row>
    <row r="974" spans="1:9" ht="18" x14ac:dyDescent="0.2">
      <c r="A974" s="2">
        <v>43192</v>
      </c>
      <c r="B974" s="3">
        <v>5.3</v>
      </c>
      <c r="C974">
        <f t="shared" si="56"/>
        <v>5.4161720347733366</v>
      </c>
      <c r="E974" s="18">
        <f t="shared" si="58"/>
        <v>174320.64991076197</v>
      </c>
      <c r="G974" s="3">
        <v>88.1</v>
      </c>
      <c r="H974" s="18">
        <f t="shared" si="57"/>
        <v>87.214692122915039</v>
      </c>
      <c r="I974">
        <f t="shared" si="59"/>
        <v>591187.72839690908</v>
      </c>
    </row>
    <row r="975" spans="1:9" ht="18" x14ac:dyDescent="0.2">
      <c r="A975" s="2">
        <v>43199</v>
      </c>
      <c r="B975" s="3">
        <v>5.73</v>
      </c>
      <c r="C975">
        <f t="shared" si="56"/>
        <v>5.4460604124139715</v>
      </c>
      <c r="E975" s="18">
        <f t="shared" si="58"/>
        <v>188463.6460355974</v>
      </c>
      <c r="G975" s="3">
        <v>89.53</v>
      </c>
      <c r="H975" s="18">
        <f t="shared" si="57"/>
        <v>87.435197635018369</v>
      </c>
      <c r="I975">
        <f t="shared" si="59"/>
        <v>591187.72839690908</v>
      </c>
    </row>
    <row r="976" spans="1:9" ht="18" x14ac:dyDescent="0.2">
      <c r="A976" s="2">
        <v>43213</v>
      </c>
      <c r="B976" s="3">
        <v>5.6</v>
      </c>
      <c r="C976">
        <f t="shared" si="56"/>
        <v>5.4607213255174027</v>
      </c>
      <c r="E976" s="18">
        <f t="shared" si="58"/>
        <v>188463.6460355974</v>
      </c>
      <c r="G976" s="3">
        <v>88.8</v>
      </c>
      <c r="H976" s="18">
        <f t="shared" si="57"/>
        <v>87.565178812635665</v>
      </c>
      <c r="I976">
        <f t="shared" si="59"/>
        <v>591187.72839690908</v>
      </c>
    </row>
    <row r="977" spans="1:9" ht="18" x14ac:dyDescent="0.2">
      <c r="A977" s="2">
        <v>43227</v>
      </c>
      <c r="B977" s="3">
        <v>6.3</v>
      </c>
      <c r="C977">
        <f t="shared" si="56"/>
        <v>5.5406526278490791</v>
      </c>
      <c r="E977" s="18">
        <f t="shared" si="58"/>
        <v>188463.6460355974</v>
      </c>
      <c r="G977" s="3">
        <v>92.42</v>
      </c>
      <c r="H977" s="18">
        <f t="shared" si="57"/>
        <v>88.027542735241795</v>
      </c>
      <c r="I977">
        <f t="shared" si="59"/>
        <v>591187.72839690908</v>
      </c>
    </row>
    <row r="978" spans="1:9" ht="18" x14ac:dyDescent="0.2">
      <c r="A978" s="2">
        <v>43241</v>
      </c>
      <c r="B978" s="3">
        <v>6.17</v>
      </c>
      <c r="C978">
        <f t="shared" si="56"/>
        <v>5.6005904728158331</v>
      </c>
      <c r="E978" s="18">
        <f t="shared" si="58"/>
        <v>188463.6460355974</v>
      </c>
      <c r="G978" s="3">
        <v>89.82</v>
      </c>
      <c r="H978" s="18">
        <f t="shared" si="57"/>
        <v>88.198252950933053</v>
      </c>
      <c r="I978">
        <f t="shared" si="59"/>
        <v>591187.72839690908</v>
      </c>
    </row>
    <row r="979" spans="1:9" ht="18" x14ac:dyDescent="0.2">
      <c r="A979" s="2">
        <v>43248</v>
      </c>
      <c r="B979" s="3">
        <v>6.38</v>
      </c>
      <c r="C979">
        <f t="shared" si="56"/>
        <v>5.6748199515952775</v>
      </c>
      <c r="E979" s="18">
        <f t="shared" si="58"/>
        <v>188463.6460355974</v>
      </c>
      <c r="G979" s="3">
        <v>87.99</v>
      </c>
      <c r="H979" s="18">
        <f t="shared" si="57"/>
        <v>88.178419336558477</v>
      </c>
      <c r="I979">
        <f t="shared" si="59"/>
        <v>591187.72839690908</v>
      </c>
    </row>
    <row r="980" spans="1:9" ht="18" x14ac:dyDescent="0.2">
      <c r="A980" s="2">
        <v>43255</v>
      </c>
      <c r="B980" s="3">
        <v>6.49</v>
      </c>
      <c r="C980">
        <f t="shared" si="56"/>
        <v>5.7524561466814417</v>
      </c>
      <c r="E980" s="18">
        <f t="shared" si="58"/>
        <v>188463.6460355974</v>
      </c>
      <c r="G980" s="3">
        <v>90.19</v>
      </c>
      <c r="H980" s="18">
        <f t="shared" si="57"/>
        <v>88.369998447362434</v>
      </c>
      <c r="I980">
        <f t="shared" si="59"/>
        <v>605969.101308299</v>
      </c>
    </row>
    <row r="981" spans="1:9" ht="18" x14ac:dyDescent="0.2">
      <c r="A981" s="2">
        <v>43262</v>
      </c>
      <c r="B981" s="3">
        <v>6.57</v>
      </c>
      <c r="C981">
        <f t="shared" si="56"/>
        <v>5.8303174660451136</v>
      </c>
      <c r="E981" s="18">
        <f t="shared" si="58"/>
        <v>188463.6460355974</v>
      </c>
      <c r="G981" s="3">
        <v>87.58</v>
      </c>
      <c r="H981" s="18">
        <f t="shared" si="57"/>
        <v>88.294760499994581</v>
      </c>
      <c r="I981">
        <f t="shared" si="59"/>
        <v>605969.101308299</v>
      </c>
    </row>
    <row r="982" spans="1:9" ht="18" x14ac:dyDescent="0.2">
      <c r="A982" s="2">
        <v>43269</v>
      </c>
      <c r="B982" s="3">
        <v>6.21</v>
      </c>
      <c r="C982">
        <f t="shared" si="56"/>
        <v>5.8664777073741501</v>
      </c>
      <c r="E982" s="18">
        <f t="shared" si="58"/>
        <v>188463.6460355974</v>
      </c>
      <c r="G982" s="3">
        <v>85.84</v>
      </c>
      <c r="H982" s="18">
        <f t="shared" si="57"/>
        <v>88.060973785709379</v>
      </c>
      <c r="I982">
        <f t="shared" si="59"/>
        <v>593929.9800902534</v>
      </c>
    </row>
    <row r="983" spans="1:9" ht="18" x14ac:dyDescent="0.2">
      <c r="A983" s="2">
        <v>43276</v>
      </c>
      <c r="B983" s="3">
        <v>5.86</v>
      </c>
      <c r="C983">
        <f t="shared" si="56"/>
        <v>5.8658607828623266</v>
      </c>
      <c r="E983" s="18">
        <f t="shared" si="58"/>
        <v>188463.6460355974</v>
      </c>
      <c r="G983" s="3">
        <v>84.58</v>
      </c>
      <c r="H983" s="18">
        <f t="shared" si="57"/>
        <v>87.729452472784672</v>
      </c>
      <c r="I983">
        <f t="shared" si="59"/>
        <v>585211.99575994443</v>
      </c>
    </row>
    <row r="984" spans="1:9" ht="18" x14ac:dyDescent="0.2">
      <c r="A984" s="2">
        <v>43283</v>
      </c>
      <c r="B984" s="3">
        <v>6.12</v>
      </c>
      <c r="C984">
        <f t="shared" si="56"/>
        <v>5.8900645178278195</v>
      </c>
      <c r="E984" s="18">
        <f t="shared" si="58"/>
        <v>196825.51428973654</v>
      </c>
      <c r="G984" s="3">
        <v>84.47</v>
      </c>
      <c r="H984" s="18">
        <f t="shared" si="57"/>
        <v>87.419028427757567</v>
      </c>
      <c r="I984">
        <f t="shared" si="59"/>
        <v>584450.90188983816</v>
      </c>
    </row>
    <row r="985" spans="1:9" ht="18" x14ac:dyDescent="0.2">
      <c r="A985" s="2">
        <v>43290</v>
      </c>
      <c r="B985" s="3">
        <v>6.17</v>
      </c>
      <c r="C985">
        <f t="shared" ref="C985:C1048" si="60">(B985-C984)*$D$4+C984</f>
        <v>5.9167250399394558</v>
      </c>
      <c r="E985" s="18">
        <f t="shared" si="58"/>
        <v>196825.51428973654</v>
      </c>
      <c r="G985" s="3">
        <v>86.8</v>
      </c>
      <c r="H985" s="18">
        <f t="shared" si="57"/>
        <v>87.360073339399705</v>
      </c>
      <c r="I985">
        <f t="shared" si="59"/>
        <v>600572.25386572687</v>
      </c>
    </row>
    <row r="986" spans="1:9" ht="18" x14ac:dyDescent="0.2">
      <c r="A986" s="2">
        <v>43297</v>
      </c>
      <c r="B986" s="3">
        <v>6.21</v>
      </c>
      <c r="C986">
        <f t="shared" si="60"/>
        <v>5.9446559885166508</v>
      </c>
      <c r="E986" s="18">
        <f t="shared" si="58"/>
        <v>196825.51428973654</v>
      </c>
      <c r="G986" s="3">
        <v>90.82</v>
      </c>
      <c r="H986" s="18">
        <f t="shared" ref="H986:H1049" si="61">(G986-H985)*$D$4+H985</f>
        <v>87.689590164218785</v>
      </c>
      <c r="I986">
        <f t="shared" si="59"/>
        <v>628386.77530052199</v>
      </c>
    </row>
    <row r="987" spans="1:9" ht="18" x14ac:dyDescent="0.2">
      <c r="A987" s="2">
        <v>43304</v>
      </c>
      <c r="B987" s="3">
        <v>6.24</v>
      </c>
      <c r="C987">
        <f t="shared" si="60"/>
        <v>5.9727839896103028</v>
      </c>
      <c r="E987" s="18">
        <f t="shared" si="58"/>
        <v>196825.51428973654</v>
      </c>
      <c r="G987" s="3">
        <v>94.69</v>
      </c>
      <c r="H987" s="18">
        <f t="shared" si="61"/>
        <v>88.356295862864613</v>
      </c>
      <c r="I987">
        <f t="shared" si="59"/>
        <v>628386.77530052199</v>
      </c>
    </row>
    <row r="988" spans="1:9" ht="18" x14ac:dyDescent="0.2">
      <c r="A988" s="2">
        <v>43311</v>
      </c>
      <c r="B988" s="3">
        <v>6.24</v>
      </c>
      <c r="C988">
        <f t="shared" si="60"/>
        <v>5.9982331334569405</v>
      </c>
      <c r="E988" s="18">
        <f t="shared" si="58"/>
        <v>196825.51428973654</v>
      </c>
      <c r="G988" s="3">
        <v>95.56</v>
      </c>
      <c r="H988" s="18">
        <f t="shared" si="61"/>
        <v>89.042362923544175</v>
      </c>
      <c r="I988">
        <f t="shared" si="59"/>
        <v>628386.77530052199</v>
      </c>
    </row>
    <row r="989" spans="1:9" ht="18" x14ac:dyDescent="0.2">
      <c r="A989" s="2">
        <v>43346</v>
      </c>
      <c r="B989" s="3">
        <v>6.73</v>
      </c>
      <c r="C989">
        <f t="shared" si="60"/>
        <v>6.0679252159848511</v>
      </c>
      <c r="E989" s="18">
        <f t="shared" ref="E989:E1052" si="62">IF(C988&gt;B988,E988*B989/B988,E988)</f>
        <v>196825.51428973654</v>
      </c>
      <c r="G989" s="3">
        <v>93.3</v>
      </c>
      <c r="H989" s="18">
        <f t="shared" si="61"/>
        <v>89.447852168920917</v>
      </c>
      <c r="I989">
        <f t="shared" si="59"/>
        <v>628386.77530052199</v>
      </c>
    </row>
    <row r="990" spans="1:9" ht="18" x14ac:dyDescent="0.2">
      <c r="A990" s="2">
        <v>43353</v>
      </c>
      <c r="B990" s="3">
        <v>6.85</v>
      </c>
      <c r="C990">
        <f t="shared" si="60"/>
        <v>6.1424085287481986</v>
      </c>
      <c r="E990" s="18">
        <f t="shared" si="62"/>
        <v>196825.51428973654</v>
      </c>
      <c r="G990" s="3">
        <v>92.63</v>
      </c>
      <c r="H990" s="18">
        <f t="shared" si="61"/>
        <v>89.750913867118925</v>
      </c>
      <c r="I990">
        <f t="shared" ref="I990:I1053" si="63">IF(H989&gt;G989,I989*G990/G989,I989)</f>
        <v>628386.77530052199</v>
      </c>
    </row>
    <row r="991" spans="1:9" ht="18" x14ac:dyDescent="0.2">
      <c r="A991" s="2">
        <v>43360</v>
      </c>
      <c r="B991" s="3">
        <v>6.53</v>
      </c>
      <c r="C991">
        <f t="shared" si="60"/>
        <v>6.1793220022007516</v>
      </c>
      <c r="E991" s="18">
        <f t="shared" si="62"/>
        <v>196825.51428973654</v>
      </c>
      <c r="G991" s="3">
        <v>96.18</v>
      </c>
      <c r="H991" s="18">
        <f t="shared" si="61"/>
        <v>90.363207784536172</v>
      </c>
      <c r="I991">
        <f t="shared" si="63"/>
        <v>628386.77530052199</v>
      </c>
    </row>
    <row r="992" spans="1:9" ht="18" x14ac:dyDescent="0.2">
      <c r="A992" s="2">
        <v>43367</v>
      </c>
      <c r="B992" s="3">
        <v>6.96</v>
      </c>
      <c r="C992">
        <f t="shared" si="60"/>
        <v>6.2536722877054416</v>
      </c>
      <c r="E992" s="18">
        <f t="shared" si="62"/>
        <v>196825.51428973654</v>
      </c>
      <c r="G992" s="3">
        <v>92.09</v>
      </c>
      <c r="H992" s="18">
        <f t="shared" si="61"/>
        <v>90.52766418600892</v>
      </c>
      <c r="I992">
        <f t="shared" si="63"/>
        <v>628386.77530052199</v>
      </c>
    </row>
    <row r="993" spans="1:9" ht="18" x14ac:dyDescent="0.2">
      <c r="A993" s="2">
        <v>43374</v>
      </c>
      <c r="B993" s="3">
        <v>6.68</v>
      </c>
      <c r="C993">
        <f t="shared" si="60"/>
        <v>6.2942749269715899</v>
      </c>
      <c r="E993" s="18">
        <f t="shared" si="62"/>
        <v>196825.51428973654</v>
      </c>
      <c r="G993" s="3">
        <v>93.54</v>
      </c>
      <c r="H993" s="18">
        <f t="shared" si="61"/>
        <v>90.814553311150931</v>
      </c>
      <c r="I993">
        <f t="shared" si="63"/>
        <v>628386.77530052199</v>
      </c>
    </row>
    <row r="994" spans="1:9" ht="18" x14ac:dyDescent="0.2">
      <c r="A994" s="2">
        <v>43381</v>
      </c>
      <c r="B994" s="3">
        <v>6.11</v>
      </c>
      <c r="C994">
        <f t="shared" si="60"/>
        <v>6.2767249339266762</v>
      </c>
      <c r="E994" s="18">
        <f t="shared" si="62"/>
        <v>196825.51428973654</v>
      </c>
      <c r="G994" s="3">
        <v>87.9</v>
      </c>
      <c r="H994" s="18">
        <f t="shared" si="61"/>
        <v>90.536976805327029</v>
      </c>
      <c r="I994">
        <f t="shared" si="63"/>
        <v>628386.77530052199</v>
      </c>
    </row>
    <row r="995" spans="1:9" ht="18" x14ac:dyDescent="0.2">
      <c r="A995" s="2">
        <v>43388</v>
      </c>
      <c r="B995" s="3">
        <v>5.68</v>
      </c>
      <c r="C995">
        <f t="shared" si="60"/>
        <v>6.2198939878384216</v>
      </c>
      <c r="E995" s="18">
        <f t="shared" si="62"/>
        <v>182973.63685199729</v>
      </c>
      <c r="G995" s="3">
        <v>88.68</v>
      </c>
      <c r="H995" s="18">
        <f t="shared" si="61"/>
        <v>90.360121871486356</v>
      </c>
      <c r="I995">
        <f t="shared" si="63"/>
        <v>633962.90368202841</v>
      </c>
    </row>
    <row r="996" spans="1:9" ht="18" x14ac:dyDescent="0.2">
      <c r="A996" s="2">
        <v>43395</v>
      </c>
      <c r="B996" s="3">
        <v>4.91</v>
      </c>
      <c r="C996">
        <f t="shared" si="60"/>
        <v>6.095142179472858</v>
      </c>
      <c r="E996" s="18">
        <f t="shared" si="62"/>
        <v>158169.11213790611</v>
      </c>
      <c r="G996" s="3">
        <v>84.99</v>
      </c>
      <c r="H996" s="18">
        <f t="shared" si="61"/>
        <v>89.84868169324956</v>
      </c>
      <c r="I996">
        <f t="shared" si="63"/>
        <v>607583.52710797905</v>
      </c>
    </row>
    <row r="997" spans="1:9" ht="18" x14ac:dyDescent="0.2">
      <c r="A997" s="2">
        <v>43402</v>
      </c>
      <c r="B997" s="3">
        <v>5.32</v>
      </c>
      <c r="C997">
        <f t="shared" si="60"/>
        <v>6.0213191147611571</v>
      </c>
      <c r="E997" s="18">
        <f t="shared" si="62"/>
        <v>171376.71620644818</v>
      </c>
      <c r="G997" s="3">
        <v>89.07</v>
      </c>
      <c r="H997" s="18">
        <f t="shared" si="61"/>
        <v>89.774521531987702</v>
      </c>
      <c r="I997">
        <f t="shared" si="63"/>
        <v>636750.96787278145</v>
      </c>
    </row>
    <row r="998" spans="1:9" ht="18" x14ac:dyDescent="0.2">
      <c r="A998" s="2">
        <v>43409</v>
      </c>
      <c r="B998" s="3">
        <v>5.09</v>
      </c>
      <c r="C998">
        <f t="shared" si="60"/>
        <v>5.9326220562124758</v>
      </c>
      <c r="E998" s="18">
        <f t="shared" si="62"/>
        <v>163967.57246068068</v>
      </c>
      <c r="G998" s="3">
        <v>91.46</v>
      </c>
      <c r="H998" s="18">
        <f t="shared" si="61"/>
        <v>89.935043290846011</v>
      </c>
      <c r="I998">
        <f t="shared" si="63"/>
        <v>653836.79714432009</v>
      </c>
    </row>
    <row r="999" spans="1:9" ht="18" x14ac:dyDescent="0.2">
      <c r="A999" s="2">
        <v>43416</v>
      </c>
      <c r="B999" s="3">
        <v>4.07</v>
      </c>
      <c r="C999">
        <f t="shared" si="60"/>
        <v>5.7552294794303354</v>
      </c>
      <c r="E999" s="18">
        <f t="shared" si="62"/>
        <v>131109.63063162484</v>
      </c>
      <c r="G999" s="3">
        <v>90.39</v>
      </c>
      <c r="H999" s="18">
        <f t="shared" si="61"/>
        <v>89.978372501241623</v>
      </c>
      <c r="I999">
        <f t="shared" si="63"/>
        <v>653836.79714432009</v>
      </c>
    </row>
    <row r="1000" spans="1:9" ht="18" x14ac:dyDescent="0.2">
      <c r="A1000" s="2">
        <v>43423</v>
      </c>
      <c r="B1000" s="3">
        <v>3.59</v>
      </c>
      <c r="C1000">
        <f t="shared" si="60"/>
        <v>5.5490171480560173</v>
      </c>
      <c r="E1000" s="18">
        <f t="shared" si="62"/>
        <v>115647.06977089265</v>
      </c>
      <c r="G1000" s="3">
        <v>87.65</v>
      </c>
      <c r="H1000" s="18">
        <f t="shared" si="61"/>
        <v>89.756622739218614</v>
      </c>
      <c r="I1000">
        <f t="shared" si="63"/>
        <v>653836.79714432009</v>
      </c>
    </row>
    <row r="1001" spans="1:9" ht="18" x14ac:dyDescent="0.2">
      <c r="A1001" s="2">
        <v>43430</v>
      </c>
      <c r="B1001" s="3">
        <v>4.05</v>
      </c>
      <c r="C1001">
        <f t="shared" si="60"/>
        <v>5.4062536101459209</v>
      </c>
      <c r="E1001" s="18">
        <f t="shared" si="62"/>
        <v>130465.35726242763</v>
      </c>
      <c r="G1001" s="3">
        <v>91.38</v>
      </c>
      <c r="H1001" s="18">
        <f t="shared" si="61"/>
        <v>89.91123009738827</v>
      </c>
      <c r="I1001">
        <f t="shared" si="63"/>
        <v>681661.22673186497</v>
      </c>
    </row>
    <row r="1002" spans="1:9" ht="18" x14ac:dyDescent="0.2">
      <c r="A1002" s="2">
        <v>43437</v>
      </c>
      <c r="B1002" s="3">
        <v>3.66</v>
      </c>
      <c r="C1002">
        <f t="shared" si="60"/>
        <v>5.2399437425129758</v>
      </c>
      <c r="E1002" s="18">
        <f t="shared" si="62"/>
        <v>117902.02656308276</v>
      </c>
      <c r="G1002" s="3">
        <v>84.89</v>
      </c>
      <c r="H1002" s="18">
        <f t="shared" si="61"/>
        <v>89.433017707160815</v>
      </c>
      <c r="I1002">
        <f t="shared" si="63"/>
        <v>681661.22673186497</v>
      </c>
    </row>
    <row r="1003" spans="1:9" ht="18" x14ac:dyDescent="0.2">
      <c r="A1003" s="2">
        <v>43444</v>
      </c>
      <c r="B1003" s="3">
        <v>3.63</v>
      </c>
      <c r="C1003">
        <f t="shared" si="60"/>
        <v>5.0866157670355499</v>
      </c>
      <c r="E1003" s="18">
        <f t="shared" si="62"/>
        <v>116935.61650928699</v>
      </c>
      <c r="G1003" s="3">
        <v>82.42</v>
      </c>
      <c r="H1003" s="18">
        <f t="shared" si="61"/>
        <v>88.76511125885979</v>
      </c>
      <c r="I1003">
        <f t="shared" si="63"/>
        <v>661827.28598468972</v>
      </c>
    </row>
    <row r="1004" spans="1:9" ht="18" x14ac:dyDescent="0.2">
      <c r="A1004" s="2">
        <v>43451</v>
      </c>
      <c r="B1004" s="3">
        <v>3.21</v>
      </c>
      <c r="C1004">
        <f t="shared" si="60"/>
        <v>4.9078904558893068</v>
      </c>
      <c r="E1004" s="18">
        <f t="shared" si="62"/>
        <v>103405.87575614634</v>
      </c>
      <c r="G1004" s="3">
        <v>77.39</v>
      </c>
      <c r="H1004" s="18">
        <f t="shared" si="61"/>
        <v>87.681767329444568</v>
      </c>
      <c r="I1004">
        <f t="shared" si="63"/>
        <v>621436.71029307379</v>
      </c>
    </row>
    <row r="1005" spans="1:9" ht="18" x14ac:dyDescent="0.2">
      <c r="A1005" s="2">
        <v>43458</v>
      </c>
      <c r="B1005" s="3">
        <v>3.31</v>
      </c>
      <c r="C1005">
        <f t="shared" si="60"/>
        <v>4.7557104124712772</v>
      </c>
      <c r="E1005" s="18">
        <f t="shared" si="62"/>
        <v>106627.24260213222</v>
      </c>
      <c r="G1005" s="3">
        <v>79.58</v>
      </c>
      <c r="H1005" s="18">
        <f t="shared" si="61"/>
        <v>86.910170440926038</v>
      </c>
      <c r="I1005">
        <f t="shared" si="63"/>
        <v>639022.2690932008</v>
      </c>
    </row>
    <row r="1006" spans="1:9" ht="18" x14ac:dyDescent="0.2">
      <c r="A1006" s="2">
        <v>43465</v>
      </c>
      <c r="B1006" s="3">
        <v>3.38</v>
      </c>
      <c r="C1006">
        <f t="shared" si="60"/>
        <v>4.6246903731882982</v>
      </c>
      <c r="E1006" s="18">
        <f t="shared" si="62"/>
        <v>108882.19939432232</v>
      </c>
      <c r="G1006" s="3">
        <v>82.75</v>
      </c>
      <c r="H1006" s="18">
        <f t="shared" si="61"/>
        <v>86.513963732266419</v>
      </c>
      <c r="I1006">
        <f t="shared" si="63"/>
        <v>664477.16470799653</v>
      </c>
    </row>
    <row r="1007" spans="1:9" ht="18" x14ac:dyDescent="0.2">
      <c r="A1007" s="2">
        <v>43472</v>
      </c>
      <c r="B1007" s="3">
        <v>3.69</v>
      </c>
      <c r="C1007">
        <f t="shared" si="60"/>
        <v>4.5356722424084603</v>
      </c>
      <c r="E1007" s="18">
        <f t="shared" si="62"/>
        <v>118868.43661687852</v>
      </c>
      <c r="G1007" s="3">
        <v>82.78</v>
      </c>
      <c r="H1007" s="18">
        <f t="shared" si="61"/>
        <v>86.15834813871723</v>
      </c>
      <c r="I1007">
        <f t="shared" si="63"/>
        <v>664718.06277375168</v>
      </c>
    </row>
    <row r="1008" spans="1:9" ht="18" x14ac:dyDescent="0.2">
      <c r="A1008" s="2">
        <v>43479</v>
      </c>
      <c r="B1008" s="3">
        <v>3.89</v>
      </c>
      <c r="C1008">
        <f t="shared" si="60"/>
        <v>4.4741796478933686</v>
      </c>
      <c r="E1008" s="18">
        <f t="shared" si="62"/>
        <v>125311.17030885027</v>
      </c>
      <c r="G1008" s="3">
        <v>86.65</v>
      </c>
      <c r="H1008" s="18">
        <f t="shared" si="61"/>
        <v>86.205172125506067</v>
      </c>
      <c r="I1008">
        <f t="shared" si="63"/>
        <v>695793.91325616802</v>
      </c>
    </row>
    <row r="1009" spans="1:9" ht="18" x14ac:dyDescent="0.2">
      <c r="A1009" s="2">
        <v>43486</v>
      </c>
      <c r="B1009" s="3">
        <v>3.97</v>
      </c>
      <c r="C1009">
        <f t="shared" si="60"/>
        <v>4.4261625385701908</v>
      </c>
      <c r="E1009" s="18">
        <f t="shared" si="62"/>
        <v>127888.26378563898</v>
      </c>
      <c r="G1009" s="3">
        <v>85.66</v>
      </c>
      <c r="H1009" s="18">
        <f t="shared" si="61"/>
        <v>86.153250970695964</v>
      </c>
      <c r="I1009">
        <f t="shared" si="63"/>
        <v>695793.91325616802</v>
      </c>
    </row>
    <row r="1010" spans="1:9" ht="18" x14ac:dyDescent="0.2">
      <c r="A1010" s="2">
        <v>43493</v>
      </c>
      <c r="B1010" s="3">
        <v>3.59</v>
      </c>
      <c r="C1010">
        <f t="shared" si="60"/>
        <v>4.3465280110873152</v>
      </c>
      <c r="E1010" s="18">
        <f t="shared" si="62"/>
        <v>115647.06977089266</v>
      </c>
      <c r="G1010" s="3">
        <v>86.07</v>
      </c>
      <c r="H1010" s="18">
        <f t="shared" si="61"/>
        <v>86.145322306820162</v>
      </c>
      <c r="I1010">
        <f t="shared" si="63"/>
        <v>699124.23667941138</v>
      </c>
    </row>
    <row r="1011" spans="1:9" ht="18" x14ac:dyDescent="0.2">
      <c r="A1011" s="2">
        <v>43500</v>
      </c>
      <c r="B1011" s="3">
        <v>3.67</v>
      </c>
      <c r="C1011">
        <f t="shared" si="60"/>
        <v>4.2820967719361427</v>
      </c>
      <c r="E1011" s="18">
        <f t="shared" si="62"/>
        <v>118224.16324768135</v>
      </c>
      <c r="G1011" s="3">
        <v>83.98</v>
      </c>
      <c r="H1011" s="18">
        <f t="shared" si="61"/>
        <v>85.939101134742046</v>
      </c>
      <c r="I1011">
        <f t="shared" si="63"/>
        <v>682147.70996092691</v>
      </c>
    </row>
    <row r="1012" spans="1:9" ht="18" x14ac:dyDescent="0.2">
      <c r="A1012" s="2">
        <v>43507</v>
      </c>
      <c r="B1012" s="3">
        <v>3.9</v>
      </c>
      <c r="C1012">
        <f t="shared" si="60"/>
        <v>4.2457066031803192</v>
      </c>
      <c r="E1012" s="18">
        <f t="shared" si="62"/>
        <v>125633.30699344884</v>
      </c>
      <c r="G1012" s="3">
        <v>87.45</v>
      </c>
      <c r="H1012" s="18">
        <f t="shared" si="61"/>
        <v>86.082996264766606</v>
      </c>
      <c r="I1012">
        <f t="shared" si="63"/>
        <v>710333.61795764533</v>
      </c>
    </row>
    <row r="1013" spans="1:9" ht="18" x14ac:dyDescent="0.2">
      <c r="A1013" s="2">
        <v>43514</v>
      </c>
      <c r="B1013" s="3">
        <v>3.95</v>
      </c>
      <c r="C1013">
        <f t="shared" si="60"/>
        <v>4.2175440695440987</v>
      </c>
      <c r="E1013" s="18">
        <f t="shared" si="62"/>
        <v>127243.99041644178</v>
      </c>
      <c r="G1013" s="3">
        <v>86.99</v>
      </c>
      <c r="H1013" s="18">
        <f t="shared" si="61"/>
        <v>86.169377572884073</v>
      </c>
      <c r="I1013">
        <f t="shared" si="63"/>
        <v>710333.61795764533</v>
      </c>
    </row>
    <row r="1014" spans="1:9" ht="18" x14ac:dyDescent="0.2">
      <c r="A1014" s="2">
        <v>43521</v>
      </c>
      <c r="B1014" s="3">
        <v>3.88</v>
      </c>
      <c r="C1014">
        <f t="shared" si="60"/>
        <v>4.1853970153018034</v>
      </c>
      <c r="E1014" s="18">
        <f t="shared" si="62"/>
        <v>124989.03362425166</v>
      </c>
      <c r="G1014" s="3">
        <v>86.52</v>
      </c>
      <c r="H1014" s="18">
        <f t="shared" si="61"/>
        <v>86.202770184990356</v>
      </c>
      <c r="I1014">
        <f t="shared" si="63"/>
        <v>710333.61795764533</v>
      </c>
    </row>
    <row r="1015" spans="1:9" ht="18" x14ac:dyDescent="0.2">
      <c r="A1015" s="2">
        <v>43528</v>
      </c>
      <c r="B1015" s="3">
        <v>3.74</v>
      </c>
      <c r="C1015">
        <f t="shared" si="60"/>
        <v>4.1429782519397271</v>
      </c>
      <c r="E1015" s="18">
        <f t="shared" si="62"/>
        <v>120479.12003987146</v>
      </c>
      <c r="G1015" s="3">
        <v>85.35</v>
      </c>
      <c r="H1015" s="18">
        <f t="shared" si="61"/>
        <v>86.121553976896038</v>
      </c>
      <c r="I1015">
        <f t="shared" si="63"/>
        <v>710333.61795764533</v>
      </c>
    </row>
    <row r="1016" spans="1:9" ht="18" x14ac:dyDescent="0.2">
      <c r="A1016" s="2">
        <v>43535</v>
      </c>
      <c r="B1016" s="3">
        <v>4.21</v>
      </c>
      <c r="C1016">
        <f t="shared" si="60"/>
        <v>4.1493612755645151</v>
      </c>
      <c r="E1016" s="18">
        <f t="shared" si="62"/>
        <v>135619.54421600502</v>
      </c>
      <c r="G1016" s="3">
        <v>88.28</v>
      </c>
      <c r="H1016" s="18">
        <f t="shared" si="61"/>
        <v>86.327120264810702</v>
      </c>
      <c r="I1016">
        <f t="shared" si="63"/>
        <v>734718.82593205548</v>
      </c>
    </row>
    <row r="1017" spans="1:9" ht="18" x14ac:dyDescent="0.2">
      <c r="A1017" s="2">
        <v>43542</v>
      </c>
      <c r="B1017" s="3">
        <v>4.41</v>
      </c>
      <c r="C1017">
        <f t="shared" si="60"/>
        <v>4.1741840112250372</v>
      </c>
      <c r="E1017" s="18">
        <f t="shared" si="62"/>
        <v>135619.54421600502</v>
      </c>
      <c r="G1017" s="3">
        <v>82.65</v>
      </c>
      <c r="H1017" s="18">
        <f t="shared" si="61"/>
        <v>85.976918334828724</v>
      </c>
      <c r="I1017">
        <f t="shared" si="63"/>
        <v>734718.82593205548</v>
      </c>
    </row>
    <row r="1018" spans="1:9" ht="18" x14ac:dyDescent="0.2">
      <c r="A1018" s="2">
        <v>43549</v>
      </c>
      <c r="B1018" s="3">
        <v>4.46</v>
      </c>
      <c r="C1018">
        <f t="shared" si="60"/>
        <v>4.2014045815845575</v>
      </c>
      <c r="E1018" s="18">
        <f t="shared" si="62"/>
        <v>135619.54421600502</v>
      </c>
      <c r="G1018" s="3">
        <v>83.87</v>
      </c>
      <c r="H1018" s="18">
        <f t="shared" si="61"/>
        <v>85.776259445797422</v>
      </c>
      <c r="I1018">
        <f t="shared" si="63"/>
        <v>745564.04030153039</v>
      </c>
    </row>
    <row r="1019" spans="1:9" ht="18" x14ac:dyDescent="0.2">
      <c r="A1019" s="2">
        <v>43556</v>
      </c>
      <c r="B1019" s="3">
        <v>4.74</v>
      </c>
      <c r="C1019">
        <f t="shared" si="60"/>
        <v>4.2526993833384088</v>
      </c>
      <c r="E1019" s="18">
        <f t="shared" si="62"/>
        <v>135619.54421600502</v>
      </c>
      <c r="G1019" s="3">
        <v>87.25</v>
      </c>
      <c r="H1019" s="18">
        <f t="shared" si="61"/>
        <v>85.916615689054808</v>
      </c>
      <c r="I1019">
        <f t="shared" si="63"/>
        <v>775610.61781696102</v>
      </c>
    </row>
    <row r="1020" spans="1:9" ht="18" x14ac:dyDescent="0.2">
      <c r="A1020" s="2">
        <v>43563</v>
      </c>
      <c r="B1020" s="3">
        <v>4.72</v>
      </c>
      <c r="C1020">
        <f t="shared" si="60"/>
        <v>4.2972042039728464</v>
      </c>
      <c r="E1020" s="18">
        <f t="shared" si="62"/>
        <v>135619.54421600502</v>
      </c>
      <c r="G1020" s="3">
        <v>92.84</v>
      </c>
      <c r="H1020" s="18">
        <f t="shared" si="61"/>
        <v>86.57598562343054</v>
      </c>
      <c r="I1020">
        <f t="shared" si="63"/>
        <v>775610.61781696102</v>
      </c>
    </row>
    <row r="1021" spans="1:9" ht="18" x14ac:dyDescent="0.2">
      <c r="A1021" s="2">
        <v>43570</v>
      </c>
      <c r="B1021" s="3">
        <v>4.62</v>
      </c>
      <c r="C1021">
        <f t="shared" si="60"/>
        <v>4.3279466607373376</v>
      </c>
      <c r="E1021" s="18">
        <f t="shared" si="62"/>
        <v>135619.54421600502</v>
      </c>
      <c r="G1021" s="3">
        <v>94.72</v>
      </c>
      <c r="H1021" s="18">
        <f t="shared" si="61"/>
        <v>87.351606040246679</v>
      </c>
      <c r="I1021">
        <f t="shared" si="63"/>
        <v>775610.61781696102</v>
      </c>
    </row>
    <row r="1022" spans="1:9" ht="18" x14ac:dyDescent="0.2">
      <c r="A1022" s="2">
        <v>43577</v>
      </c>
      <c r="B1022" s="3">
        <v>4.42</v>
      </c>
      <c r="C1022">
        <f t="shared" si="60"/>
        <v>4.33671364542902</v>
      </c>
      <c r="E1022" s="18">
        <f t="shared" si="62"/>
        <v>135619.54421600502</v>
      </c>
      <c r="G1022" s="3">
        <v>95.57</v>
      </c>
      <c r="H1022" s="18">
        <f t="shared" si="61"/>
        <v>88.134310226889852</v>
      </c>
      <c r="I1022">
        <f t="shared" si="63"/>
        <v>775610.61781696102</v>
      </c>
    </row>
    <row r="1023" spans="1:9" ht="18" x14ac:dyDescent="0.2">
      <c r="A1023" s="2">
        <v>43584</v>
      </c>
      <c r="B1023" s="3">
        <v>4.54</v>
      </c>
      <c r="C1023">
        <f t="shared" si="60"/>
        <v>4.3560742506262562</v>
      </c>
      <c r="E1023" s="18">
        <f t="shared" si="62"/>
        <v>135619.54421600502</v>
      </c>
      <c r="G1023" s="3">
        <v>96.94</v>
      </c>
      <c r="H1023" s="18">
        <f t="shared" si="61"/>
        <v>88.972947348138433</v>
      </c>
      <c r="I1023">
        <f t="shared" si="63"/>
        <v>775610.61781696102</v>
      </c>
    </row>
    <row r="1024" spans="1:9" ht="18" x14ac:dyDescent="0.2">
      <c r="A1024" s="2">
        <v>43591</v>
      </c>
      <c r="B1024" s="3">
        <v>4.1900000000000004</v>
      </c>
      <c r="C1024">
        <f t="shared" si="60"/>
        <v>4.3402576553285179</v>
      </c>
      <c r="E1024" s="18">
        <f t="shared" si="62"/>
        <v>135619.54421600502</v>
      </c>
      <c r="G1024" s="3">
        <v>93.93</v>
      </c>
      <c r="H1024" s="18">
        <f t="shared" si="61"/>
        <v>89.445047600696682</v>
      </c>
      <c r="I1024">
        <f t="shared" si="63"/>
        <v>775610.61781696102</v>
      </c>
    </row>
    <row r="1025" spans="1:9" ht="18" x14ac:dyDescent="0.2">
      <c r="A1025" s="2">
        <v>43598</v>
      </c>
      <c r="B1025" s="3">
        <v>3.88</v>
      </c>
      <c r="C1025">
        <f t="shared" si="60"/>
        <v>4.2964235929162777</v>
      </c>
      <c r="E1025" s="18">
        <f t="shared" si="62"/>
        <v>125585.63998999987</v>
      </c>
      <c r="G1025" s="3">
        <v>92.48</v>
      </c>
      <c r="H1025" s="18">
        <f t="shared" si="61"/>
        <v>89.734090686344615</v>
      </c>
      <c r="I1025">
        <f t="shared" si="63"/>
        <v>775610.61781696102</v>
      </c>
    </row>
    <row r="1026" spans="1:9" ht="18" x14ac:dyDescent="0.2">
      <c r="A1026" s="2">
        <v>43605</v>
      </c>
      <c r="B1026" s="3">
        <v>3.6</v>
      </c>
      <c r="C1026">
        <f t="shared" si="60"/>
        <v>4.2300975364480609</v>
      </c>
      <c r="E1026" s="18">
        <f t="shared" si="62"/>
        <v>116522.75875360813</v>
      </c>
      <c r="G1026" s="3">
        <v>91.59</v>
      </c>
      <c r="H1026" s="18">
        <f t="shared" si="61"/>
        <v>89.910843954311801</v>
      </c>
      <c r="I1026">
        <f t="shared" si="63"/>
        <v>775610.61781696102</v>
      </c>
    </row>
    <row r="1027" spans="1:9" ht="18" x14ac:dyDescent="0.2">
      <c r="A1027" s="2">
        <v>43612</v>
      </c>
      <c r="B1027" s="3">
        <v>3.36</v>
      </c>
      <c r="C1027">
        <f t="shared" si="60"/>
        <v>4.147231104405388</v>
      </c>
      <c r="E1027" s="18">
        <f t="shared" si="62"/>
        <v>108754.57483670092</v>
      </c>
      <c r="G1027" s="3">
        <v>88.46</v>
      </c>
      <c r="H1027" s="18">
        <f t="shared" si="61"/>
        <v>89.772668339615436</v>
      </c>
      <c r="I1027">
        <f t="shared" si="63"/>
        <v>775610.61781696102</v>
      </c>
    </row>
    <row r="1028" spans="1:9" ht="18" x14ac:dyDescent="0.2">
      <c r="A1028" s="2">
        <v>43619</v>
      </c>
      <c r="B1028" s="3">
        <v>3.62</v>
      </c>
      <c r="C1028">
        <f t="shared" si="60"/>
        <v>4.0970186182715418</v>
      </c>
      <c r="E1028" s="18">
        <f t="shared" si="62"/>
        <v>117170.1074133504</v>
      </c>
      <c r="G1028" s="3">
        <v>91.13</v>
      </c>
      <c r="H1028" s="18">
        <f t="shared" si="61"/>
        <v>89.901938021556816</v>
      </c>
      <c r="I1028">
        <f t="shared" si="63"/>
        <v>799020.97673140024</v>
      </c>
    </row>
    <row r="1029" spans="1:9" ht="18" x14ac:dyDescent="0.2">
      <c r="A1029" s="2">
        <v>43626</v>
      </c>
      <c r="B1029" s="3">
        <v>3.59</v>
      </c>
      <c r="C1029">
        <f t="shared" si="60"/>
        <v>4.0487311308171092</v>
      </c>
      <c r="E1029" s="18">
        <f t="shared" si="62"/>
        <v>116199.08442373699</v>
      </c>
      <c r="G1029" s="3">
        <v>91.68</v>
      </c>
      <c r="H1029" s="18">
        <f t="shared" si="61"/>
        <v>90.071277257599021</v>
      </c>
      <c r="I1029">
        <f t="shared" si="63"/>
        <v>799020.97673140024</v>
      </c>
    </row>
    <row r="1030" spans="1:9" ht="18" x14ac:dyDescent="0.2">
      <c r="A1030" s="2">
        <v>43633</v>
      </c>
      <c r="B1030" s="3">
        <v>3.77</v>
      </c>
      <c r="C1030">
        <f t="shared" si="60"/>
        <v>4.0221853088345272</v>
      </c>
      <c r="E1030" s="18">
        <f t="shared" si="62"/>
        <v>122025.2223614174</v>
      </c>
      <c r="G1030" s="3">
        <v>91.37</v>
      </c>
      <c r="H1030" s="18">
        <f t="shared" si="61"/>
        <v>90.19496513782768</v>
      </c>
      <c r="I1030">
        <f t="shared" si="63"/>
        <v>799020.97673140024</v>
      </c>
    </row>
    <row r="1031" spans="1:9" ht="18" x14ac:dyDescent="0.2">
      <c r="A1031" s="2">
        <v>43640</v>
      </c>
      <c r="B1031" s="3">
        <v>4.08</v>
      </c>
      <c r="C1031">
        <f t="shared" si="60"/>
        <v>4.0276914698979054</v>
      </c>
      <c r="E1031" s="18">
        <f t="shared" si="62"/>
        <v>132059.12658742254</v>
      </c>
      <c r="G1031" s="3">
        <v>93.34</v>
      </c>
      <c r="H1031" s="18">
        <f t="shared" si="61"/>
        <v>90.494492267558371</v>
      </c>
      <c r="I1031">
        <f t="shared" si="63"/>
        <v>799020.97673140024</v>
      </c>
    </row>
    <row r="1032" spans="1:9" ht="18" x14ac:dyDescent="0.2">
      <c r="A1032" s="2">
        <v>43647</v>
      </c>
      <c r="B1032" s="3">
        <v>3.98</v>
      </c>
      <c r="C1032">
        <f t="shared" si="60"/>
        <v>4.023149425145724</v>
      </c>
      <c r="E1032" s="18">
        <f t="shared" si="62"/>
        <v>132059.12658742254</v>
      </c>
      <c r="G1032" s="3">
        <v>94.75</v>
      </c>
      <c r="H1032" s="18">
        <f t="shared" si="61"/>
        <v>90.8997787182671</v>
      </c>
      <c r="I1032">
        <f t="shared" si="63"/>
        <v>799020.97673140024</v>
      </c>
    </row>
    <row r="1033" spans="1:9" ht="18" x14ac:dyDescent="0.2">
      <c r="A1033" s="2">
        <v>43654</v>
      </c>
      <c r="B1033" s="3">
        <v>4.16</v>
      </c>
      <c r="C1033">
        <f t="shared" si="60"/>
        <v>4.0361828132270841</v>
      </c>
      <c r="E1033" s="18">
        <f t="shared" si="62"/>
        <v>138031.64990042153</v>
      </c>
      <c r="G1033" s="3">
        <v>96.94</v>
      </c>
      <c r="H1033" s="18">
        <f t="shared" si="61"/>
        <v>91.475037887955949</v>
      </c>
      <c r="I1033">
        <f t="shared" si="63"/>
        <v>799020.97673140024</v>
      </c>
    </row>
    <row r="1034" spans="1:9" ht="18" x14ac:dyDescent="0.2">
      <c r="A1034" s="2">
        <v>43661</v>
      </c>
      <c r="B1034" s="3">
        <v>4.1900000000000004</v>
      </c>
      <c r="C1034">
        <f t="shared" si="60"/>
        <v>4.0508320691102186</v>
      </c>
      <c r="E1034" s="18">
        <f t="shared" si="62"/>
        <v>138031.64990042153</v>
      </c>
      <c r="G1034" s="3">
        <v>95.46</v>
      </c>
      <c r="H1034" s="18">
        <f t="shared" si="61"/>
        <v>91.854558089102994</v>
      </c>
      <c r="I1034">
        <f t="shared" si="63"/>
        <v>799020.97673140024</v>
      </c>
    </row>
    <row r="1035" spans="1:9" ht="18" x14ac:dyDescent="0.2">
      <c r="A1035" s="2">
        <v>43668</v>
      </c>
      <c r="B1035" s="3">
        <v>4.3499999999999996</v>
      </c>
      <c r="C1035">
        <f t="shared" si="60"/>
        <v>4.0793242530044838</v>
      </c>
      <c r="E1035" s="18">
        <f t="shared" si="62"/>
        <v>138031.64990042153</v>
      </c>
      <c r="G1035" s="3">
        <v>97.71</v>
      </c>
      <c r="H1035" s="18">
        <f t="shared" si="61"/>
        <v>92.412219223474139</v>
      </c>
      <c r="I1035">
        <f t="shared" si="63"/>
        <v>799020.97673140024</v>
      </c>
    </row>
    <row r="1036" spans="1:9" ht="18" x14ac:dyDescent="0.2">
      <c r="A1036" s="2">
        <v>43675</v>
      </c>
      <c r="B1036" s="3">
        <v>4.01</v>
      </c>
      <c r="C1036">
        <f t="shared" si="60"/>
        <v>4.0727219431945327</v>
      </c>
      <c r="E1036" s="18">
        <f t="shared" si="62"/>
        <v>138031.64990042153</v>
      </c>
      <c r="G1036" s="3">
        <v>94.95</v>
      </c>
      <c r="H1036" s="18">
        <f t="shared" si="61"/>
        <v>92.653912630762321</v>
      </c>
      <c r="I1036">
        <f t="shared" si="63"/>
        <v>799020.97673140024</v>
      </c>
    </row>
    <row r="1037" spans="1:9" ht="18" x14ac:dyDescent="0.2">
      <c r="A1037" s="2">
        <v>43682</v>
      </c>
      <c r="B1037" s="3">
        <v>3.83</v>
      </c>
      <c r="C1037">
        <f t="shared" si="60"/>
        <v>4.049605567652196</v>
      </c>
      <c r="E1037" s="18">
        <f t="shared" si="62"/>
        <v>131835.71549092629</v>
      </c>
      <c r="G1037" s="3">
        <v>92.27</v>
      </c>
      <c r="H1037" s="18">
        <f t="shared" si="61"/>
        <v>92.617349523070672</v>
      </c>
      <c r="I1037">
        <f t="shared" si="63"/>
        <v>799020.97673140024</v>
      </c>
    </row>
    <row r="1038" spans="1:9" ht="18" x14ac:dyDescent="0.2">
      <c r="A1038" s="2">
        <v>43689</v>
      </c>
      <c r="B1038" s="3">
        <v>3.96</v>
      </c>
      <c r="C1038">
        <f t="shared" si="60"/>
        <v>4.0410717040662725</v>
      </c>
      <c r="E1038" s="18">
        <f t="shared" si="62"/>
        <v>136310.55700889506</v>
      </c>
      <c r="G1038" s="3">
        <v>90.57</v>
      </c>
      <c r="H1038" s="18">
        <f t="shared" si="61"/>
        <v>92.422363854206793</v>
      </c>
      <c r="I1038">
        <f t="shared" si="63"/>
        <v>784299.66253996873</v>
      </c>
    </row>
    <row r="1039" spans="1:9" ht="18" x14ac:dyDescent="0.2">
      <c r="A1039" s="2">
        <v>43696</v>
      </c>
      <c r="B1039" s="3">
        <v>4.04</v>
      </c>
      <c r="C1039">
        <f t="shared" si="60"/>
        <v>4.040969637012342</v>
      </c>
      <c r="E1039" s="18">
        <f t="shared" si="62"/>
        <v>139064.3056353374</v>
      </c>
      <c r="G1039" s="3">
        <v>89.14</v>
      </c>
      <c r="H1039" s="18">
        <f t="shared" si="61"/>
        <v>92.109757772853769</v>
      </c>
      <c r="I1039">
        <f t="shared" si="63"/>
        <v>771916.439426</v>
      </c>
    </row>
    <row r="1040" spans="1:9" ht="18" x14ac:dyDescent="0.2">
      <c r="A1040" s="2">
        <v>43703</v>
      </c>
      <c r="B1040" s="3">
        <v>4.16</v>
      </c>
      <c r="C1040">
        <f t="shared" si="60"/>
        <v>4.0523058620587857</v>
      </c>
      <c r="E1040" s="18">
        <f t="shared" si="62"/>
        <v>143194.92857500087</v>
      </c>
      <c r="G1040" s="3">
        <v>92.37</v>
      </c>
      <c r="H1040" s="18">
        <f t="shared" si="61"/>
        <v>92.134542746867695</v>
      </c>
      <c r="I1040">
        <f t="shared" si="63"/>
        <v>799886.93638971972</v>
      </c>
    </row>
    <row r="1041" spans="1:9" ht="18" x14ac:dyDescent="0.2">
      <c r="A1041" s="2">
        <v>43710</v>
      </c>
      <c r="B1041" s="3">
        <v>4.4400000000000004</v>
      </c>
      <c r="C1041">
        <f t="shared" si="60"/>
        <v>4.0892291132912826</v>
      </c>
      <c r="E1041" s="18">
        <f t="shared" si="62"/>
        <v>143194.92857500087</v>
      </c>
      <c r="G1041" s="3">
        <v>94.68</v>
      </c>
      <c r="H1041" s="18">
        <f t="shared" si="61"/>
        <v>92.376967247166007</v>
      </c>
      <c r="I1041">
        <f t="shared" si="63"/>
        <v>799886.93638971972</v>
      </c>
    </row>
    <row r="1042" spans="1:9" ht="18" x14ac:dyDescent="0.2">
      <c r="A1042" s="2">
        <v>43717</v>
      </c>
      <c r="B1042" s="3">
        <v>4.53</v>
      </c>
      <c r="C1042">
        <f t="shared" si="60"/>
        <v>4.1312072929778267</v>
      </c>
      <c r="E1042" s="18">
        <f t="shared" si="62"/>
        <v>143194.92857500087</v>
      </c>
      <c r="G1042" s="3">
        <v>101.08</v>
      </c>
      <c r="H1042" s="18">
        <f t="shared" si="61"/>
        <v>93.205827509340679</v>
      </c>
      <c r="I1042">
        <f t="shared" si="63"/>
        <v>799886.93638971972</v>
      </c>
    </row>
    <row r="1043" spans="1:9" ht="18" x14ac:dyDescent="0.2">
      <c r="A1043" s="2">
        <v>43724</v>
      </c>
      <c r="B1043" s="3">
        <v>4.3</v>
      </c>
      <c r="C1043">
        <f t="shared" si="60"/>
        <v>4.1472827888847004</v>
      </c>
      <c r="E1043" s="18">
        <f t="shared" si="62"/>
        <v>143194.92857500087</v>
      </c>
      <c r="G1043" s="3">
        <v>99.97</v>
      </c>
      <c r="H1043" s="18">
        <f t="shared" si="61"/>
        <v>93.850034413212995</v>
      </c>
      <c r="I1043">
        <f t="shared" si="63"/>
        <v>799886.93638971972</v>
      </c>
    </row>
    <row r="1044" spans="1:9" ht="18" x14ac:dyDescent="0.2">
      <c r="A1044" s="2">
        <v>43731</v>
      </c>
      <c r="B1044" s="3">
        <v>4.2699999999999996</v>
      </c>
      <c r="C1044">
        <f t="shared" si="60"/>
        <v>4.1589701423242529</v>
      </c>
      <c r="E1044" s="18">
        <f t="shared" si="62"/>
        <v>143194.92857500087</v>
      </c>
      <c r="G1044" s="3">
        <v>98.97</v>
      </c>
      <c r="H1044" s="18">
        <f t="shared" si="61"/>
        <v>94.33765018338319</v>
      </c>
      <c r="I1044">
        <f t="shared" si="63"/>
        <v>799886.93638971972</v>
      </c>
    </row>
    <row r="1045" spans="1:9" ht="18" x14ac:dyDescent="0.2">
      <c r="A1045" s="2">
        <v>43738</v>
      </c>
      <c r="B1045" s="3">
        <v>4.53</v>
      </c>
      <c r="C1045">
        <f t="shared" si="60"/>
        <v>4.1943063192457526</v>
      </c>
      <c r="E1045" s="18">
        <f t="shared" si="62"/>
        <v>143194.92857500087</v>
      </c>
      <c r="G1045" s="3">
        <v>96.37</v>
      </c>
      <c r="H1045" s="18">
        <f t="shared" si="61"/>
        <v>94.531207308775265</v>
      </c>
      <c r="I1045">
        <f t="shared" si="63"/>
        <v>799886.93638971972</v>
      </c>
    </row>
    <row r="1046" spans="1:9" ht="18" x14ac:dyDescent="0.2">
      <c r="A1046" s="2">
        <v>43745</v>
      </c>
      <c r="B1046" s="3">
        <v>4.63</v>
      </c>
      <c r="C1046">
        <f t="shared" si="60"/>
        <v>4.2358009555080622</v>
      </c>
      <c r="E1046" s="18">
        <f t="shared" si="62"/>
        <v>143194.92857500087</v>
      </c>
      <c r="G1046" s="3">
        <v>98.43</v>
      </c>
      <c r="H1046" s="18">
        <f t="shared" si="61"/>
        <v>94.902520898415716</v>
      </c>
      <c r="I1046">
        <f t="shared" si="63"/>
        <v>799886.93638971972</v>
      </c>
    </row>
    <row r="1047" spans="1:9" ht="18" x14ac:dyDescent="0.2">
      <c r="A1047" s="2">
        <v>43752</v>
      </c>
      <c r="B1047" s="3">
        <v>4.74</v>
      </c>
      <c r="C1047">
        <f t="shared" si="60"/>
        <v>4.2838199121263418</v>
      </c>
      <c r="E1047" s="18">
        <f t="shared" si="62"/>
        <v>143194.92857500087</v>
      </c>
      <c r="G1047" s="3">
        <v>102.17</v>
      </c>
      <c r="H1047" s="18">
        <f t="shared" si="61"/>
        <v>95.594661765233269</v>
      </c>
      <c r="I1047">
        <f t="shared" si="63"/>
        <v>799886.93638971972</v>
      </c>
    </row>
    <row r="1048" spans="1:9" ht="18" x14ac:dyDescent="0.2">
      <c r="A1048" s="2">
        <v>43759</v>
      </c>
      <c r="B1048" s="3">
        <v>5.09</v>
      </c>
      <c r="C1048">
        <f t="shared" si="60"/>
        <v>4.3605989681143091</v>
      </c>
      <c r="E1048" s="18">
        <f t="shared" si="62"/>
        <v>143194.92857500087</v>
      </c>
      <c r="G1048" s="3">
        <v>106.81</v>
      </c>
      <c r="H1048" s="18">
        <f t="shared" si="61"/>
        <v>96.662789216163432</v>
      </c>
      <c r="I1048">
        <f t="shared" si="63"/>
        <v>799886.93638971972</v>
      </c>
    </row>
    <row r="1049" spans="1:9" ht="18" x14ac:dyDescent="0.2">
      <c r="A1049" s="2">
        <v>43766</v>
      </c>
      <c r="B1049" s="3">
        <v>5.04</v>
      </c>
      <c r="C1049">
        <f t="shared" ref="C1049:C1112" si="64">(B1049-C1048)*$D$4+C1048</f>
        <v>4.4253038282938988</v>
      </c>
      <c r="E1049" s="18">
        <f t="shared" si="62"/>
        <v>143194.92857500087</v>
      </c>
      <c r="G1049" s="3">
        <v>108.31</v>
      </c>
      <c r="H1049" s="18">
        <f t="shared" si="61"/>
        <v>97.772047386052634</v>
      </c>
      <c r="I1049">
        <f t="shared" si="63"/>
        <v>799886.93638971972</v>
      </c>
    </row>
    <row r="1050" spans="1:9" ht="18" x14ac:dyDescent="0.2">
      <c r="A1050" s="2">
        <v>43773</v>
      </c>
      <c r="B1050" s="3">
        <v>5.17</v>
      </c>
      <c r="C1050">
        <f t="shared" si="64"/>
        <v>4.4962272732182891</v>
      </c>
      <c r="E1050" s="18">
        <f t="shared" si="62"/>
        <v>143194.92857500087</v>
      </c>
      <c r="G1050" s="3">
        <v>110.5</v>
      </c>
      <c r="H1050" s="18">
        <f t="shared" ref="H1050:H1113" si="65">(G1050-H1049)*$D$4+H1049</f>
        <v>98.984233349285716</v>
      </c>
      <c r="I1050">
        <f t="shared" si="63"/>
        <v>799886.93638971972</v>
      </c>
    </row>
    <row r="1051" spans="1:9" ht="18" x14ac:dyDescent="0.2">
      <c r="A1051" s="2">
        <v>43780</v>
      </c>
      <c r="B1051" s="3">
        <v>5.08</v>
      </c>
      <c r="C1051">
        <f t="shared" si="64"/>
        <v>4.5518246757689278</v>
      </c>
      <c r="E1051" s="18">
        <f t="shared" si="62"/>
        <v>143194.92857500087</v>
      </c>
      <c r="G1051" s="3">
        <v>109.78</v>
      </c>
      <c r="H1051" s="18">
        <f t="shared" si="65"/>
        <v>100.01240160173469</v>
      </c>
      <c r="I1051">
        <f t="shared" si="63"/>
        <v>799886.93638971972</v>
      </c>
    </row>
    <row r="1052" spans="1:9" ht="18" x14ac:dyDescent="0.2">
      <c r="A1052" s="2">
        <v>43787</v>
      </c>
      <c r="B1052" s="3">
        <v>5.25</v>
      </c>
      <c r="C1052">
        <f t="shared" si="64"/>
        <v>4.6183175637909351</v>
      </c>
      <c r="E1052" s="18">
        <f t="shared" si="62"/>
        <v>143194.92857500087</v>
      </c>
      <c r="G1052" s="3">
        <v>110.84</v>
      </c>
      <c r="H1052" s="18">
        <f t="shared" si="65"/>
        <v>101.04360144918853</v>
      </c>
      <c r="I1052">
        <f t="shared" si="63"/>
        <v>799886.93638971972</v>
      </c>
    </row>
    <row r="1053" spans="1:9" ht="18" x14ac:dyDescent="0.2">
      <c r="A1053" s="2">
        <v>43794</v>
      </c>
      <c r="B1053" s="3">
        <v>5.39</v>
      </c>
      <c r="C1053">
        <f t="shared" si="64"/>
        <v>4.6918111291441793</v>
      </c>
      <c r="E1053" s="18">
        <f t="shared" ref="E1053:E1116" si="66">IF(C1052&gt;B1052,E1052*B1053/B1052,E1052)</f>
        <v>143194.92857500087</v>
      </c>
      <c r="G1053" s="3">
        <v>111.67</v>
      </c>
      <c r="H1053" s="18">
        <f t="shared" si="65"/>
        <v>102.05563940640867</v>
      </c>
      <c r="I1053">
        <f t="shared" si="63"/>
        <v>799886.93638971972</v>
      </c>
    </row>
    <row r="1054" spans="1:9" ht="18" x14ac:dyDescent="0.2">
      <c r="A1054" s="2">
        <v>43801</v>
      </c>
      <c r="B1054" s="3">
        <v>5.28</v>
      </c>
      <c r="C1054">
        <f t="shared" si="64"/>
        <v>4.7478291168447333</v>
      </c>
      <c r="E1054" s="18">
        <f t="shared" si="66"/>
        <v>143194.92857500087</v>
      </c>
      <c r="G1054" s="3">
        <v>114.45</v>
      </c>
      <c r="H1054" s="18">
        <f t="shared" si="65"/>
        <v>103.23605470103642</v>
      </c>
      <c r="I1054">
        <f t="shared" ref="I1054:I1117" si="67">IF(H1053&gt;G1053,I1053*G1054/G1053,I1053)</f>
        <v>799886.93638971972</v>
      </c>
    </row>
    <row r="1055" spans="1:9" ht="18" x14ac:dyDescent="0.2">
      <c r="A1055" s="2">
        <v>43808</v>
      </c>
      <c r="B1055" s="3">
        <v>5.58</v>
      </c>
      <c r="C1055">
        <f t="shared" si="64"/>
        <v>4.8270834866690446</v>
      </c>
      <c r="E1055" s="18">
        <f t="shared" si="66"/>
        <v>143194.92857500087</v>
      </c>
      <c r="G1055" s="3">
        <v>115.95</v>
      </c>
      <c r="H1055" s="18">
        <f t="shared" si="65"/>
        <v>104.44690663427104</v>
      </c>
      <c r="I1055">
        <f t="shared" si="67"/>
        <v>799886.93638971972</v>
      </c>
    </row>
    <row r="1056" spans="1:9" ht="18" x14ac:dyDescent="0.2">
      <c r="A1056" s="2">
        <v>43815</v>
      </c>
      <c r="B1056" s="3">
        <v>5.96</v>
      </c>
      <c r="C1056">
        <f t="shared" si="64"/>
        <v>4.9349802974624692</v>
      </c>
      <c r="E1056" s="18">
        <f t="shared" si="66"/>
        <v>143194.92857500087</v>
      </c>
      <c r="G1056" s="3">
        <v>116.31</v>
      </c>
      <c r="H1056" s="18">
        <f t="shared" si="65"/>
        <v>105.57672505005476</v>
      </c>
      <c r="I1056">
        <f t="shared" si="67"/>
        <v>799886.93638971972</v>
      </c>
    </row>
    <row r="1057" spans="1:9" ht="18" x14ac:dyDescent="0.2">
      <c r="A1057" s="2">
        <v>43822</v>
      </c>
      <c r="B1057" s="3">
        <v>5.9</v>
      </c>
      <c r="C1057">
        <f t="shared" si="64"/>
        <v>5.0268869357993768</v>
      </c>
      <c r="E1057" s="18">
        <f t="shared" si="66"/>
        <v>143194.92857500087</v>
      </c>
      <c r="G1057" s="3">
        <v>117.92</v>
      </c>
      <c r="H1057" s="18">
        <f t="shared" si="65"/>
        <v>106.75227504528765</v>
      </c>
      <c r="I1057">
        <f t="shared" si="67"/>
        <v>799886.93638971972</v>
      </c>
    </row>
    <row r="1058" spans="1:9" ht="18" x14ac:dyDescent="0.2">
      <c r="A1058" s="2">
        <v>43829</v>
      </c>
      <c r="B1058" s="3">
        <v>5.88</v>
      </c>
      <c r="C1058">
        <f t="shared" si="64"/>
        <v>5.108135799056579</v>
      </c>
      <c r="E1058" s="18">
        <f t="shared" si="66"/>
        <v>143194.92857500087</v>
      </c>
      <c r="G1058" s="3">
        <v>117.24</v>
      </c>
      <c r="H1058" s="18">
        <f t="shared" si="65"/>
        <v>107.75110599335549</v>
      </c>
      <c r="I1058">
        <f t="shared" si="67"/>
        <v>799886.93638971972</v>
      </c>
    </row>
    <row r="1059" spans="1:9" ht="18" x14ac:dyDescent="0.2">
      <c r="A1059" s="2">
        <v>43836</v>
      </c>
      <c r="B1059" s="3">
        <v>6.08</v>
      </c>
      <c r="C1059">
        <f t="shared" si="64"/>
        <v>5.2006942943845242</v>
      </c>
      <c r="E1059" s="18">
        <f t="shared" si="66"/>
        <v>143194.92857500087</v>
      </c>
      <c r="G1059" s="3">
        <v>116.06</v>
      </c>
      <c r="H1059" s="18">
        <f t="shared" si="65"/>
        <v>108.54242923208355</v>
      </c>
      <c r="I1059">
        <f t="shared" si="67"/>
        <v>799886.93638971972</v>
      </c>
    </row>
    <row r="1060" spans="1:9" ht="18" x14ac:dyDescent="0.2">
      <c r="A1060" s="2">
        <v>43843</v>
      </c>
      <c r="B1060" s="3">
        <v>6.2</v>
      </c>
      <c r="C1060">
        <f t="shared" si="64"/>
        <v>5.295866266347903</v>
      </c>
      <c r="E1060" s="18">
        <f t="shared" si="66"/>
        <v>143194.92857500087</v>
      </c>
      <c r="G1060" s="3">
        <v>117.88</v>
      </c>
      <c r="H1060" s="18">
        <f t="shared" si="65"/>
        <v>109.43172168617083</v>
      </c>
      <c r="I1060">
        <f t="shared" si="67"/>
        <v>799886.93638971972</v>
      </c>
    </row>
    <row r="1061" spans="1:9" ht="18" x14ac:dyDescent="0.2">
      <c r="A1061" s="2">
        <v>43850</v>
      </c>
      <c r="B1061" s="3">
        <v>6.23</v>
      </c>
      <c r="C1061">
        <f t="shared" si="64"/>
        <v>5.3848313838385788</v>
      </c>
      <c r="E1061" s="18">
        <f t="shared" si="66"/>
        <v>143194.92857500087</v>
      </c>
      <c r="G1061" s="3">
        <v>113.57</v>
      </c>
      <c r="H1061" s="18">
        <f t="shared" si="65"/>
        <v>109.82584343034503</v>
      </c>
      <c r="I1061">
        <f t="shared" si="67"/>
        <v>799886.93638971972</v>
      </c>
    </row>
    <row r="1062" spans="1:9" ht="18" x14ac:dyDescent="0.2">
      <c r="A1062" s="2">
        <v>43857</v>
      </c>
      <c r="B1062" s="3">
        <v>5.88</v>
      </c>
      <c r="C1062">
        <f t="shared" si="64"/>
        <v>5.4319902996634761</v>
      </c>
      <c r="E1062" s="18">
        <f t="shared" si="66"/>
        <v>143194.92857500087</v>
      </c>
      <c r="G1062" s="3">
        <v>112.89</v>
      </c>
      <c r="H1062" s="18">
        <f t="shared" si="65"/>
        <v>110.11766786555026</v>
      </c>
      <c r="I1062">
        <f t="shared" si="67"/>
        <v>799886.93638971972</v>
      </c>
    </row>
    <row r="1063" spans="1:9" ht="18" x14ac:dyDescent="0.2">
      <c r="A1063" s="2">
        <v>43864</v>
      </c>
      <c r="B1063" s="3">
        <v>6.26</v>
      </c>
      <c r="C1063">
        <f t="shared" si="64"/>
        <v>5.5108483663621923</v>
      </c>
      <c r="E1063" s="18">
        <f t="shared" si="66"/>
        <v>143194.92857500087</v>
      </c>
      <c r="G1063" s="3">
        <v>117</v>
      </c>
      <c r="H1063" s="18">
        <f t="shared" si="65"/>
        <v>110.77312806883118</v>
      </c>
      <c r="I1063">
        <f t="shared" si="67"/>
        <v>799886.93638971972</v>
      </c>
    </row>
    <row r="1064" spans="1:9" ht="18" x14ac:dyDescent="0.2">
      <c r="A1064" s="2">
        <v>43871</v>
      </c>
      <c r="B1064" s="3">
        <v>7.21</v>
      </c>
      <c r="C1064">
        <f t="shared" si="64"/>
        <v>5.6726723314705545</v>
      </c>
      <c r="E1064" s="18">
        <f t="shared" si="66"/>
        <v>143194.92857500087</v>
      </c>
      <c r="G1064" s="3">
        <v>117.24</v>
      </c>
      <c r="H1064" s="18">
        <f t="shared" si="65"/>
        <v>111.3890206337044</v>
      </c>
      <c r="I1064">
        <f t="shared" si="67"/>
        <v>799886.93638971972</v>
      </c>
    </row>
    <row r="1065" spans="1:9" ht="18" x14ac:dyDescent="0.2">
      <c r="A1065" s="2">
        <v>43878</v>
      </c>
      <c r="B1065" s="3">
        <v>7.32</v>
      </c>
      <c r="C1065">
        <f t="shared" si="64"/>
        <v>5.8295606808543114</v>
      </c>
      <c r="E1065" s="18">
        <f t="shared" si="66"/>
        <v>143194.92857500087</v>
      </c>
      <c r="G1065" s="3">
        <v>115.84</v>
      </c>
      <c r="H1065" s="18">
        <f t="shared" si="65"/>
        <v>111.81292343049446</v>
      </c>
      <c r="I1065">
        <f t="shared" si="67"/>
        <v>799886.93638971972</v>
      </c>
    </row>
    <row r="1066" spans="1:9" ht="18" x14ac:dyDescent="0.2">
      <c r="A1066" s="2">
        <v>43885</v>
      </c>
      <c r="B1066" s="3">
        <v>6.72</v>
      </c>
      <c r="C1066">
        <f t="shared" si="64"/>
        <v>5.9143644255348535</v>
      </c>
      <c r="E1066" s="18">
        <f t="shared" si="66"/>
        <v>143194.92857500087</v>
      </c>
      <c r="G1066" s="3">
        <v>99.03</v>
      </c>
      <c r="H1066" s="18">
        <f t="shared" si="65"/>
        <v>110.59550215139976</v>
      </c>
      <c r="I1066">
        <f t="shared" si="67"/>
        <v>799886.93638971972</v>
      </c>
    </row>
    <row r="1067" spans="1:9" ht="18" x14ac:dyDescent="0.2">
      <c r="A1067" s="2">
        <v>43892</v>
      </c>
      <c r="B1067" s="3">
        <v>6.63</v>
      </c>
      <c r="C1067">
        <f t="shared" si="64"/>
        <v>5.9825201945315341</v>
      </c>
      <c r="E1067" s="18">
        <f t="shared" si="66"/>
        <v>143194.92857500087</v>
      </c>
      <c r="G1067" s="3">
        <v>92.19</v>
      </c>
      <c r="H1067" s="18">
        <f t="shared" si="65"/>
        <v>108.84259718459978</v>
      </c>
      <c r="I1067">
        <f t="shared" si="67"/>
        <v>744638.76265544037</v>
      </c>
    </row>
    <row r="1068" spans="1:9" ht="18" x14ac:dyDescent="0.2">
      <c r="A1068" s="2">
        <v>43899</v>
      </c>
      <c r="B1068" s="3">
        <v>6</v>
      </c>
      <c r="C1068">
        <f t="shared" si="64"/>
        <v>5.9841849379094834</v>
      </c>
      <c r="E1068" s="18">
        <f t="shared" si="66"/>
        <v>143194.92857500087</v>
      </c>
      <c r="G1068" s="3">
        <v>88.63</v>
      </c>
      <c r="H1068" s="18">
        <f t="shared" si="65"/>
        <v>106.91758792892361</v>
      </c>
      <c r="I1068">
        <f t="shared" si="67"/>
        <v>715883.86521479196</v>
      </c>
    </row>
    <row r="1069" spans="1:9" ht="18" x14ac:dyDescent="0.2">
      <c r="A1069" s="2">
        <v>43906</v>
      </c>
      <c r="B1069" s="3">
        <v>5.12</v>
      </c>
      <c r="C1069">
        <f t="shared" si="64"/>
        <v>5.9018816104895322</v>
      </c>
      <c r="E1069" s="18">
        <f t="shared" si="66"/>
        <v>143194.92857500087</v>
      </c>
      <c r="G1069" s="3">
        <v>71.22</v>
      </c>
      <c r="H1069" s="18">
        <f t="shared" si="65"/>
        <v>103.5178176499785</v>
      </c>
      <c r="I1069">
        <f t="shared" si="67"/>
        <v>575259.49318061024</v>
      </c>
    </row>
    <row r="1070" spans="1:9" ht="18" x14ac:dyDescent="0.2">
      <c r="A1070" s="2">
        <v>43913</v>
      </c>
      <c r="B1070" s="3">
        <v>6.29</v>
      </c>
      <c r="C1070">
        <f t="shared" si="64"/>
        <v>5.9388452666333862</v>
      </c>
      <c r="E1070" s="18">
        <f t="shared" si="66"/>
        <v>175917.20717514757</v>
      </c>
      <c r="G1070" s="3">
        <v>77.73</v>
      </c>
      <c r="H1070" s="18">
        <f t="shared" si="65"/>
        <v>101.06183501664721</v>
      </c>
      <c r="I1070">
        <f t="shared" si="67"/>
        <v>627842.18484876212</v>
      </c>
    </row>
    <row r="1071" spans="1:9" ht="18" x14ac:dyDescent="0.2">
      <c r="A1071" s="2">
        <v>43920</v>
      </c>
      <c r="B1071" s="3">
        <v>6.07</v>
      </c>
      <c r="C1071">
        <f t="shared" si="64"/>
        <v>5.9513361936206826</v>
      </c>
      <c r="E1071" s="18">
        <f t="shared" si="66"/>
        <v>175917.20717514757</v>
      </c>
      <c r="G1071" s="3">
        <v>71.69</v>
      </c>
      <c r="H1071" s="18">
        <f t="shared" si="65"/>
        <v>98.264517396014142</v>
      </c>
      <c r="I1071">
        <f t="shared" si="67"/>
        <v>579055.78582024632</v>
      </c>
    </row>
    <row r="1072" spans="1:9" ht="18" x14ac:dyDescent="0.2">
      <c r="A1072" s="2">
        <v>43927</v>
      </c>
      <c r="B1072" s="3">
        <v>6.55</v>
      </c>
      <c r="C1072">
        <f t="shared" si="64"/>
        <v>6.0083517942282363</v>
      </c>
      <c r="E1072" s="18">
        <f t="shared" si="66"/>
        <v>175917.20717514757</v>
      </c>
      <c r="G1072" s="3">
        <v>88.56</v>
      </c>
      <c r="H1072" s="18">
        <f t="shared" si="65"/>
        <v>97.340277644012801</v>
      </c>
      <c r="I1072">
        <f t="shared" si="67"/>
        <v>715318.4599280376</v>
      </c>
    </row>
    <row r="1073" spans="1:9" ht="18" x14ac:dyDescent="0.2">
      <c r="A1073" s="2">
        <v>43934</v>
      </c>
      <c r="B1073" s="3">
        <v>7.28</v>
      </c>
      <c r="C1073">
        <f t="shared" si="64"/>
        <v>6.1294611471588807</v>
      </c>
      <c r="E1073" s="18">
        <f t="shared" si="66"/>
        <v>175917.20717514757</v>
      </c>
      <c r="G1073" s="3">
        <v>82.03</v>
      </c>
      <c r="H1073" s="18">
        <f t="shared" si="65"/>
        <v>95.882155963630623</v>
      </c>
      <c r="I1073">
        <f t="shared" si="67"/>
        <v>662574.22389224172</v>
      </c>
    </row>
    <row r="1074" spans="1:9" ht="18" x14ac:dyDescent="0.2">
      <c r="A1074" s="2">
        <v>43941</v>
      </c>
      <c r="B1074" s="3">
        <v>7.21</v>
      </c>
      <c r="C1074">
        <f t="shared" si="64"/>
        <v>6.2323696093342251</v>
      </c>
      <c r="E1074" s="18">
        <f t="shared" si="66"/>
        <v>175917.20717514757</v>
      </c>
      <c r="G1074" s="3">
        <v>78.17</v>
      </c>
      <c r="H1074" s="18">
        <f t="shared" si="65"/>
        <v>94.195283967094369</v>
      </c>
      <c r="I1074">
        <f t="shared" si="67"/>
        <v>631396.16093693208</v>
      </c>
    </row>
    <row r="1075" spans="1:9" ht="18" x14ac:dyDescent="0.2">
      <c r="A1075" s="2">
        <v>43948</v>
      </c>
      <c r="B1075" s="3">
        <v>7.04</v>
      </c>
      <c r="C1075">
        <f t="shared" si="64"/>
        <v>6.3092867893976319</v>
      </c>
      <c r="E1075" s="18">
        <f t="shared" si="66"/>
        <v>175917.20717514757</v>
      </c>
      <c r="G1075" s="3">
        <v>80.36</v>
      </c>
      <c r="H1075" s="18">
        <f t="shared" si="65"/>
        <v>92.877637874990143</v>
      </c>
      <c r="I1075">
        <f t="shared" si="67"/>
        <v>649085.26919396012</v>
      </c>
    </row>
    <row r="1076" spans="1:9" ht="18" x14ac:dyDescent="0.2">
      <c r="A1076" s="2">
        <v>43955</v>
      </c>
      <c r="B1076" s="3">
        <v>7.78</v>
      </c>
      <c r="C1076">
        <f t="shared" si="64"/>
        <v>6.4493547142169048</v>
      </c>
      <c r="E1076" s="18">
        <f t="shared" si="66"/>
        <v>175917.20717514757</v>
      </c>
      <c r="G1076" s="3">
        <v>79.89</v>
      </c>
      <c r="H1076" s="18">
        <f t="shared" si="65"/>
        <v>91.640719982133945</v>
      </c>
      <c r="I1076">
        <f t="shared" si="67"/>
        <v>645288.97655432404</v>
      </c>
    </row>
    <row r="1077" spans="1:9" ht="18" x14ac:dyDescent="0.2">
      <c r="A1077" s="2">
        <v>43962</v>
      </c>
      <c r="B1077" s="3">
        <v>8.4600000000000009</v>
      </c>
      <c r="C1077">
        <f t="shared" si="64"/>
        <v>6.6408447414343428</v>
      </c>
      <c r="E1077" s="18">
        <f t="shared" si="66"/>
        <v>175917.20717514757</v>
      </c>
      <c r="G1077" s="3">
        <v>74.03</v>
      </c>
      <c r="H1077" s="18">
        <f t="shared" si="65"/>
        <v>89.963508555264042</v>
      </c>
      <c r="I1077">
        <f t="shared" si="67"/>
        <v>597956.47683460522</v>
      </c>
    </row>
    <row r="1078" spans="1:9" ht="18" x14ac:dyDescent="0.2">
      <c r="A1078" s="2">
        <v>43969</v>
      </c>
      <c r="B1078" s="3">
        <v>8.99</v>
      </c>
      <c r="C1078">
        <f t="shared" si="64"/>
        <v>6.8645738136786907</v>
      </c>
      <c r="E1078" s="18">
        <f t="shared" si="66"/>
        <v>175917.20717514757</v>
      </c>
      <c r="G1078" s="3">
        <v>77.11</v>
      </c>
      <c r="H1078" s="18">
        <f t="shared" si="65"/>
        <v>88.739364883334133</v>
      </c>
      <c r="I1078">
        <f t="shared" si="67"/>
        <v>622834.3094517953</v>
      </c>
    </row>
    <row r="1079" spans="1:9" ht="18" x14ac:dyDescent="0.2">
      <c r="A1079" s="2">
        <v>43976</v>
      </c>
      <c r="B1079" s="3">
        <v>8.84</v>
      </c>
      <c r="C1079">
        <f t="shared" si="64"/>
        <v>7.0527096409473868</v>
      </c>
      <c r="E1079" s="18">
        <f t="shared" si="66"/>
        <v>175917.20717514757</v>
      </c>
      <c r="G1079" s="3">
        <v>83.86</v>
      </c>
      <c r="H1079" s="18">
        <f t="shared" si="65"/>
        <v>88.274663465873743</v>
      </c>
      <c r="I1079">
        <f t="shared" si="67"/>
        <v>677355.53353167616</v>
      </c>
    </row>
    <row r="1080" spans="1:9" ht="18" x14ac:dyDescent="0.2">
      <c r="A1080" s="2">
        <v>43983</v>
      </c>
      <c r="B1080" s="3">
        <v>8.89</v>
      </c>
      <c r="C1080">
        <f t="shared" si="64"/>
        <v>7.2276896751428739</v>
      </c>
      <c r="E1080" s="18">
        <f t="shared" si="66"/>
        <v>175917.20717514757</v>
      </c>
      <c r="G1080" s="3">
        <v>95.86</v>
      </c>
      <c r="H1080" s="18">
        <f t="shared" si="65"/>
        <v>88.997076469123868</v>
      </c>
      <c r="I1080">
        <f t="shared" si="67"/>
        <v>774282.15411813115</v>
      </c>
    </row>
    <row r="1081" spans="1:9" ht="18" x14ac:dyDescent="0.2">
      <c r="A1081" s="2">
        <v>43990</v>
      </c>
      <c r="B1081" s="3">
        <v>8.9</v>
      </c>
      <c r="C1081">
        <f t="shared" si="64"/>
        <v>7.3869573251292664</v>
      </c>
      <c r="E1081" s="18">
        <f t="shared" si="66"/>
        <v>175917.20717514757</v>
      </c>
      <c r="G1081" s="3">
        <v>86.07</v>
      </c>
      <c r="H1081" s="18">
        <f t="shared" si="65"/>
        <v>88.718307281588267</v>
      </c>
      <c r="I1081">
        <f t="shared" si="67"/>
        <v>774282.15411813115</v>
      </c>
    </row>
    <row r="1082" spans="1:9" ht="18" x14ac:dyDescent="0.2">
      <c r="A1082" s="2">
        <v>43997</v>
      </c>
      <c r="B1082" s="3">
        <v>9.23</v>
      </c>
      <c r="C1082">
        <f t="shared" si="64"/>
        <v>7.5624851989264794</v>
      </c>
      <c r="E1082" s="18">
        <f t="shared" si="66"/>
        <v>175917.20717514757</v>
      </c>
      <c r="G1082" s="3">
        <v>84.29</v>
      </c>
      <c r="H1082" s="18">
        <f t="shared" si="65"/>
        <v>88.296563730960813</v>
      </c>
      <c r="I1082">
        <f t="shared" si="67"/>
        <v>758269.34786356776</v>
      </c>
    </row>
    <row r="1083" spans="1:9" ht="18" x14ac:dyDescent="0.2">
      <c r="A1083" s="2">
        <v>44004</v>
      </c>
      <c r="B1083" s="3">
        <v>9.1199999999999992</v>
      </c>
      <c r="C1083">
        <f t="shared" si="64"/>
        <v>7.7108199418858625</v>
      </c>
      <c r="E1083" s="18">
        <f t="shared" si="66"/>
        <v>175917.20717514757</v>
      </c>
      <c r="G1083" s="3">
        <v>79.790000000000006</v>
      </c>
      <c r="H1083" s="18">
        <f t="shared" si="65"/>
        <v>87.486414804202639</v>
      </c>
      <c r="I1083">
        <f t="shared" si="67"/>
        <v>717787.53429866023</v>
      </c>
    </row>
    <row r="1084" spans="1:9" ht="18" x14ac:dyDescent="0.2">
      <c r="A1084" s="2">
        <v>44011</v>
      </c>
      <c r="B1084" s="3">
        <v>9.58</v>
      </c>
      <c r="C1084">
        <f t="shared" si="64"/>
        <v>7.8888370902776854</v>
      </c>
      <c r="E1084" s="18">
        <f t="shared" si="66"/>
        <v>175917.20717514757</v>
      </c>
      <c r="G1084" s="3">
        <v>79.849999999999994</v>
      </c>
      <c r="H1084" s="18">
        <f t="shared" si="65"/>
        <v>86.759137203802382</v>
      </c>
      <c r="I1084">
        <f t="shared" si="67"/>
        <v>718327.29181285889</v>
      </c>
    </row>
    <row r="1085" spans="1:9" ht="18" x14ac:dyDescent="0.2">
      <c r="A1085" s="2">
        <v>44018</v>
      </c>
      <c r="B1085" s="3">
        <v>10.44</v>
      </c>
      <c r="C1085">
        <f t="shared" si="64"/>
        <v>8.1318049864417148</v>
      </c>
      <c r="E1085" s="18">
        <f t="shared" si="66"/>
        <v>175917.20717514757</v>
      </c>
      <c r="G1085" s="3">
        <v>83.77</v>
      </c>
      <c r="H1085" s="18">
        <f t="shared" si="65"/>
        <v>86.474457470106913</v>
      </c>
      <c r="I1085">
        <f t="shared" si="67"/>
        <v>753591.44940717833</v>
      </c>
    </row>
    <row r="1086" spans="1:9" ht="18" x14ac:dyDescent="0.2">
      <c r="A1086" s="2">
        <v>44025</v>
      </c>
      <c r="B1086" s="3">
        <v>10.17</v>
      </c>
      <c r="C1086">
        <f t="shared" si="64"/>
        <v>8.3259187972567901</v>
      </c>
      <c r="E1086" s="18">
        <f t="shared" si="66"/>
        <v>175917.20717514757</v>
      </c>
      <c r="G1086" s="3">
        <v>85.42</v>
      </c>
      <c r="H1086" s="18">
        <f t="shared" si="65"/>
        <v>86.37403294914435</v>
      </c>
      <c r="I1086">
        <f t="shared" si="67"/>
        <v>768434.78104764456</v>
      </c>
    </row>
    <row r="1087" spans="1:9" ht="18" x14ac:dyDescent="0.2">
      <c r="A1087" s="2">
        <v>44032</v>
      </c>
      <c r="B1087" s="3">
        <v>10.16</v>
      </c>
      <c r="C1087">
        <f t="shared" si="64"/>
        <v>8.5005931975180484</v>
      </c>
      <c r="E1087" s="18">
        <f t="shared" si="66"/>
        <v>175917.20717514757</v>
      </c>
      <c r="G1087" s="3">
        <v>85.52</v>
      </c>
      <c r="H1087" s="18">
        <f t="shared" si="65"/>
        <v>86.292696477797264</v>
      </c>
      <c r="I1087">
        <f t="shared" si="67"/>
        <v>769334.37690464244</v>
      </c>
    </row>
    <row r="1088" spans="1:9" ht="18" x14ac:dyDescent="0.2">
      <c r="A1088" s="2">
        <v>44039</v>
      </c>
      <c r="B1088" s="3">
        <v>10.58</v>
      </c>
      <c r="C1088">
        <f t="shared" si="64"/>
        <v>8.698631940611568</v>
      </c>
      <c r="E1088" s="18">
        <f t="shared" si="66"/>
        <v>175917.20717514757</v>
      </c>
      <c r="G1088" s="3">
        <v>84.1</v>
      </c>
      <c r="H1088" s="18">
        <f t="shared" si="65"/>
        <v>86.083868241816575</v>
      </c>
      <c r="I1088">
        <f t="shared" si="67"/>
        <v>756560.1157352716</v>
      </c>
    </row>
    <row r="1089" spans="1:9" ht="18" x14ac:dyDescent="0.2">
      <c r="A1089" s="2">
        <v>44046</v>
      </c>
      <c r="B1089" s="3">
        <v>11.16</v>
      </c>
      <c r="C1089">
        <f t="shared" si="64"/>
        <v>8.9330479462676085</v>
      </c>
      <c r="E1089" s="18">
        <f t="shared" si="66"/>
        <v>175917.20717514757</v>
      </c>
      <c r="G1089" s="3">
        <v>86.48</v>
      </c>
      <c r="H1089" s="18">
        <f t="shared" si="65"/>
        <v>86.121595075929278</v>
      </c>
      <c r="I1089">
        <f t="shared" si="67"/>
        <v>777970.49713182275</v>
      </c>
    </row>
    <row r="1090" spans="1:9" ht="18" x14ac:dyDescent="0.2">
      <c r="A1090" s="2">
        <v>44053</v>
      </c>
      <c r="B1090" s="3">
        <v>11.53</v>
      </c>
      <c r="C1090">
        <f t="shared" si="64"/>
        <v>9.1803767132897409</v>
      </c>
      <c r="E1090" s="18">
        <f t="shared" si="66"/>
        <v>175917.20717514757</v>
      </c>
      <c r="G1090" s="3">
        <v>89.12</v>
      </c>
      <c r="H1090" s="18">
        <f t="shared" si="65"/>
        <v>86.407157449650299</v>
      </c>
      <c r="I1090">
        <f t="shared" si="67"/>
        <v>777970.49713182275</v>
      </c>
    </row>
    <row r="1091" spans="1:9" ht="18" x14ac:dyDescent="0.2">
      <c r="A1091" s="2">
        <v>44060</v>
      </c>
      <c r="B1091" s="3">
        <v>12.64</v>
      </c>
      <c r="C1091">
        <f t="shared" si="64"/>
        <v>9.5098646453573838</v>
      </c>
      <c r="E1091" s="18">
        <f t="shared" si="66"/>
        <v>175917.20717514757</v>
      </c>
      <c r="G1091" s="3">
        <v>84.69</v>
      </c>
      <c r="H1091" s="18">
        <f t="shared" si="65"/>
        <v>86.243618644921696</v>
      </c>
      <c r="I1091">
        <f t="shared" si="67"/>
        <v>777970.49713182275</v>
      </c>
    </row>
    <row r="1092" spans="1:9" ht="18" x14ac:dyDescent="0.2">
      <c r="A1092" s="2">
        <v>44067</v>
      </c>
      <c r="B1092" s="3">
        <v>13.1</v>
      </c>
      <c r="C1092">
        <f t="shared" si="64"/>
        <v>9.8517822981804901</v>
      </c>
      <c r="E1092" s="18">
        <f t="shared" si="66"/>
        <v>175917.20717514757</v>
      </c>
      <c r="G1092" s="3">
        <v>89.43</v>
      </c>
      <c r="H1092" s="18">
        <f t="shared" si="65"/>
        <v>86.547083535881541</v>
      </c>
      <c r="I1092">
        <f t="shared" si="67"/>
        <v>821512.59367692668</v>
      </c>
    </row>
    <row r="1093" spans="1:9" ht="18" x14ac:dyDescent="0.2">
      <c r="A1093" s="2">
        <v>44074</v>
      </c>
      <c r="B1093" s="3">
        <v>12.58</v>
      </c>
      <c r="C1093">
        <f t="shared" si="64"/>
        <v>10.111612555496635</v>
      </c>
      <c r="E1093" s="18">
        <f t="shared" si="66"/>
        <v>175917.20717514757</v>
      </c>
      <c r="G1093" s="3">
        <v>90.08</v>
      </c>
      <c r="H1093" s="18">
        <f t="shared" si="65"/>
        <v>86.883551770559492</v>
      </c>
      <c r="I1093">
        <f t="shared" si="67"/>
        <v>821512.59367692668</v>
      </c>
    </row>
    <row r="1094" spans="1:9" ht="18" x14ac:dyDescent="0.2">
      <c r="A1094" s="2">
        <v>44081</v>
      </c>
      <c r="B1094" s="3">
        <v>12.13</v>
      </c>
      <c r="C1094">
        <f t="shared" si="64"/>
        <v>10.303839931163623</v>
      </c>
      <c r="E1094" s="18">
        <f t="shared" si="66"/>
        <v>175917.20717514757</v>
      </c>
      <c r="G1094" s="3">
        <v>87.95</v>
      </c>
      <c r="H1094" s="18">
        <f t="shared" si="65"/>
        <v>86.98511826860144</v>
      </c>
      <c r="I1094">
        <f t="shared" si="67"/>
        <v>821512.59367692668</v>
      </c>
    </row>
    <row r="1095" spans="1:9" ht="18" x14ac:dyDescent="0.2">
      <c r="A1095" s="2">
        <v>44088</v>
      </c>
      <c r="B1095" s="3">
        <v>12.15</v>
      </c>
      <c r="C1095">
        <f t="shared" si="64"/>
        <v>10.47966469962423</v>
      </c>
      <c r="E1095" s="18">
        <f t="shared" si="66"/>
        <v>175917.20717514757</v>
      </c>
      <c r="G1095" s="3">
        <v>85.58</v>
      </c>
      <c r="H1095" s="18">
        <f t="shared" si="65"/>
        <v>86.851297481115594</v>
      </c>
      <c r="I1095">
        <f t="shared" si="67"/>
        <v>821512.59367692668</v>
      </c>
    </row>
    <row r="1096" spans="1:9" ht="18" x14ac:dyDescent="0.2">
      <c r="A1096" s="2">
        <v>44095</v>
      </c>
      <c r="B1096" s="3">
        <v>12.83</v>
      </c>
      <c r="C1096">
        <f t="shared" si="64"/>
        <v>10.703506156802876</v>
      </c>
      <c r="E1096" s="18">
        <f t="shared" si="66"/>
        <v>175917.20717514757</v>
      </c>
      <c r="G1096" s="3">
        <v>81.34</v>
      </c>
      <c r="H1096" s="18">
        <f t="shared" si="65"/>
        <v>86.326412006723629</v>
      </c>
      <c r="I1096">
        <f t="shared" si="67"/>
        <v>780811.33874364593</v>
      </c>
    </row>
    <row r="1097" spans="1:9" ht="18" x14ac:dyDescent="0.2">
      <c r="A1097" s="2">
        <v>44102</v>
      </c>
      <c r="B1097" s="3">
        <v>13.02</v>
      </c>
      <c r="C1097">
        <f t="shared" si="64"/>
        <v>10.924124618059745</v>
      </c>
      <c r="E1097" s="18">
        <f t="shared" si="66"/>
        <v>175917.20717514757</v>
      </c>
      <c r="G1097" s="3">
        <v>85.18</v>
      </c>
      <c r="H1097" s="18">
        <f t="shared" si="65"/>
        <v>86.217229910845191</v>
      </c>
      <c r="I1097">
        <f t="shared" si="67"/>
        <v>817672.8526454852</v>
      </c>
    </row>
    <row r="1098" spans="1:9" ht="18" x14ac:dyDescent="0.2">
      <c r="A1098" s="2">
        <v>44109</v>
      </c>
      <c r="B1098" s="3">
        <v>13.72</v>
      </c>
      <c r="C1098">
        <f t="shared" si="64"/>
        <v>11.190398463958816</v>
      </c>
      <c r="E1098" s="18">
        <f t="shared" si="66"/>
        <v>175917.20717514757</v>
      </c>
      <c r="G1098" s="3">
        <v>88.06</v>
      </c>
      <c r="H1098" s="18">
        <f t="shared" si="65"/>
        <v>86.392731824098036</v>
      </c>
      <c r="I1098">
        <f t="shared" si="67"/>
        <v>845318.98807186459</v>
      </c>
    </row>
    <row r="1099" spans="1:9" ht="18" x14ac:dyDescent="0.2">
      <c r="A1099" s="2">
        <v>44116</v>
      </c>
      <c r="B1099" s="3">
        <v>13.77</v>
      </c>
      <c r="C1099">
        <f t="shared" si="64"/>
        <v>11.436074800724644</v>
      </c>
      <c r="E1099" s="18">
        <f t="shared" si="66"/>
        <v>175917.20717514757</v>
      </c>
      <c r="G1099" s="3">
        <v>89.15</v>
      </c>
      <c r="H1099" s="18">
        <f t="shared" si="65"/>
        <v>86.655328793231561</v>
      </c>
      <c r="I1099">
        <f t="shared" si="67"/>
        <v>845318.98807186459</v>
      </c>
    </row>
    <row r="1100" spans="1:9" ht="18" x14ac:dyDescent="0.2">
      <c r="A1100" s="2">
        <v>44123</v>
      </c>
      <c r="B1100" s="3">
        <v>13.55</v>
      </c>
      <c r="C1100">
        <f t="shared" si="64"/>
        <v>11.63740101017944</v>
      </c>
      <c r="E1100" s="18">
        <f t="shared" si="66"/>
        <v>175917.20717514757</v>
      </c>
      <c r="G1100" s="3">
        <v>91.17</v>
      </c>
      <c r="H1100" s="18">
        <f t="shared" si="65"/>
        <v>87.085297479590466</v>
      </c>
      <c r="I1100">
        <f t="shared" si="67"/>
        <v>845318.98807186459</v>
      </c>
    </row>
    <row r="1101" spans="1:9" ht="18" x14ac:dyDescent="0.2">
      <c r="A1101" s="2">
        <v>44130</v>
      </c>
      <c r="B1101" s="3">
        <v>12.5</v>
      </c>
      <c r="C1101">
        <f t="shared" si="64"/>
        <v>11.719553294924255</v>
      </c>
      <c r="E1101" s="18">
        <f t="shared" si="66"/>
        <v>175917.20717514757</v>
      </c>
      <c r="G1101" s="3">
        <v>86.11</v>
      </c>
      <c r="H1101" s="18">
        <f t="shared" si="65"/>
        <v>86.992412005343752</v>
      </c>
      <c r="I1101">
        <f t="shared" si="67"/>
        <v>845318.98807186459</v>
      </c>
    </row>
    <row r="1102" spans="1:9" ht="18" x14ac:dyDescent="0.2">
      <c r="A1102" s="2">
        <v>44137</v>
      </c>
      <c r="B1102" s="3">
        <v>14.52</v>
      </c>
      <c r="C1102">
        <f t="shared" si="64"/>
        <v>11.986262504931469</v>
      </c>
      <c r="E1102" s="18">
        <f t="shared" si="66"/>
        <v>175917.20717514757</v>
      </c>
      <c r="G1102" s="3">
        <v>90.43</v>
      </c>
      <c r="H1102" s="18">
        <f t="shared" si="65"/>
        <v>87.319801338168162</v>
      </c>
      <c r="I1102">
        <f t="shared" si="67"/>
        <v>887727.28012238676</v>
      </c>
    </row>
    <row r="1103" spans="1:9" ht="18" x14ac:dyDescent="0.2">
      <c r="A1103" s="2">
        <v>44144</v>
      </c>
      <c r="B1103" s="3">
        <v>13.26</v>
      </c>
      <c r="C1103">
        <f t="shared" si="64"/>
        <v>12.107570837795139</v>
      </c>
      <c r="E1103" s="18">
        <f t="shared" si="66"/>
        <v>175917.20717514757</v>
      </c>
      <c r="G1103" s="3">
        <v>100.19</v>
      </c>
      <c r="H1103" s="18">
        <f t="shared" si="65"/>
        <v>88.545534544056906</v>
      </c>
      <c r="I1103">
        <f t="shared" si="67"/>
        <v>887727.28012238676</v>
      </c>
    </row>
    <row r="1104" spans="1:9" ht="18" x14ac:dyDescent="0.2">
      <c r="A1104" s="2">
        <v>44151</v>
      </c>
      <c r="B1104" s="3">
        <v>13.05</v>
      </c>
      <c r="C1104">
        <f t="shared" si="64"/>
        <v>12.197325996100364</v>
      </c>
      <c r="E1104" s="18">
        <f t="shared" si="66"/>
        <v>175917.20717514757</v>
      </c>
      <c r="G1104" s="3">
        <v>100.62</v>
      </c>
      <c r="H1104" s="18">
        <f t="shared" si="65"/>
        <v>89.695483635099109</v>
      </c>
      <c r="I1104">
        <f t="shared" si="67"/>
        <v>887727.28012238676</v>
      </c>
    </row>
    <row r="1105" spans="1:9" ht="18" x14ac:dyDescent="0.2">
      <c r="A1105" s="2">
        <v>44158</v>
      </c>
      <c r="B1105" s="3">
        <v>13.22</v>
      </c>
      <c r="C1105">
        <f t="shared" si="64"/>
        <v>12.294723520281282</v>
      </c>
      <c r="E1105" s="18">
        <f t="shared" si="66"/>
        <v>175917.20717514757</v>
      </c>
      <c r="G1105" s="3">
        <v>106.46</v>
      </c>
      <c r="H1105" s="18">
        <f t="shared" si="65"/>
        <v>91.292104241280143</v>
      </c>
      <c r="I1105">
        <f t="shared" si="67"/>
        <v>887727.28012238676</v>
      </c>
    </row>
    <row r="1106" spans="1:9" ht="18" x14ac:dyDescent="0.2">
      <c r="A1106" s="2">
        <v>44165</v>
      </c>
      <c r="B1106" s="3">
        <v>13.52</v>
      </c>
      <c r="C1106">
        <f t="shared" si="64"/>
        <v>12.411416518349732</v>
      </c>
      <c r="E1106" s="18">
        <f t="shared" si="66"/>
        <v>175917.20717514757</v>
      </c>
      <c r="G1106" s="3">
        <v>107.45</v>
      </c>
      <c r="H1106" s="18">
        <f t="shared" si="65"/>
        <v>92.830951456396321</v>
      </c>
      <c r="I1106">
        <f t="shared" si="67"/>
        <v>887727.28012238676</v>
      </c>
    </row>
    <row r="1107" spans="1:9" ht="18" x14ac:dyDescent="0.2">
      <c r="A1107" s="2">
        <v>44172</v>
      </c>
      <c r="B1107" s="3">
        <v>12.98</v>
      </c>
      <c r="C1107">
        <f t="shared" si="64"/>
        <v>12.465567326125948</v>
      </c>
      <c r="E1107" s="18">
        <f t="shared" si="66"/>
        <v>175917.20717514757</v>
      </c>
      <c r="G1107" s="3">
        <v>105.01</v>
      </c>
      <c r="H1107" s="18">
        <f t="shared" si="65"/>
        <v>93.99086084150143</v>
      </c>
      <c r="I1107">
        <f t="shared" si="67"/>
        <v>887727.28012238676</v>
      </c>
    </row>
    <row r="1108" spans="1:9" ht="18" x14ac:dyDescent="0.2">
      <c r="A1108" s="2">
        <v>44179</v>
      </c>
      <c r="B1108" s="3">
        <v>13.24</v>
      </c>
      <c r="C1108">
        <f t="shared" si="64"/>
        <v>12.539322818875858</v>
      </c>
      <c r="E1108" s="18">
        <f t="shared" si="66"/>
        <v>175917.20717514757</v>
      </c>
      <c r="G1108" s="3">
        <v>104.58</v>
      </c>
      <c r="H1108" s="18">
        <f t="shared" si="65"/>
        <v>94.999350285167964</v>
      </c>
      <c r="I1108">
        <f t="shared" si="67"/>
        <v>887727.28012238676</v>
      </c>
    </row>
    <row r="1109" spans="1:9" ht="18" x14ac:dyDescent="0.2">
      <c r="A1109" s="2">
        <v>44186</v>
      </c>
      <c r="B1109" s="3">
        <v>12.96</v>
      </c>
      <c r="C1109">
        <f t="shared" si="64"/>
        <v>12.579387312316253</v>
      </c>
      <c r="E1109" s="18">
        <f t="shared" si="66"/>
        <v>175917.20717514757</v>
      </c>
      <c r="G1109" s="3">
        <v>109.36</v>
      </c>
      <c r="H1109" s="18">
        <f t="shared" si="65"/>
        <v>96.367031210390067</v>
      </c>
      <c r="I1109">
        <f t="shared" si="67"/>
        <v>887727.28012238676</v>
      </c>
    </row>
    <row r="1110" spans="1:9" ht="18" x14ac:dyDescent="0.2">
      <c r="A1110" s="2">
        <v>44193</v>
      </c>
      <c r="B1110" s="3">
        <v>13.02</v>
      </c>
      <c r="C1110">
        <f t="shared" si="64"/>
        <v>12.621350425428991</v>
      </c>
      <c r="E1110" s="18">
        <f t="shared" si="66"/>
        <v>175917.20717514757</v>
      </c>
      <c r="G1110" s="3">
        <v>111.6</v>
      </c>
      <c r="H1110" s="18">
        <f t="shared" si="65"/>
        <v>97.81779014273387</v>
      </c>
      <c r="I1110">
        <f t="shared" si="67"/>
        <v>887727.28012238676</v>
      </c>
    </row>
    <row r="1111" spans="1:9" ht="18" x14ac:dyDescent="0.2">
      <c r="A1111" s="2">
        <v>44200</v>
      </c>
      <c r="B1111" s="3">
        <v>13.24</v>
      </c>
      <c r="C1111">
        <f t="shared" si="64"/>
        <v>12.680269432530991</v>
      </c>
      <c r="E1111" s="18">
        <f t="shared" si="66"/>
        <v>175917.20717514757</v>
      </c>
      <c r="G1111" s="3">
        <v>119.46</v>
      </c>
      <c r="H1111" s="18">
        <f t="shared" si="65"/>
        <v>99.878952986283025</v>
      </c>
      <c r="I1111">
        <f t="shared" si="67"/>
        <v>887727.28012238676</v>
      </c>
    </row>
    <row r="1112" spans="1:9" ht="18" x14ac:dyDescent="0.2">
      <c r="A1112" s="2">
        <v>44207</v>
      </c>
      <c r="B1112" s="3">
        <v>12.82</v>
      </c>
      <c r="C1112">
        <f t="shared" si="64"/>
        <v>12.693577105623278</v>
      </c>
      <c r="E1112" s="18">
        <f t="shared" si="66"/>
        <v>175917.20717514757</v>
      </c>
      <c r="G1112" s="3">
        <v>122.64</v>
      </c>
      <c r="H1112" s="18">
        <f t="shared" si="65"/>
        <v>102.04667174949417</v>
      </c>
      <c r="I1112">
        <f t="shared" si="67"/>
        <v>887727.28012238676</v>
      </c>
    </row>
    <row r="1113" spans="1:9" ht="18" x14ac:dyDescent="0.2">
      <c r="A1113" s="2">
        <v>44214</v>
      </c>
      <c r="B1113" s="3">
        <v>13.67</v>
      </c>
      <c r="C1113">
        <f t="shared" ref="C1113:C1176" si="68">(B1113-C1112)*$D$4+C1112</f>
        <v>12.786569762230585</v>
      </c>
      <c r="E1113" s="18">
        <f t="shared" si="66"/>
        <v>175917.20717514757</v>
      </c>
      <c r="G1113" s="3">
        <v>118.35</v>
      </c>
      <c r="H1113" s="18">
        <f t="shared" si="65"/>
        <v>103.59936967811377</v>
      </c>
      <c r="I1113">
        <f t="shared" si="67"/>
        <v>887727.28012238676</v>
      </c>
    </row>
    <row r="1114" spans="1:9" ht="18" x14ac:dyDescent="0.2">
      <c r="A1114" s="2">
        <v>44221</v>
      </c>
      <c r="B1114" s="3">
        <v>12.95</v>
      </c>
      <c r="C1114">
        <f t="shared" si="68"/>
        <v>12.802134546780053</v>
      </c>
      <c r="E1114" s="18">
        <f t="shared" si="66"/>
        <v>175917.20717514757</v>
      </c>
      <c r="G1114" s="3">
        <v>113.82</v>
      </c>
      <c r="H1114" s="18">
        <f t="shared" ref="H1114:H1177" si="69">(G1114-H1113)*$D$4+H1113</f>
        <v>104.57276304210293</v>
      </c>
      <c r="I1114">
        <f t="shared" si="67"/>
        <v>887727.28012238676</v>
      </c>
    </row>
    <row r="1115" spans="1:9" ht="18" x14ac:dyDescent="0.2">
      <c r="A1115" s="2">
        <v>44228</v>
      </c>
      <c r="B1115" s="3">
        <v>13.55</v>
      </c>
      <c r="C1115">
        <f t="shared" si="68"/>
        <v>12.873359828039096</v>
      </c>
      <c r="E1115" s="18">
        <f t="shared" si="66"/>
        <v>175917.20717514757</v>
      </c>
      <c r="G1115" s="3">
        <v>122.06</v>
      </c>
      <c r="H1115" s="18">
        <f t="shared" si="69"/>
        <v>106.23821418095028</v>
      </c>
      <c r="I1115">
        <f t="shared" si="67"/>
        <v>887727.28012238676</v>
      </c>
    </row>
    <row r="1116" spans="1:9" ht="18" x14ac:dyDescent="0.2">
      <c r="A1116" s="2">
        <v>44235</v>
      </c>
      <c r="B1116" s="3">
        <v>14.92</v>
      </c>
      <c r="C1116">
        <f t="shared" si="68"/>
        <v>13.06827793965442</v>
      </c>
      <c r="E1116" s="18">
        <f t="shared" si="66"/>
        <v>175917.20717514757</v>
      </c>
      <c r="G1116" s="3">
        <v>124.95</v>
      </c>
      <c r="H1116" s="18">
        <f t="shared" si="69"/>
        <v>108.02028902085978</v>
      </c>
      <c r="I1116">
        <f t="shared" si="67"/>
        <v>887727.28012238676</v>
      </c>
    </row>
    <row r="1117" spans="1:9" ht="18" x14ac:dyDescent="0.2">
      <c r="A1117" s="2">
        <v>44242</v>
      </c>
      <c r="B1117" s="3">
        <v>14.89</v>
      </c>
      <c r="C1117">
        <f t="shared" si="68"/>
        <v>13.241775278734952</v>
      </c>
      <c r="E1117" s="18">
        <f t="shared" ref="E1117:E1180" si="70">IF(C1116&gt;B1116,E1116*B1117/B1116,E1116)</f>
        <v>175917.20717514757</v>
      </c>
      <c r="G1117" s="3">
        <v>130.94</v>
      </c>
      <c r="H1117" s="18">
        <f t="shared" si="69"/>
        <v>110.20311863792075</v>
      </c>
      <c r="I1117">
        <f t="shared" si="67"/>
        <v>887727.28012238676</v>
      </c>
    </row>
    <row r="1118" spans="1:9" ht="18" x14ac:dyDescent="0.2">
      <c r="A1118" s="2">
        <v>44249</v>
      </c>
      <c r="B1118" s="3">
        <v>13.68</v>
      </c>
      <c r="C1118">
        <f t="shared" si="68"/>
        <v>13.283510966474481</v>
      </c>
      <c r="E1118" s="18">
        <f t="shared" si="70"/>
        <v>175917.20717514757</v>
      </c>
      <c r="G1118" s="3">
        <v>130.19</v>
      </c>
      <c r="H1118" s="18">
        <f t="shared" si="69"/>
        <v>112.10663114859497</v>
      </c>
      <c r="I1118">
        <f t="shared" ref="I1118:I1181" si="71">IF(H1117&gt;G1117,I1117*G1118/G1117,I1117)</f>
        <v>887727.28012238676</v>
      </c>
    </row>
    <row r="1119" spans="1:9" ht="18" x14ac:dyDescent="0.2">
      <c r="A1119" s="2">
        <v>44256</v>
      </c>
      <c r="B1119" s="3">
        <v>12.43</v>
      </c>
      <c r="C1119">
        <f t="shared" si="68"/>
        <v>13.202224207762626</v>
      </c>
      <c r="E1119" s="18">
        <f t="shared" si="70"/>
        <v>175917.20717514757</v>
      </c>
      <c r="G1119" s="3">
        <v>133.49</v>
      </c>
      <c r="H1119" s="18">
        <f t="shared" si="69"/>
        <v>114.1431424677764</v>
      </c>
      <c r="I1119">
        <f t="shared" si="71"/>
        <v>887727.28012238676</v>
      </c>
    </row>
    <row r="1120" spans="1:9" ht="18" x14ac:dyDescent="0.2">
      <c r="A1120" s="2">
        <v>44263</v>
      </c>
      <c r="B1120" s="3">
        <v>12.82</v>
      </c>
      <c r="C1120">
        <f t="shared" si="68"/>
        <v>13.165821902261424</v>
      </c>
      <c r="E1120" s="18">
        <f t="shared" si="70"/>
        <v>181436.7333857918</v>
      </c>
      <c r="G1120" s="3">
        <v>138.13</v>
      </c>
      <c r="H1120" s="18">
        <f t="shared" si="69"/>
        <v>116.42760508989294</v>
      </c>
      <c r="I1120">
        <f t="shared" si="71"/>
        <v>887727.28012238676</v>
      </c>
    </row>
    <row r="1121" spans="1:9" ht="18" x14ac:dyDescent="0.2">
      <c r="A1121" s="2">
        <v>44270</v>
      </c>
      <c r="B1121" s="3">
        <v>12.81</v>
      </c>
      <c r="C1121">
        <f t="shared" si="68"/>
        <v>13.131934102046051</v>
      </c>
      <c r="E1121" s="18">
        <f t="shared" si="70"/>
        <v>181295.20707269837</v>
      </c>
      <c r="G1121" s="3">
        <v>137.24</v>
      </c>
      <c r="H1121" s="18">
        <f t="shared" si="69"/>
        <v>118.40973793847456</v>
      </c>
      <c r="I1121">
        <f t="shared" si="71"/>
        <v>887727.28012238676</v>
      </c>
    </row>
    <row r="1122" spans="1:9" ht="18" x14ac:dyDescent="0.2">
      <c r="A1122" s="2">
        <v>44277</v>
      </c>
      <c r="B1122" s="3">
        <v>12.81</v>
      </c>
      <c r="C1122">
        <f t="shared" si="68"/>
        <v>13.101273711374999</v>
      </c>
      <c r="E1122" s="18">
        <f t="shared" si="70"/>
        <v>181295.20707269837</v>
      </c>
      <c r="G1122" s="3">
        <v>137.19</v>
      </c>
      <c r="H1122" s="18">
        <f t="shared" si="69"/>
        <v>120.19833432528651</v>
      </c>
      <c r="I1122">
        <f t="shared" si="71"/>
        <v>887727.28012238676</v>
      </c>
    </row>
    <row r="1123" spans="1:9" ht="18" x14ac:dyDescent="0.2">
      <c r="A1123" s="2">
        <v>44284</v>
      </c>
      <c r="B1123" s="3">
        <v>13.78</v>
      </c>
      <c r="C1123">
        <f t="shared" si="68"/>
        <v>13.165914310291665</v>
      </c>
      <c r="E1123" s="18">
        <f t="shared" si="70"/>
        <v>195023.25944276218</v>
      </c>
      <c r="G1123" s="3">
        <v>135.97</v>
      </c>
      <c r="H1123" s="18">
        <f t="shared" si="69"/>
        <v>121.70039772287826</v>
      </c>
      <c r="I1123">
        <f t="shared" si="71"/>
        <v>887727.28012238676</v>
      </c>
    </row>
    <row r="1124" spans="1:9" ht="18" x14ac:dyDescent="0.2">
      <c r="A1124" s="2">
        <v>44291</v>
      </c>
      <c r="B1124" s="3">
        <v>14.37</v>
      </c>
      <c r="C1124">
        <f t="shared" si="68"/>
        <v>13.280589137882934</v>
      </c>
      <c r="E1124" s="18">
        <f t="shared" si="70"/>
        <v>195023.25944276218</v>
      </c>
      <c r="G1124" s="3">
        <v>138.25</v>
      </c>
      <c r="H1124" s="18">
        <f t="shared" si="69"/>
        <v>123.27655032069939</v>
      </c>
      <c r="I1124">
        <f t="shared" si="71"/>
        <v>887727.28012238676</v>
      </c>
    </row>
    <row r="1125" spans="1:9" ht="18" x14ac:dyDescent="0.2">
      <c r="A1125" s="2">
        <v>44298</v>
      </c>
      <c r="B1125" s="3">
        <v>15.87</v>
      </c>
      <c r="C1125">
        <f t="shared" si="68"/>
        <v>13.527199696179798</v>
      </c>
      <c r="E1125" s="18">
        <f t="shared" si="70"/>
        <v>195023.25944276218</v>
      </c>
      <c r="G1125" s="3">
        <v>136.41</v>
      </c>
      <c r="H1125" s="18">
        <f t="shared" si="69"/>
        <v>124.52735505206135</v>
      </c>
      <c r="I1125">
        <f t="shared" si="71"/>
        <v>887727.28012238676</v>
      </c>
    </row>
    <row r="1126" spans="1:9" ht="18" x14ac:dyDescent="0.2">
      <c r="A1126" s="2">
        <v>44305</v>
      </c>
      <c r="B1126" s="3">
        <v>15.23</v>
      </c>
      <c r="C1126">
        <f t="shared" si="68"/>
        <v>13.689371153686483</v>
      </c>
      <c r="E1126" s="18">
        <f t="shared" si="70"/>
        <v>195023.25944276218</v>
      </c>
      <c r="G1126" s="3">
        <v>133.63999999999999</v>
      </c>
      <c r="H1126" s="18">
        <f t="shared" si="69"/>
        <v>125.39522599948408</v>
      </c>
      <c r="I1126">
        <f t="shared" si="71"/>
        <v>887727.28012238676</v>
      </c>
    </row>
    <row r="1127" spans="1:9" ht="18" x14ac:dyDescent="0.2">
      <c r="A1127" s="2">
        <v>44312</v>
      </c>
      <c r="B1127" s="3">
        <v>14.97</v>
      </c>
      <c r="C1127">
        <f t="shared" si="68"/>
        <v>13.811335805716343</v>
      </c>
      <c r="E1127" s="18">
        <f t="shared" si="70"/>
        <v>195023.25944276218</v>
      </c>
      <c r="G1127" s="3">
        <v>136.86000000000001</v>
      </c>
      <c r="H1127" s="18">
        <f t="shared" si="69"/>
        <v>126.48710923762846</v>
      </c>
      <c r="I1127">
        <f t="shared" si="71"/>
        <v>887727.28012238676</v>
      </c>
    </row>
    <row r="1128" spans="1:9" ht="18" x14ac:dyDescent="0.2">
      <c r="A1128" s="2">
        <v>44319</v>
      </c>
      <c r="B1128" s="3">
        <v>14.78</v>
      </c>
      <c r="C1128">
        <f t="shared" si="68"/>
        <v>13.903589538505262</v>
      </c>
      <c r="E1128" s="18">
        <f t="shared" si="70"/>
        <v>195023.25944276218</v>
      </c>
      <c r="G1128" s="3">
        <v>143.47</v>
      </c>
      <c r="H1128" s="18">
        <f t="shared" si="69"/>
        <v>128.10452740547336</v>
      </c>
      <c r="I1128">
        <f t="shared" si="71"/>
        <v>887727.28012238676</v>
      </c>
    </row>
    <row r="1129" spans="1:9" ht="18" x14ac:dyDescent="0.2">
      <c r="A1129" s="2">
        <v>44326</v>
      </c>
      <c r="B1129" s="3">
        <v>14.21</v>
      </c>
      <c r="C1129">
        <f t="shared" si="68"/>
        <v>13.932771487219046</v>
      </c>
      <c r="E1129" s="18">
        <f t="shared" si="70"/>
        <v>195023.25944276218</v>
      </c>
      <c r="G1129" s="3">
        <v>145.94</v>
      </c>
      <c r="H1129" s="18">
        <f t="shared" si="69"/>
        <v>129.80314384304734</v>
      </c>
      <c r="I1129">
        <f t="shared" si="71"/>
        <v>887727.28012238676</v>
      </c>
    </row>
    <row r="1130" spans="1:9" ht="18" x14ac:dyDescent="0.2">
      <c r="A1130" s="2">
        <v>44333</v>
      </c>
      <c r="B1130" s="3">
        <v>14.96</v>
      </c>
      <c r="C1130">
        <f t="shared" si="68"/>
        <v>14.030602774150566</v>
      </c>
      <c r="E1130" s="18">
        <f t="shared" si="70"/>
        <v>195023.25944276218</v>
      </c>
      <c r="G1130" s="3">
        <v>144.74</v>
      </c>
      <c r="H1130" s="18">
        <f t="shared" si="69"/>
        <v>131.22570157228091</v>
      </c>
      <c r="I1130">
        <f t="shared" si="71"/>
        <v>887727.28012238676</v>
      </c>
    </row>
    <row r="1131" spans="1:9" ht="18" x14ac:dyDescent="0.2">
      <c r="A1131" s="2">
        <v>44340</v>
      </c>
      <c r="B1131" s="3">
        <v>16.21</v>
      </c>
      <c r="C1131">
        <f t="shared" si="68"/>
        <v>14.238164414707654</v>
      </c>
      <c r="E1131" s="18">
        <f t="shared" si="70"/>
        <v>195023.25944276218</v>
      </c>
      <c r="G1131" s="3">
        <v>146.13999999999999</v>
      </c>
      <c r="H1131" s="18">
        <f t="shared" si="69"/>
        <v>132.64611094634938</v>
      </c>
      <c r="I1131">
        <f t="shared" si="71"/>
        <v>887727.28012238676</v>
      </c>
    </row>
    <row r="1132" spans="1:9" ht="18" x14ac:dyDescent="0.2">
      <c r="A1132" s="2">
        <v>44347</v>
      </c>
      <c r="B1132" s="3">
        <v>17.54</v>
      </c>
      <c r="C1132">
        <f t="shared" si="68"/>
        <v>14.552624946640259</v>
      </c>
      <c r="E1132" s="18">
        <f t="shared" si="70"/>
        <v>195023.25944276218</v>
      </c>
      <c r="G1132" s="3">
        <v>148.1</v>
      </c>
      <c r="H1132" s="18">
        <f t="shared" si="69"/>
        <v>134.11790990383992</v>
      </c>
      <c r="I1132">
        <f t="shared" si="71"/>
        <v>887727.28012238676</v>
      </c>
    </row>
    <row r="1133" spans="1:9" ht="18" x14ac:dyDescent="0.2">
      <c r="A1133" s="2">
        <v>44354</v>
      </c>
      <c r="B1133" s="3">
        <v>17.78</v>
      </c>
      <c r="C1133">
        <f t="shared" si="68"/>
        <v>14.859993999341187</v>
      </c>
      <c r="E1133" s="18">
        <f t="shared" si="70"/>
        <v>195023.25944276218</v>
      </c>
      <c r="G1133" s="3">
        <v>142.63</v>
      </c>
      <c r="H1133" s="18">
        <f t="shared" si="69"/>
        <v>134.92858515109324</v>
      </c>
      <c r="I1133">
        <f t="shared" si="71"/>
        <v>887727.28012238676</v>
      </c>
    </row>
    <row r="1134" spans="1:9" ht="18" x14ac:dyDescent="0.2">
      <c r="A1134" s="2">
        <v>44361</v>
      </c>
      <c r="B1134" s="3">
        <v>18.600000000000001</v>
      </c>
      <c r="C1134">
        <f t="shared" si="68"/>
        <v>15.216185047022979</v>
      </c>
      <c r="E1134" s="18">
        <f t="shared" si="70"/>
        <v>195023.25944276218</v>
      </c>
      <c r="G1134" s="3">
        <v>131.62</v>
      </c>
      <c r="H1134" s="18">
        <f t="shared" si="69"/>
        <v>134.61348180337009</v>
      </c>
      <c r="I1134">
        <f t="shared" si="71"/>
        <v>887727.28012238676</v>
      </c>
    </row>
    <row r="1135" spans="1:9" ht="18" x14ac:dyDescent="0.2">
      <c r="A1135" s="2">
        <v>44368</v>
      </c>
      <c r="B1135" s="3">
        <v>18.989999999999998</v>
      </c>
      <c r="C1135">
        <f t="shared" si="68"/>
        <v>15.575595994925552</v>
      </c>
      <c r="E1135" s="18">
        <f t="shared" si="70"/>
        <v>195023.25944276218</v>
      </c>
      <c r="G1135" s="3">
        <v>137.08000000000001</v>
      </c>
      <c r="H1135" s="18">
        <f t="shared" si="69"/>
        <v>134.84838829828723</v>
      </c>
      <c r="I1135">
        <f t="shared" si="71"/>
        <v>924552.92173816124</v>
      </c>
    </row>
    <row r="1136" spans="1:9" ht="18" x14ac:dyDescent="0.2">
      <c r="A1136" s="2">
        <v>44375</v>
      </c>
      <c r="B1136" s="3">
        <v>20.440000000000001</v>
      </c>
      <c r="C1136">
        <f t="shared" si="68"/>
        <v>16.038872566837405</v>
      </c>
      <c r="E1136" s="18">
        <f t="shared" si="70"/>
        <v>195023.25944276218</v>
      </c>
      <c r="G1136" s="3">
        <v>138.84</v>
      </c>
      <c r="H1136" s="18">
        <f t="shared" si="69"/>
        <v>135.22854179368844</v>
      </c>
      <c r="I1136">
        <f t="shared" si="71"/>
        <v>924552.92173816124</v>
      </c>
    </row>
    <row r="1137" spans="1:9" ht="18" x14ac:dyDescent="0.2">
      <c r="A1137" s="2">
        <v>44382</v>
      </c>
      <c r="B1137" s="3">
        <v>20.010000000000002</v>
      </c>
      <c r="C1137">
        <f t="shared" si="68"/>
        <v>16.417075179519557</v>
      </c>
      <c r="E1137" s="18">
        <f t="shared" si="70"/>
        <v>195023.25944276218</v>
      </c>
      <c r="G1137" s="3">
        <v>139.4</v>
      </c>
      <c r="H1137" s="18">
        <f t="shared" si="69"/>
        <v>135.62582352762288</v>
      </c>
      <c r="I1137">
        <f t="shared" si="71"/>
        <v>924552.92173816124</v>
      </c>
    </row>
    <row r="1138" spans="1:9" ht="18" x14ac:dyDescent="0.2">
      <c r="A1138" s="2">
        <v>44389</v>
      </c>
      <c r="B1138" s="3">
        <v>18.12</v>
      </c>
      <c r="C1138">
        <f t="shared" si="68"/>
        <v>16.579258495755791</v>
      </c>
      <c r="E1138" s="18">
        <f t="shared" si="70"/>
        <v>195023.25944276218</v>
      </c>
      <c r="G1138" s="3">
        <v>135.94999999999999</v>
      </c>
      <c r="H1138" s="18">
        <f t="shared" si="69"/>
        <v>135.65669747737309</v>
      </c>
      <c r="I1138">
        <f t="shared" si="71"/>
        <v>924552.92173816124</v>
      </c>
    </row>
    <row r="1139" spans="1:9" ht="18" x14ac:dyDescent="0.2">
      <c r="A1139" s="2">
        <v>44396</v>
      </c>
      <c r="B1139" s="3">
        <v>19.52</v>
      </c>
      <c r="C1139">
        <f t="shared" si="68"/>
        <v>16.859329115207622</v>
      </c>
      <c r="E1139" s="18">
        <f t="shared" si="70"/>
        <v>195023.25944276218</v>
      </c>
      <c r="G1139" s="3">
        <v>134.81</v>
      </c>
      <c r="H1139" s="18">
        <f t="shared" si="69"/>
        <v>135.57605962238517</v>
      </c>
      <c r="I1139">
        <f t="shared" si="71"/>
        <v>924552.92173816124</v>
      </c>
    </row>
    <row r="1140" spans="1:9" ht="18" x14ac:dyDescent="0.2">
      <c r="A1140" s="2">
        <v>44403</v>
      </c>
      <c r="B1140" s="3">
        <v>19.46</v>
      </c>
      <c r="C1140">
        <f t="shared" si="68"/>
        <v>17.107012056616419</v>
      </c>
      <c r="E1140" s="18">
        <f t="shared" si="70"/>
        <v>195023.25944276218</v>
      </c>
      <c r="G1140" s="3">
        <v>135.83000000000001</v>
      </c>
      <c r="H1140" s="18">
        <f t="shared" si="69"/>
        <v>135.60024442025326</v>
      </c>
      <c r="I1140">
        <f t="shared" si="71"/>
        <v>931548.27801865176</v>
      </c>
    </row>
    <row r="1141" spans="1:9" ht="18" x14ac:dyDescent="0.2">
      <c r="A1141" s="2">
        <v>44410</v>
      </c>
      <c r="B1141" s="3">
        <v>20.32</v>
      </c>
      <c r="C1141">
        <f t="shared" si="68"/>
        <v>17.413010908367237</v>
      </c>
      <c r="E1141" s="18">
        <f t="shared" si="70"/>
        <v>195023.25944276218</v>
      </c>
      <c r="G1141" s="3">
        <v>140.94999999999999</v>
      </c>
      <c r="H1141" s="18">
        <f t="shared" si="69"/>
        <v>136.10974495165772</v>
      </c>
      <c r="I1141">
        <f t="shared" si="71"/>
        <v>931548.27801865176</v>
      </c>
    </row>
    <row r="1142" spans="1:9" ht="18" x14ac:dyDescent="0.2">
      <c r="A1142" s="2">
        <v>44417</v>
      </c>
      <c r="B1142" s="3">
        <v>20.14</v>
      </c>
      <c r="C1142">
        <f t="shared" si="68"/>
        <v>17.672724155189407</v>
      </c>
      <c r="E1142" s="18">
        <f t="shared" si="70"/>
        <v>195023.25944276218</v>
      </c>
      <c r="G1142" s="3">
        <v>143.16999999999999</v>
      </c>
      <c r="H1142" s="18">
        <f t="shared" si="69"/>
        <v>136.78215019435697</v>
      </c>
      <c r="I1142">
        <f t="shared" si="71"/>
        <v>931548.27801865176</v>
      </c>
    </row>
    <row r="1143" spans="1:9" ht="18" x14ac:dyDescent="0.2">
      <c r="A1143" s="2">
        <v>44424</v>
      </c>
      <c r="B1143" s="3">
        <v>20.77</v>
      </c>
      <c r="C1143">
        <f t="shared" si="68"/>
        <v>17.96770280707613</v>
      </c>
      <c r="E1143" s="18">
        <f t="shared" si="70"/>
        <v>195023.25944276218</v>
      </c>
      <c r="G1143" s="3">
        <v>138.46</v>
      </c>
      <c r="H1143" s="18">
        <f t="shared" si="69"/>
        <v>136.94194541394202</v>
      </c>
      <c r="I1143">
        <f t="shared" si="71"/>
        <v>931548.27801865176</v>
      </c>
    </row>
    <row r="1144" spans="1:9" ht="18" x14ac:dyDescent="0.2">
      <c r="A1144" s="2">
        <v>44431</v>
      </c>
      <c r="B1144" s="3">
        <v>22.59</v>
      </c>
      <c r="C1144">
        <f t="shared" si="68"/>
        <v>18.407921587354593</v>
      </c>
      <c r="E1144" s="18">
        <f t="shared" si="70"/>
        <v>195023.25944276218</v>
      </c>
      <c r="G1144" s="3">
        <v>145.91999999999999</v>
      </c>
      <c r="H1144" s="18">
        <f t="shared" si="69"/>
        <v>137.79699823166183</v>
      </c>
      <c r="I1144">
        <f t="shared" si="71"/>
        <v>931548.27801865176</v>
      </c>
    </row>
    <row r="1145" spans="1:9" ht="18" x14ac:dyDescent="0.2">
      <c r="A1145" s="2">
        <v>44438</v>
      </c>
      <c r="B1145" s="3">
        <v>22.79</v>
      </c>
      <c r="C1145">
        <f t="shared" si="68"/>
        <v>18.825262388558919</v>
      </c>
      <c r="E1145" s="18">
        <f t="shared" si="70"/>
        <v>195023.25944276218</v>
      </c>
      <c r="G1145" s="3">
        <v>142.72999999999999</v>
      </c>
      <c r="H1145" s="18">
        <f t="shared" si="69"/>
        <v>138.2668079238845</v>
      </c>
      <c r="I1145">
        <f t="shared" si="71"/>
        <v>931548.27801865176</v>
      </c>
    </row>
    <row r="1146" spans="1:9" ht="18" x14ac:dyDescent="0.2">
      <c r="A1146" s="2">
        <v>44445</v>
      </c>
      <c r="B1146" s="3">
        <v>22.43</v>
      </c>
      <c r="C1146">
        <f t="shared" si="68"/>
        <v>19.168570732505689</v>
      </c>
      <c r="E1146" s="18">
        <f t="shared" si="70"/>
        <v>195023.25944276218</v>
      </c>
      <c r="G1146" s="3">
        <v>140.83000000000001</v>
      </c>
      <c r="H1146" s="18">
        <f t="shared" si="69"/>
        <v>138.51092145494312</v>
      </c>
      <c r="I1146">
        <f t="shared" si="71"/>
        <v>931548.27801865176</v>
      </c>
    </row>
    <row r="1147" spans="1:9" ht="18" x14ac:dyDescent="0.2">
      <c r="A1147" s="2">
        <v>44452</v>
      </c>
      <c r="B1147" s="3">
        <v>21.86</v>
      </c>
      <c r="C1147">
        <f t="shared" si="68"/>
        <v>19.424897329409909</v>
      </c>
      <c r="E1147" s="18">
        <f t="shared" si="70"/>
        <v>195023.25944276218</v>
      </c>
      <c r="G1147" s="3">
        <v>141.11000000000001</v>
      </c>
      <c r="H1147" s="18">
        <f t="shared" si="69"/>
        <v>138.75845274494853</v>
      </c>
      <c r="I1147">
        <f t="shared" si="71"/>
        <v>931548.27801865176</v>
      </c>
    </row>
    <row r="1148" spans="1:9" ht="18" x14ac:dyDescent="0.2">
      <c r="A1148" s="2">
        <v>44459</v>
      </c>
      <c r="B1148" s="3">
        <v>22.04</v>
      </c>
      <c r="C1148">
        <f t="shared" si="68"/>
        <v>19.673954726608965</v>
      </c>
      <c r="E1148" s="18">
        <f t="shared" si="70"/>
        <v>195023.25944276218</v>
      </c>
      <c r="G1148" s="3">
        <v>145.91</v>
      </c>
      <c r="H1148" s="18">
        <f t="shared" si="69"/>
        <v>139.43955248352486</v>
      </c>
      <c r="I1148">
        <f t="shared" si="71"/>
        <v>931548.27801865176</v>
      </c>
    </row>
    <row r="1149" spans="1:9" ht="18" x14ac:dyDescent="0.2">
      <c r="A1149" s="2">
        <v>44466</v>
      </c>
      <c r="B1149" s="3">
        <v>20.7</v>
      </c>
      <c r="C1149">
        <f t="shared" si="68"/>
        <v>19.771673324074779</v>
      </c>
      <c r="E1149" s="18">
        <f t="shared" si="70"/>
        <v>195023.25944276218</v>
      </c>
      <c r="G1149" s="3">
        <v>149.57</v>
      </c>
      <c r="H1149" s="18">
        <f t="shared" si="69"/>
        <v>140.40435700890345</v>
      </c>
      <c r="I1149">
        <f t="shared" si="71"/>
        <v>931548.27801865176</v>
      </c>
    </row>
    <row r="1150" spans="1:9" ht="18" x14ac:dyDescent="0.2">
      <c r="A1150" s="2">
        <v>44473</v>
      </c>
      <c r="B1150" s="3">
        <v>20.79</v>
      </c>
      <c r="C1150">
        <f t="shared" si="68"/>
        <v>19.868656817020039</v>
      </c>
      <c r="E1150" s="18">
        <f t="shared" si="70"/>
        <v>195023.25944276218</v>
      </c>
      <c r="G1150" s="3">
        <v>152.34</v>
      </c>
      <c r="H1150" s="18">
        <f t="shared" si="69"/>
        <v>141.54108491281741</v>
      </c>
      <c r="I1150">
        <f t="shared" si="71"/>
        <v>931548.27801865176</v>
      </c>
    </row>
    <row r="1151" spans="1:9" ht="18" x14ac:dyDescent="0.2">
      <c r="A1151" s="2">
        <v>44480</v>
      </c>
      <c r="B1151" s="3">
        <v>21.82</v>
      </c>
      <c r="C1151">
        <f t="shared" si="68"/>
        <v>20.054499024922894</v>
      </c>
      <c r="E1151" s="18">
        <f t="shared" si="70"/>
        <v>195023.25944276218</v>
      </c>
      <c r="G1151" s="3">
        <v>150</v>
      </c>
      <c r="H1151" s="18">
        <f t="shared" si="69"/>
        <v>142.34669587350146</v>
      </c>
      <c r="I1151">
        <f t="shared" si="71"/>
        <v>931548.27801865176</v>
      </c>
    </row>
    <row r="1152" spans="1:9" ht="18" x14ac:dyDescent="0.2">
      <c r="A1152" s="2">
        <v>44487</v>
      </c>
      <c r="B1152" s="3">
        <v>22.68</v>
      </c>
      <c r="C1152">
        <f t="shared" si="68"/>
        <v>20.304546736835</v>
      </c>
      <c r="E1152" s="18">
        <f t="shared" si="70"/>
        <v>195023.25944276218</v>
      </c>
      <c r="G1152" s="3">
        <v>154.66</v>
      </c>
      <c r="H1152" s="18">
        <f t="shared" si="69"/>
        <v>143.51939150459657</v>
      </c>
      <c r="I1152">
        <f t="shared" si="71"/>
        <v>931548.27801865176</v>
      </c>
    </row>
    <row r="1153" spans="1:9" ht="18" x14ac:dyDescent="0.2">
      <c r="A1153" s="2">
        <v>44494</v>
      </c>
      <c r="B1153" s="3">
        <v>25.52</v>
      </c>
      <c r="C1153">
        <f t="shared" si="68"/>
        <v>20.801256571422144</v>
      </c>
      <c r="E1153" s="18">
        <f t="shared" si="70"/>
        <v>195023.25944276218</v>
      </c>
      <c r="G1153" s="3">
        <v>152.96</v>
      </c>
      <c r="H1153" s="18">
        <f t="shared" si="69"/>
        <v>144.41849707558737</v>
      </c>
      <c r="I1153">
        <f t="shared" si="71"/>
        <v>931548.27801865176</v>
      </c>
    </row>
    <row r="1154" spans="1:9" ht="18" x14ac:dyDescent="0.2">
      <c r="A1154" s="2">
        <v>44501</v>
      </c>
      <c r="B1154" s="3">
        <v>29.69</v>
      </c>
      <c r="C1154">
        <f t="shared" si="68"/>
        <v>21.647803564620034</v>
      </c>
      <c r="E1154" s="18">
        <f t="shared" si="70"/>
        <v>195023.25944276218</v>
      </c>
      <c r="G1154" s="3">
        <v>151.30000000000001</v>
      </c>
      <c r="H1154" s="18">
        <f t="shared" si="69"/>
        <v>145.07387830648381</v>
      </c>
      <c r="I1154">
        <f t="shared" si="71"/>
        <v>931548.27801865176</v>
      </c>
    </row>
    <row r="1155" spans="1:9" ht="18" x14ac:dyDescent="0.2">
      <c r="A1155" s="2">
        <v>44508</v>
      </c>
      <c r="B1155" s="3">
        <v>30.33</v>
      </c>
      <c r="C1155">
        <f t="shared" si="68"/>
        <v>22.474679415608602</v>
      </c>
      <c r="E1155" s="18">
        <f t="shared" si="70"/>
        <v>195023.25944276218</v>
      </c>
      <c r="G1155" s="3">
        <v>150.22999999999999</v>
      </c>
      <c r="H1155" s="18">
        <f t="shared" si="69"/>
        <v>145.56493751539011</v>
      </c>
      <c r="I1155">
        <f t="shared" si="71"/>
        <v>931548.27801865176</v>
      </c>
    </row>
    <row r="1156" spans="1:9" ht="18" x14ac:dyDescent="0.2">
      <c r="A1156" s="2">
        <v>44515</v>
      </c>
      <c r="B1156" s="3">
        <v>32.92</v>
      </c>
      <c r="C1156">
        <f t="shared" si="68"/>
        <v>23.469471852217307</v>
      </c>
      <c r="E1156" s="18">
        <f t="shared" si="70"/>
        <v>195023.25944276218</v>
      </c>
      <c r="G1156" s="3">
        <v>144.88</v>
      </c>
      <c r="H1156" s="18">
        <f t="shared" si="69"/>
        <v>145.49970537106725</v>
      </c>
      <c r="I1156">
        <f t="shared" si="71"/>
        <v>931548.27801865176</v>
      </c>
    </row>
    <row r="1157" spans="1:9" ht="18" x14ac:dyDescent="0.2">
      <c r="A1157" s="2">
        <v>44522</v>
      </c>
      <c r="B1157" s="3">
        <v>31.44</v>
      </c>
      <c r="C1157">
        <f t="shared" si="68"/>
        <v>24.228569771053753</v>
      </c>
      <c r="E1157" s="18">
        <f t="shared" si="70"/>
        <v>195023.25944276218</v>
      </c>
      <c r="G1157" s="3">
        <v>145.79</v>
      </c>
      <c r="H1157" s="18">
        <f t="shared" si="69"/>
        <v>145.52735247858465</v>
      </c>
      <c r="I1157">
        <f t="shared" si="71"/>
        <v>937399.38882067392</v>
      </c>
    </row>
    <row r="1158" spans="1:9" ht="18" x14ac:dyDescent="0.2">
      <c r="A1158" s="2">
        <v>44529</v>
      </c>
      <c r="B1158" s="3">
        <v>30.63</v>
      </c>
      <c r="C1158">
        <f t="shared" si="68"/>
        <v>24.838229792858158</v>
      </c>
      <c r="E1158" s="18">
        <f t="shared" si="70"/>
        <v>195023.25944276218</v>
      </c>
      <c r="G1158" s="3">
        <v>142.51</v>
      </c>
      <c r="H1158" s="18">
        <f t="shared" si="69"/>
        <v>145.23998557586231</v>
      </c>
      <c r="I1158">
        <f t="shared" si="71"/>
        <v>937399.38882067392</v>
      </c>
    </row>
    <row r="1159" spans="1:9" ht="18" x14ac:dyDescent="0.2">
      <c r="A1159" s="2">
        <v>44536</v>
      </c>
      <c r="B1159" s="3">
        <v>30.14</v>
      </c>
      <c r="C1159">
        <f t="shared" si="68"/>
        <v>25.343160288776428</v>
      </c>
      <c r="E1159" s="18">
        <f t="shared" si="70"/>
        <v>195023.25944276218</v>
      </c>
      <c r="G1159" s="3">
        <v>143.88999999999999</v>
      </c>
      <c r="H1159" s="18">
        <f t="shared" si="69"/>
        <v>145.11141552101827</v>
      </c>
      <c r="I1159">
        <f t="shared" si="71"/>
        <v>946476.72484321636</v>
      </c>
    </row>
    <row r="1160" spans="1:9" ht="18" x14ac:dyDescent="0.2">
      <c r="A1160" s="2">
        <v>44543</v>
      </c>
      <c r="B1160" s="3">
        <v>27.75</v>
      </c>
      <c r="C1160">
        <f t="shared" si="68"/>
        <v>25.572383118416766</v>
      </c>
      <c r="E1160" s="18">
        <f t="shared" si="70"/>
        <v>195023.25944276218</v>
      </c>
      <c r="G1160" s="3">
        <v>141.13999999999999</v>
      </c>
      <c r="H1160" s="18">
        <f t="shared" si="69"/>
        <v>144.73318547139749</v>
      </c>
      <c r="I1160">
        <f t="shared" si="71"/>
        <v>928387.83059539623</v>
      </c>
    </row>
    <row r="1161" spans="1:9" ht="18" x14ac:dyDescent="0.2">
      <c r="A1161" s="2">
        <v>44550</v>
      </c>
      <c r="B1161" s="3">
        <v>29.58</v>
      </c>
      <c r="C1161">
        <f t="shared" si="68"/>
        <v>25.95406091666279</v>
      </c>
      <c r="E1161" s="18">
        <f t="shared" si="70"/>
        <v>195023.25944276218</v>
      </c>
      <c r="G1161" s="3">
        <v>141.59</v>
      </c>
      <c r="H1161" s="18">
        <f t="shared" si="69"/>
        <v>144.43383447412154</v>
      </c>
      <c r="I1161">
        <f t="shared" si="71"/>
        <v>931347.83147231245</v>
      </c>
    </row>
    <row r="1162" spans="1:9" ht="18" x14ac:dyDescent="0.2">
      <c r="A1162" s="2">
        <v>44557</v>
      </c>
      <c r="B1162" s="3">
        <v>29.36</v>
      </c>
      <c r="C1162">
        <f t="shared" si="68"/>
        <v>26.278436067456809</v>
      </c>
      <c r="E1162" s="18">
        <f t="shared" si="70"/>
        <v>195023.25944276218</v>
      </c>
      <c r="G1162" s="3">
        <v>142.57</v>
      </c>
      <c r="H1162" s="18">
        <f t="shared" si="69"/>
        <v>144.2563264289671</v>
      </c>
      <c r="I1162">
        <f t="shared" si="71"/>
        <v>937794.05560426286</v>
      </c>
    </row>
    <row r="1163" spans="1:9" ht="18" x14ac:dyDescent="0.2">
      <c r="A1163" s="2">
        <v>44564</v>
      </c>
      <c r="B1163" s="3">
        <v>27.2</v>
      </c>
      <c r="C1163">
        <f t="shared" si="68"/>
        <v>26.366204061032352</v>
      </c>
      <c r="E1163" s="18">
        <f t="shared" si="70"/>
        <v>195023.25944276218</v>
      </c>
      <c r="G1163" s="3">
        <v>150.5</v>
      </c>
      <c r="H1163" s="18">
        <f t="shared" si="69"/>
        <v>144.85096200716072</v>
      </c>
      <c r="I1163">
        <f t="shared" si="71"/>
        <v>989955.84883524978</v>
      </c>
    </row>
    <row r="1164" spans="1:9" ht="18" x14ac:dyDescent="0.2">
      <c r="A1164" s="2">
        <v>44571</v>
      </c>
      <c r="B1164" s="3">
        <v>26.89</v>
      </c>
      <c r="C1164">
        <f t="shared" si="68"/>
        <v>26.416089388553079</v>
      </c>
      <c r="E1164" s="18">
        <f t="shared" si="70"/>
        <v>195023.25944276218</v>
      </c>
      <c r="G1164" s="3">
        <v>143.01</v>
      </c>
      <c r="H1164" s="18">
        <f t="shared" si="69"/>
        <v>144.67563229219303</v>
      </c>
      <c r="I1164">
        <f t="shared" si="71"/>
        <v>989955.84883524978</v>
      </c>
    </row>
    <row r="1165" spans="1:9" ht="18" x14ac:dyDescent="0.2">
      <c r="A1165" s="2">
        <v>44578</v>
      </c>
      <c r="B1165" s="3">
        <v>23.33</v>
      </c>
      <c r="C1165">
        <f t="shared" si="68"/>
        <v>26.122176113452785</v>
      </c>
      <c r="E1165" s="18">
        <f t="shared" si="70"/>
        <v>195023.25944276218</v>
      </c>
      <c r="G1165" s="3">
        <v>131.4</v>
      </c>
      <c r="H1165" s="18">
        <f t="shared" si="69"/>
        <v>143.41128635960322</v>
      </c>
      <c r="I1165">
        <f t="shared" si="71"/>
        <v>909588.1304590716</v>
      </c>
    </row>
    <row r="1166" spans="1:9" ht="18" x14ac:dyDescent="0.2">
      <c r="A1166" s="2">
        <v>44585</v>
      </c>
      <c r="B1166" s="3">
        <v>22.8</v>
      </c>
      <c r="C1166">
        <f t="shared" si="68"/>
        <v>25.805778388362043</v>
      </c>
      <c r="E1166" s="18">
        <f t="shared" si="70"/>
        <v>190592.8124858542</v>
      </c>
      <c r="G1166" s="3">
        <v>132.79</v>
      </c>
      <c r="H1166" s="18">
        <f t="shared" si="69"/>
        <v>142.39973527773626</v>
      </c>
      <c r="I1166">
        <f t="shared" si="71"/>
        <v>919210.10535509977</v>
      </c>
    </row>
    <row r="1167" spans="1:9" ht="18" x14ac:dyDescent="0.2">
      <c r="A1167" s="2">
        <v>44592</v>
      </c>
      <c r="B1167" s="3">
        <v>24.27</v>
      </c>
      <c r="C1167">
        <f t="shared" si="68"/>
        <v>25.659513779946611</v>
      </c>
      <c r="E1167" s="18">
        <f t="shared" si="70"/>
        <v>202881.03329086321</v>
      </c>
      <c r="G1167" s="3">
        <v>138.18</v>
      </c>
      <c r="H1167" s="18">
        <f t="shared" si="69"/>
        <v>141.99785572747567</v>
      </c>
      <c r="I1167">
        <f t="shared" si="71"/>
        <v>956521.21664257627</v>
      </c>
    </row>
    <row r="1168" spans="1:9" ht="18" x14ac:dyDescent="0.2">
      <c r="A1168" s="2">
        <v>44599</v>
      </c>
      <c r="B1168" s="3">
        <v>23.9</v>
      </c>
      <c r="C1168">
        <f t="shared" si="68"/>
        <v>25.491941038999315</v>
      </c>
      <c r="E1168" s="18">
        <f t="shared" si="70"/>
        <v>199788.07975490857</v>
      </c>
      <c r="G1168" s="3">
        <v>139.41</v>
      </c>
      <c r="H1168" s="18">
        <f t="shared" si="69"/>
        <v>141.75139327723988</v>
      </c>
      <c r="I1168">
        <f t="shared" si="71"/>
        <v>965035.62608294655</v>
      </c>
    </row>
    <row r="1169" spans="1:9" ht="18" x14ac:dyDescent="0.2">
      <c r="A1169" s="2">
        <v>44606</v>
      </c>
      <c r="B1169" s="3">
        <v>23.6</v>
      </c>
      <c r="C1169">
        <f t="shared" si="68"/>
        <v>25.311756178142236</v>
      </c>
      <c r="E1169" s="18">
        <f t="shared" si="70"/>
        <v>197280.27959062104</v>
      </c>
      <c r="G1169" s="3">
        <v>137.80000000000001</v>
      </c>
      <c r="H1169" s="18">
        <f t="shared" si="69"/>
        <v>141.37507010797896</v>
      </c>
      <c r="I1169">
        <f t="shared" si="71"/>
        <v>953890.74868538883</v>
      </c>
    </row>
    <row r="1170" spans="1:9" ht="18" x14ac:dyDescent="0.2">
      <c r="A1170" s="2">
        <v>44613</v>
      </c>
      <c r="B1170" s="3">
        <v>24.11</v>
      </c>
      <c r="C1170">
        <f t="shared" si="68"/>
        <v>25.197303208795358</v>
      </c>
      <c r="E1170" s="18">
        <f t="shared" si="70"/>
        <v>201543.53986990987</v>
      </c>
      <c r="G1170" s="3">
        <v>134.02000000000001</v>
      </c>
      <c r="H1170" s="18">
        <f t="shared" si="69"/>
        <v>140.6745872405524</v>
      </c>
      <c r="I1170">
        <f t="shared" si="71"/>
        <v>927724.51479547028</v>
      </c>
    </row>
    <row r="1171" spans="1:9" ht="18" x14ac:dyDescent="0.2">
      <c r="A1171" s="2">
        <v>44620</v>
      </c>
      <c r="B1171" s="3">
        <v>22.89</v>
      </c>
      <c r="C1171">
        <f t="shared" si="68"/>
        <v>24.977560046052943</v>
      </c>
      <c r="E1171" s="18">
        <f t="shared" si="70"/>
        <v>191345.15253514051</v>
      </c>
      <c r="G1171" s="3">
        <v>121.73</v>
      </c>
      <c r="H1171" s="18">
        <f t="shared" si="69"/>
        <v>138.87034083669027</v>
      </c>
      <c r="I1171">
        <f t="shared" si="71"/>
        <v>842649.64323274582</v>
      </c>
    </row>
    <row r="1172" spans="1:9" ht="18" x14ac:dyDescent="0.2">
      <c r="A1172" s="2">
        <v>44627</v>
      </c>
      <c r="B1172" s="3">
        <v>22.06</v>
      </c>
      <c r="C1172">
        <f t="shared" si="68"/>
        <v>24.699697184524091</v>
      </c>
      <c r="E1172" s="18">
        <f t="shared" si="70"/>
        <v>184406.90541394491</v>
      </c>
      <c r="G1172" s="3">
        <v>116.74</v>
      </c>
      <c r="H1172" s="18">
        <f t="shared" si="69"/>
        <v>136.76268932843405</v>
      </c>
      <c r="I1172">
        <f t="shared" si="71"/>
        <v>808107.44558441418</v>
      </c>
    </row>
    <row r="1173" spans="1:9" ht="18" x14ac:dyDescent="0.2">
      <c r="A1173" s="2">
        <v>44634</v>
      </c>
      <c r="B1173" s="3">
        <v>26.41</v>
      </c>
      <c r="C1173">
        <f t="shared" si="68"/>
        <v>24.862583166950369</v>
      </c>
      <c r="E1173" s="18">
        <f t="shared" si="70"/>
        <v>220770.00779611446</v>
      </c>
      <c r="G1173" s="3">
        <v>126.89</v>
      </c>
      <c r="H1173" s="18">
        <f t="shared" si="69"/>
        <v>135.82243320191651</v>
      </c>
      <c r="I1173">
        <f t="shared" si="71"/>
        <v>878368.62917771388</v>
      </c>
    </row>
    <row r="1174" spans="1:9" ht="18" x14ac:dyDescent="0.2">
      <c r="A1174" s="2">
        <v>44641</v>
      </c>
      <c r="B1174" s="3">
        <v>27.64</v>
      </c>
      <c r="C1174">
        <f t="shared" si="68"/>
        <v>25.127099055812238</v>
      </c>
      <c r="E1174" s="18">
        <f t="shared" si="70"/>
        <v>220770.00779611446</v>
      </c>
      <c r="G1174" s="3">
        <v>128.54</v>
      </c>
      <c r="H1174" s="18">
        <f t="shared" si="69"/>
        <v>135.12886813506731</v>
      </c>
      <c r="I1174">
        <f t="shared" si="71"/>
        <v>889790.39793918608</v>
      </c>
    </row>
    <row r="1175" spans="1:9" ht="18" x14ac:dyDescent="0.2">
      <c r="A1175" s="2">
        <v>44648</v>
      </c>
      <c r="B1175" s="3">
        <v>26.67</v>
      </c>
      <c r="C1175">
        <f t="shared" si="68"/>
        <v>25.274042002877739</v>
      </c>
      <c r="E1175" s="18">
        <f t="shared" si="70"/>
        <v>220770.00779611446</v>
      </c>
      <c r="G1175" s="3">
        <v>122.55</v>
      </c>
      <c r="H1175" s="18">
        <f t="shared" si="69"/>
        <v>133.93088069363233</v>
      </c>
      <c r="I1175">
        <f t="shared" si="71"/>
        <v>848325.91619299247</v>
      </c>
    </row>
    <row r="1176" spans="1:9" ht="18" x14ac:dyDescent="0.2">
      <c r="A1176" s="2">
        <v>44655</v>
      </c>
      <c r="B1176" s="3">
        <v>23.08</v>
      </c>
      <c r="C1176">
        <f t="shared" si="68"/>
        <v>25.065085621651289</v>
      </c>
      <c r="E1176" s="18">
        <f t="shared" si="70"/>
        <v>220770.00779611446</v>
      </c>
      <c r="G1176" s="3">
        <v>120.91</v>
      </c>
      <c r="H1176" s="18">
        <f t="shared" si="69"/>
        <v>132.69079681804831</v>
      </c>
      <c r="I1176">
        <f t="shared" si="71"/>
        <v>836973.37027249869</v>
      </c>
    </row>
    <row r="1177" spans="1:9" ht="18" x14ac:dyDescent="0.2">
      <c r="A1177" s="2">
        <v>44662</v>
      </c>
      <c r="B1177" s="3">
        <v>21.22</v>
      </c>
      <c r="C1177">
        <f t="shared" ref="C1177:C1240" si="72">(B1177-C1176)*$D$4+C1176</f>
        <v>24.698886991017833</v>
      </c>
      <c r="E1177" s="18">
        <f t="shared" si="70"/>
        <v>202978.3173931347</v>
      </c>
      <c r="G1177" s="3">
        <v>115.08</v>
      </c>
      <c r="H1177" s="18">
        <f t="shared" si="69"/>
        <v>131.01357807347227</v>
      </c>
      <c r="I1177">
        <f t="shared" si="71"/>
        <v>796616.45398196299</v>
      </c>
    </row>
    <row r="1178" spans="1:9" ht="18" x14ac:dyDescent="0.2">
      <c r="A1178" s="2">
        <v>44669</v>
      </c>
      <c r="B1178" s="3">
        <v>19.48</v>
      </c>
      <c r="C1178">
        <f t="shared" si="72"/>
        <v>24.201850134730421</v>
      </c>
      <c r="E1178" s="18">
        <f t="shared" si="70"/>
        <v>186334.4779838956</v>
      </c>
      <c r="G1178" s="3">
        <v>115.71</v>
      </c>
      <c r="H1178" s="18">
        <f t="shared" ref="H1178:H1241" si="73">(G1178-H1177)*$D$4+H1177</f>
        <v>129.55609444742728</v>
      </c>
      <c r="I1178">
        <f t="shared" si="71"/>
        <v>800977.49296361604</v>
      </c>
    </row>
    <row r="1179" spans="1:9" ht="18" x14ac:dyDescent="0.2">
      <c r="A1179" s="2">
        <v>44676</v>
      </c>
      <c r="B1179" s="3">
        <v>18.52</v>
      </c>
      <c r="C1179">
        <f t="shared" si="72"/>
        <v>23.660721550470381</v>
      </c>
      <c r="E1179" s="18">
        <f t="shared" si="70"/>
        <v>177151.67003397056</v>
      </c>
      <c r="G1179" s="3">
        <v>108.91</v>
      </c>
      <c r="H1179" s="18">
        <f t="shared" si="73"/>
        <v>127.5897997381485</v>
      </c>
      <c r="I1179">
        <f t="shared" si="71"/>
        <v>753905.96109815431</v>
      </c>
    </row>
    <row r="1180" spans="1:9" ht="18" x14ac:dyDescent="0.2">
      <c r="A1180" s="2">
        <v>44683</v>
      </c>
      <c r="B1180" s="3">
        <v>18.64</v>
      </c>
      <c r="C1180">
        <f t="shared" si="72"/>
        <v>23.182557593282727</v>
      </c>
      <c r="E1180" s="18">
        <f t="shared" si="70"/>
        <v>178299.52102771119</v>
      </c>
      <c r="G1180" s="3">
        <v>112.89</v>
      </c>
      <c r="H1180" s="18">
        <f t="shared" si="73"/>
        <v>126.18981881070579</v>
      </c>
      <c r="I1180">
        <f t="shared" si="71"/>
        <v>781456.65180764522</v>
      </c>
    </row>
    <row r="1181" spans="1:9" ht="18" x14ac:dyDescent="0.2">
      <c r="A1181" s="2">
        <v>44690</v>
      </c>
      <c r="B1181" s="3">
        <v>17.68</v>
      </c>
      <c r="C1181">
        <f t="shared" si="72"/>
        <v>22.658504489160563</v>
      </c>
      <c r="E1181" s="18">
        <f t="shared" ref="E1181:E1244" si="74">IF(C1180&gt;B1180,E1180*B1181/B1180,E1180)</f>
        <v>169116.71307778615</v>
      </c>
      <c r="G1181" s="3">
        <v>108.66</v>
      </c>
      <c r="H1181" s="18">
        <f t="shared" si="73"/>
        <v>124.52031225730524</v>
      </c>
      <c r="I1181">
        <f t="shared" si="71"/>
        <v>752175.39007368882</v>
      </c>
    </row>
    <row r="1182" spans="1:9" ht="18" x14ac:dyDescent="0.2">
      <c r="A1182" s="2">
        <v>44697</v>
      </c>
      <c r="B1182" s="3">
        <v>16.670000000000002</v>
      </c>
      <c r="C1182">
        <f t="shared" si="72"/>
        <v>22.08817072828813</v>
      </c>
      <c r="E1182" s="18">
        <f t="shared" si="74"/>
        <v>159455.63388046919</v>
      </c>
      <c r="G1182" s="3">
        <v>107.07</v>
      </c>
      <c r="H1182" s="18">
        <f t="shared" si="73"/>
        <v>122.8583777566095</v>
      </c>
      <c r="I1182">
        <f t="shared" ref="I1182:I1245" si="75">IF(H1181&gt;G1181,I1181*G1182/G1181,I1181)</f>
        <v>741168.95835808816</v>
      </c>
    </row>
    <row r="1183" spans="1:9" ht="18" x14ac:dyDescent="0.2">
      <c r="A1183" s="2">
        <v>44704</v>
      </c>
      <c r="B1183" s="3">
        <v>18.78</v>
      </c>
      <c r="C1183">
        <f t="shared" si="72"/>
        <v>21.773106849403547</v>
      </c>
      <c r="E1183" s="18">
        <f t="shared" si="74"/>
        <v>179638.68052040858</v>
      </c>
      <c r="G1183" s="3">
        <v>119.78</v>
      </c>
      <c r="H1183" s="18">
        <f t="shared" si="73"/>
        <v>122.56519892264669</v>
      </c>
      <c r="I1183">
        <f t="shared" si="75"/>
        <v>829151.18924191466</v>
      </c>
    </row>
    <row r="1184" spans="1:9" ht="18" x14ac:dyDescent="0.2">
      <c r="A1184" s="2">
        <v>44711</v>
      </c>
      <c r="B1184" s="3">
        <v>18.690000000000001</v>
      </c>
      <c r="C1184">
        <f t="shared" si="72"/>
        <v>21.47947762565083</v>
      </c>
      <c r="E1184" s="18">
        <f t="shared" si="74"/>
        <v>178777.7922751031</v>
      </c>
      <c r="G1184" s="3">
        <v>118.76</v>
      </c>
      <c r="H1184" s="18">
        <f t="shared" si="73"/>
        <v>122.20279902525176</v>
      </c>
      <c r="I1184">
        <f t="shared" si="75"/>
        <v>822090.4594620954</v>
      </c>
    </row>
    <row r="1185" spans="1:9" ht="18" x14ac:dyDescent="0.2">
      <c r="A1185" s="2">
        <v>44718</v>
      </c>
      <c r="B1185" s="3">
        <v>16.95</v>
      </c>
      <c r="C1185">
        <f t="shared" si="72"/>
        <v>21.048098804160276</v>
      </c>
      <c r="E1185" s="18">
        <f t="shared" si="74"/>
        <v>162133.95286586395</v>
      </c>
      <c r="G1185" s="3">
        <v>109.08</v>
      </c>
      <c r="H1185" s="18">
        <f t="shared" si="73"/>
        <v>120.95300864189446</v>
      </c>
      <c r="I1185">
        <f t="shared" si="75"/>
        <v>755082.74939479085</v>
      </c>
    </row>
    <row r="1186" spans="1:9" ht="18" x14ac:dyDescent="0.2">
      <c r="A1186" s="2">
        <v>44725</v>
      </c>
      <c r="B1186" s="3">
        <v>15.86</v>
      </c>
      <c r="C1186">
        <f t="shared" si="72"/>
        <v>20.553994156145013</v>
      </c>
      <c r="E1186" s="18">
        <f t="shared" si="74"/>
        <v>151707.63967271987</v>
      </c>
      <c r="G1186" s="3">
        <v>103.13</v>
      </c>
      <c r="H1186" s="18">
        <f t="shared" si="73"/>
        <v>119.25557924742832</v>
      </c>
      <c r="I1186">
        <f t="shared" si="75"/>
        <v>713895.15901251172</v>
      </c>
    </row>
    <row r="1187" spans="1:9" ht="18" x14ac:dyDescent="0.2">
      <c r="A1187" s="2">
        <v>44732</v>
      </c>
      <c r="B1187" s="3">
        <v>17.100000000000001</v>
      </c>
      <c r="C1187">
        <f t="shared" si="72"/>
        <v>20.225042331750249</v>
      </c>
      <c r="E1187" s="18">
        <f t="shared" si="74"/>
        <v>163568.76660803973</v>
      </c>
      <c r="G1187" s="3">
        <v>107.05</v>
      </c>
      <c r="H1187" s="18">
        <f t="shared" si="73"/>
        <v>118.09314312862561</v>
      </c>
      <c r="I1187">
        <f t="shared" si="75"/>
        <v>741030.51267613098</v>
      </c>
    </row>
    <row r="1188" spans="1:9" ht="18" x14ac:dyDescent="0.2">
      <c r="A1188" s="2">
        <v>44739</v>
      </c>
      <c r="B1188" s="3">
        <v>14.5</v>
      </c>
      <c r="C1188">
        <f t="shared" si="72"/>
        <v>19.679800204916891</v>
      </c>
      <c r="E1188" s="18">
        <f t="shared" si="74"/>
        <v>138698.66174365941</v>
      </c>
      <c r="G1188" s="3">
        <v>104.06</v>
      </c>
      <c r="H1188" s="18">
        <f t="shared" si="73"/>
        <v>116.75665330685175</v>
      </c>
      <c r="I1188">
        <f t="shared" si="75"/>
        <v>720332.8832235235</v>
      </c>
    </row>
    <row r="1189" spans="1:9" ht="18" x14ac:dyDescent="0.2">
      <c r="A1189" s="2">
        <v>44746</v>
      </c>
      <c r="B1189" s="3">
        <v>15.81</v>
      </c>
      <c r="C1189">
        <f t="shared" si="72"/>
        <v>19.311247804448616</v>
      </c>
      <c r="E1189" s="18">
        <f t="shared" si="74"/>
        <v>151229.36842532796</v>
      </c>
      <c r="G1189" s="3">
        <v>104.35</v>
      </c>
      <c r="H1189" s="18">
        <f t="shared" si="73"/>
        <v>115.57506727762777</v>
      </c>
      <c r="I1189">
        <f t="shared" si="75"/>
        <v>722340.34561190335</v>
      </c>
    </row>
    <row r="1190" spans="1:9" ht="18" x14ac:dyDescent="0.2">
      <c r="A1190" s="2">
        <v>44753</v>
      </c>
      <c r="B1190" s="3">
        <v>15.74</v>
      </c>
      <c r="C1190">
        <f t="shared" si="72"/>
        <v>18.971128965929701</v>
      </c>
      <c r="E1190" s="18">
        <f t="shared" si="74"/>
        <v>150559.78867897927</v>
      </c>
      <c r="G1190" s="3">
        <v>103.97</v>
      </c>
      <c r="H1190" s="18">
        <f t="shared" si="73"/>
        <v>114.46982277499654</v>
      </c>
      <c r="I1190">
        <f t="shared" si="75"/>
        <v>719709.87765471579</v>
      </c>
    </row>
    <row r="1191" spans="1:9" ht="18" x14ac:dyDescent="0.2">
      <c r="A1191" s="2">
        <v>44760</v>
      </c>
      <c r="B1191" s="3">
        <v>17.29</v>
      </c>
      <c r="C1191">
        <f t="shared" si="72"/>
        <v>18.811021445364968</v>
      </c>
      <c r="E1191" s="18">
        <f t="shared" si="74"/>
        <v>165386.19734812906</v>
      </c>
      <c r="G1191" s="3">
        <v>105.64</v>
      </c>
      <c r="H1191" s="18">
        <f t="shared" si="73"/>
        <v>113.62888727261593</v>
      </c>
      <c r="I1191">
        <f t="shared" si="75"/>
        <v>731270.09209814551</v>
      </c>
    </row>
    <row r="1192" spans="1:9" ht="18" x14ac:dyDescent="0.2">
      <c r="A1192" s="2">
        <v>44767</v>
      </c>
      <c r="B1192" s="3">
        <v>18.14</v>
      </c>
      <c r="C1192">
        <f t="shared" si="72"/>
        <v>18.747114641044494</v>
      </c>
      <c r="E1192" s="18">
        <f t="shared" si="74"/>
        <v>173516.80855379187</v>
      </c>
      <c r="G1192" s="3">
        <v>106.19</v>
      </c>
      <c r="H1192" s="18">
        <f t="shared" si="73"/>
        <v>112.92042181808108</v>
      </c>
      <c r="I1192">
        <f t="shared" si="75"/>
        <v>735077.34835196962</v>
      </c>
    </row>
    <row r="1193" spans="1:9" ht="18" x14ac:dyDescent="0.2">
      <c r="A1193" s="2">
        <v>44774</v>
      </c>
      <c r="B1193" s="3">
        <v>18.96</v>
      </c>
      <c r="C1193">
        <f t="shared" si="72"/>
        <v>18.767389437135495</v>
      </c>
      <c r="E1193" s="18">
        <f t="shared" si="74"/>
        <v>181360.45701101949</v>
      </c>
      <c r="G1193" s="3">
        <v>106.56</v>
      </c>
      <c r="H1193" s="18">
        <f t="shared" si="73"/>
        <v>112.31466735921622</v>
      </c>
      <c r="I1193">
        <f t="shared" si="75"/>
        <v>737638.59346817865</v>
      </c>
    </row>
    <row r="1194" spans="1:9" ht="18" x14ac:dyDescent="0.2">
      <c r="A1194" s="2">
        <v>44781</v>
      </c>
      <c r="B1194" s="3">
        <v>18.68</v>
      </c>
      <c r="C1194">
        <f t="shared" si="72"/>
        <v>18.759066633598781</v>
      </c>
      <c r="E1194" s="18">
        <f t="shared" si="74"/>
        <v>181360.45701101949</v>
      </c>
      <c r="G1194" s="3">
        <v>112.42</v>
      </c>
      <c r="H1194" s="18">
        <f t="shared" si="73"/>
        <v>112.32469903929086</v>
      </c>
      <c r="I1194">
        <f t="shared" si="75"/>
        <v>778203.1782816503</v>
      </c>
    </row>
    <row r="1195" spans="1:9" ht="18" x14ac:dyDescent="0.2">
      <c r="A1195" s="2">
        <v>44788</v>
      </c>
      <c r="B1195" s="3">
        <v>17.82</v>
      </c>
      <c r="C1195">
        <f t="shared" si="72"/>
        <v>18.669631716113184</v>
      </c>
      <c r="E1195" s="18">
        <f t="shared" si="74"/>
        <v>173010.88564969847</v>
      </c>
      <c r="G1195" s="3">
        <v>109.2</v>
      </c>
      <c r="H1195" s="18">
        <f t="shared" si="73"/>
        <v>112.02710865459649</v>
      </c>
      <c r="I1195">
        <f t="shared" si="75"/>
        <v>778203.1782816503</v>
      </c>
    </row>
    <row r="1196" spans="1:9" ht="18" x14ac:dyDescent="0.2">
      <c r="A1196" s="2">
        <v>44795</v>
      </c>
      <c r="B1196" s="3">
        <v>16.239999999999998</v>
      </c>
      <c r="C1196">
        <f t="shared" si="72"/>
        <v>18.438238219340498</v>
      </c>
      <c r="E1196" s="18">
        <f t="shared" si="74"/>
        <v>157670.97547424817</v>
      </c>
      <c r="G1196" s="3">
        <v>105.55</v>
      </c>
      <c r="H1196" s="18">
        <f t="shared" si="73"/>
        <v>111.41024116368254</v>
      </c>
      <c r="I1196">
        <f t="shared" si="75"/>
        <v>752191.80831161339</v>
      </c>
    </row>
    <row r="1197" spans="1:9" ht="18" x14ac:dyDescent="0.2">
      <c r="A1197" s="2">
        <v>44802</v>
      </c>
      <c r="B1197" s="3">
        <v>13.63</v>
      </c>
      <c r="C1197">
        <f t="shared" si="72"/>
        <v>17.980310769879498</v>
      </c>
      <c r="E1197" s="18">
        <f t="shared" si="74"/>
        <v>132330.99727302973</v>
      </c>
      <c r="G1197" s="3">
        <v>104.67</v>
      </c>
      <c r="H1197" s="18">
        <f t="shared" si="73"/>
        <v>110.76831343380802</v>
      </c>
      <c r="I1197">
        <f t="shared" si="75"/>
        <v>745920.5739078786</v>
      </c>
    </row>
    <row r="1198" spans="1:9" ht="18" x14ac:dyDescent="0.2">
      <c r="A1198" s="2">
        <v>44809</v>
      </c>
      <c r="B1198" s="3">
        <v>14.37</v>
      </c>
      <c r="C1198">
        <f t="shared" si="72"/>
        <v>17.636471648938592</v>
      </c>
      <c r="E1198" s="18">
        <f t="shared" si="74"/>
        <v>139515.51216532919</v>
      </c>
      <c r="G1198" s="3">
        <v>109.7</v>
      </c>
      <c r="H1198" s="18">
        <f t="shared" si="73"/>
        <v>110.66656929725487</v>
      </c>
      <c r="I1198">
        <f t="shared" si="75"/>
        <v>781766.37964740873</v>
      </c>
    </row>
    <row r="1199" spans="1:9" ht="18" x14ac:dyDescent="0.2">
      <c r="A1199" s="2">
        <v>44816</v>
      </c>
      <c r="B1199" s="3">
        <v>13.18</v>
      </c>
      <c r="C1199">
        <f t="shared" si="72"/>
        <v>17.212045777611106</v>
      </c>
      <c r="E1199" s="18">
        <f t="shared" si="74"/>
        <v>127962.03551419894</v>
      </c>
      <c r="G1199" s="3">
        <v>107.77</v>
      </c>
      <c r="H1199" s="18">
        <f t="shared" si="73"/>
        <v>110.39070555465916</v>
      </c>
      <c r="I1199">
        <f t="shared" si="75"/>
        <v>768012.42237558088</v>
      </c>
    </row>
    <row r="1200" spans="1:9" ht="18" x14ac:dyDescent="0.2">
      <c r="A1200" s="2">
        <v>44823</v>
      </c>
      <c r="B1200" s="3">
        <v>12.5</v>
      </c>
      <c r="C1200">
        <f t="shared" si="72"/>
        <v>16.763279513076714</v>
      </c>
      <c r="E1200" s="18">
        <f t="shared" si="74"/>
        <v>121360.04885641024</v>
      </c>
      <c r="G1200" s="3">
        <v>100.46</v>
      </c>
      <c r="H1200" s="18">
        <f t="shared" si="73"/>
        <v>109.44492407326305</v>
      </c>
      <c r="I1200">
        <f t="shared" si="75"/>
        <v>715918.418408192</v>
      </c>
    </row>
    <row r="1201" spans="1:9" ht="18" x14ac:dyDescent="0.2">
      <c r="A1201" s="2">
        <v>44830</v>
      </c>
      <c r="B1201" s="3">
        <v>12.12</v>
      </c>
      <c r="C1201">
        <f t="shared" si="72"/>
        <v>16.321062416593218</v>
      </c>
      <c r="E1201" s="18">
        <f t="shared" si="74"/>
        <v>117670.70337117536</v>
      </c>
      <c r="G1201" s="3">
        <v>96.19</v>
      </c>
      <c r="H1201" s="18">
        <f t="shared" si="73"/>
        <v>108.18255035199991</v>
      </c>
      <c r="I1201">
        <f t="shared" si="75"/>
        <v>685488.67874461471</v>
      </c>
    </row>
    <row r="1202" spans="1:9" ht="18" x14ac:dyDescent="0.2">
      <c r="A1202" s="2">
        <v>44837</v>
      </c>
      <c r="B1202" s="3">
        <v>12.06</v>
      </c>
      <c r="C1202">
        <f t="shared" si="72"/>
        <v>15.915246948346246</v>
      </c>
      <c r="E1202" s="18">
        <f t="shared" si="74"/>
        <v>117088.17513666461</v>
      </c>
      <c r="G1202" s="3">
        <v>97.56</v>
      </c>
      <c r="H1202" s="18">
        <f t="shared" si="73"/>
        <v>107.17087888990469</v>
      </c>
      <c r="I1202">
        <f t="shared" si="75"/>
        <v>695251.85048679297</v>
      </c>
    </row>
    <row r="1203" spans="1:9" ht="18" x14ac:dyDescent="0.2">
      <c r="A1203" s="2">
        <v>44844</v>
      </c>
      <c r="B1203" s="3">
        <v>11.21</v>
      </c>
      <c r="C1203">
        <f t="shared" si="72"/>
        <v>15.467128191360889</v>
      </c>
      <c r="E1203" s="18">
        <f t="shared" si="74"/>
        <v>108835.6918144287</v>
      </c>
      <c r="G1203" s="3">
        <v>103.27</v>
      </c>
      <c r="H1203" s="18">
        <f t="shared" si="73"/>
        <v>106.79936661467566</v>
      </c>
      <c r="I1203">
        <f t="shared" si="75"/>
        <v>735943.61008375476</v>
      </c>
    </row>
    <row r="1204" spans="1:9" ht="18" x14ac:dyDescent="0.2">
      <c r="A1204" s="2">
        <v>44851</v>
      </c>
      <c r="B1204" s="3">
        <v>12.45</v>
      </c>
      <c r="C1204">
        <f t="shared" si="72"/>
        <v>15.179782649326519</v>
      </c>
      <c r="E1204" s="18">
        <f t="shared" si="74"/>
        <v>120874.6086609846</v>
      </c>
      <c r="G1204" s="3">
        <v>113.52</v>
      </c>
      <c r="H1204" s="18">
        <f t="shared" si="73"/>
        <v>107.4394269370875</v>
      </c>
      <c r="I1204">
        <f t="shared" si="75"/>
        <v>808989.23808180343</v>
      </c>
    </row>
    <row r="1205" spans="1:9" ht="18" x14ac:dyDescent="0.2">
      <c r="A1205" s="2">
        <v>44858</v>
      </c>
      <c r="B1205" s="3">
        <v>13.82</v>
      </c>
      <c r="C1205">
        <f t="shared" si="72"/>
        <v>15.050279539866851</v>
      </c>
      <c r="E1205" s="18">
        <f t="shared" si="74"/>
        <v>134175.67001564716</v>
      </c>
      <c r="G1205" s="3">
        <v>117.1</v>
      </c>
      <c r="H1205" s="18">
        <f t="shared" si="73"/>
        <v>108.35948151450773</v>
      </c>
      <c r="I1205">
        <f t="shared" si="75"/>
        <v>808989.23808180343</v>
      </c>
    </row>
    <row r="1206" spans="1:9" ht="18" x14ac:dyDescent="0.2">
      <c r="A1206" s="2">
        <v>44865</v>
      </c>
      <c r="B1206" s="3">
        <v>14.14</v>
      </c>
      <c r="C1206">
        <f t="shared" si="72"/>
        <v>14.963586250355723</v>
      </c>
      <c r="E1206" s="18">
        <f t="shared" si="74"/>
        <v>137282.48726637129</v>
      </c>
      <c r="G1206" s="3">
        <v>121.37</v>
      </c>
      <c r="H1206" s="18">
        <f t="shared" si="73"/>
        <v>109.59857851312604</v>
      </c>
      <c r="I1206">
        <f t="shared" si="75"/>
        <v>808989.23808180343</v>
      </c>
    </row>
    <row r="1207" spans="1:9" ht="18" x14ac:dyDescent="0.2">
      <c r="A1207" s="2">
        <v>44872</v>
      </c>
      <c r="B1207" s="3">
        <v>16.309999999999999</v>
      </c>
      <c r="C1207">
        <f t="shared" si="72"/>
        <v>15.091816131274225</v>
      </c>
      <c r="E1207" s="18">
        <f t="shared" si="74"/>
        <v>158350.5917478441</v>
      </c>
      <c r="G1207" s="3">
        <v>125.66</v>
      </c>
      <c r="H1207" s="18">
        <f t="shared" si="73"/>
        <v>111.12823770235214</v>
      </c>
      <c r="I1207">
        <f t="shared" si="75"/>
        <v>808989.23808180343</v>
      </c>
    </row>
    <row r="1208" spans="1:9" ht="18" x14ac:dyDescent="0.2">
      <c r="A1208" s="2">
        <v>44879</v>
      </c>
      <c r="B1208" s="3">
        <v>15.39</v>
      </c>
      <c r="C1208">
        <f t="shared" si="72"/>
        <v>15.120214594962395</v>
      </c>
      <c r="E1208" s="18">
        <f t="shared" si="74"/>
        <v>158350.5917478441</v>
      </c>
      <c r="G1208" s="3">
        <v>124.3</v>
      </c>
      <c r="H1208" s="18">
        <f t="shared" si="73"/>
        <v>112.38269125450908</v>
      </c>
      <c r="I1208">
        <f t="shared" si="75"/>
        <v>808989.23808180343</v>
      </c>
    </row>
    <row r="1209" spans="1:9" ht="18" x14ac:dyDescent="0.2">
      <c r="A1209" s="2">
        <v>44886</v>
      </c>
      <c r="B1209" s="3">
        <v>16.25</v>
      </c>
      <c r="C1209">
        <f t="shared" si="72"/>
        <v>15.227813204965976</v>
      </c>
      <c r="E1209" s="18">
        <f t="shared" si="74"/>
        <v>158350.5917478441</v>
      </c>
      <c r="G1209" s="3">
        <v>127</v>
      </c>
      <c r="H1209" s="18">
        <f t="shared" si="73"/>
        <v>113.77481589693679</v>
      </c>
      <c r="I1209">
        <f t="shared" si="75"/>
        <v>808989.23808180343</v>
      </c>
    </row>
    <row r="1210" spans="1:9" ht="18" x14ac:dyDescent="0.2">
      <c r="A1210" s="2">
        <v>44893</v>
      </c>
      <c r="B1210" s="3">
        <v>16.86</v>
      </c>
      <c r="C1210">
        <f t="shared" si="72"/>
        <v>15.383259566397788</v>
      </c>
      <c r="E1210" s="18">
        <f t="shared" si="74"/>
        <v>158350.5917478441</v>
      </c>
      <c r="G1210" s="3">
        <v>125.53</v>
      </c>
      <c r="H1210" s="18">
        <f t="shared" si="73"/>
        <v>114.89435724008567</v>
      </c>
      <c r="I1210">
        <f t="shared" si="75"/>
        <v>808989.23808180343</v>
      </c>
    </row>
    <row r="1211" spans="1:9" ht="18" x14ac:dyDescent="0.2">
      <c r="A1211" s="2">
        <v>44900</v>
      </c>
      <c r="B1211" s="3">
        <v>16.98</v>
      </c>
      <c r="C1211">
        <f t="shared" si="72"/>
        <v>15.535330083883713</v>
      </c>
      <c r="E1211" s="18">
        <f t="shared" si="74"/>
        <v>158350.5917478441</v>
      </c>
      <c r="G1211" s="3">
        <v>122.74</v>
      </c>
      <c r="H1211" s="18">
        <f t="shared" si="73"/>
        <v>115.64156131245846</v>
      </c>
      <c r="I1211">
        <f t="shared" si="75"/>
        <v>808989.23808180343</v>
      </c>
    </row>
    <row r="1212" spans="1:9" ht="18" x14ac:dyDescent="0.2">
      <c r="A1212" s="2">
        <v>44907</v>
      </c>
      <c r="B1212" s="3">
        <v>16.559999999999999</v>
      </c>
      <c r="C1212">
        <f t="shared" si="72"/>
        <v>15.632917694942407</v>
      </c>
      <c r="E1212" s="18">
        <f t="shared" si="74"/>
        <v>158350.5917478441</v>
      </c>
      <c r="G1212" s="3">
        <v>120.08</v>
      </c>
      <c r="H1212" s="18">
        <f t="shared" si="73"/>
        <v>116.06426975889099</v>
      </c>
      <c r="I1212">
        <f t="shared" si="75"/>
        <v>808989.23808180343</v>
      </c>
    </row>
    <row r="1213" spans="1:9" ht="18" x14ac:dyDescent="0.2">
      <c r="A1213" s="2">
        <v>44914</v>
      </c>
      <c r="B1213" s="3">
        <v>15.19</v>
      </c>
      <c r="C1213">
        <f t="shared" si="72"/>
        <v>15.590735057328844</v>
      </c>
      <c r="E1213" s="18">
        <f t="shared" si="74"/>
        <v>158350.5917478441</v>
      </c>
      <c r="G1213" s="3">
        <v>121.93</v>
      </c>
      <c r="H1213" s="18">
        <f t="shared" si="73"/>
        <v>116.62291073423471</v>
      </c>
      <c r="I1213">
        <f t="shared" si="75"/>
        <v>808989.23808180343</v>
      </c>
    </row>
    <row r="1214" spans="1:9" ht="18" x14ac:dyDescent="0.2">
      <c r="A1214" s="2">
        <v>44921</v>
      </c>
      <c r="B1214" s="3">
        <v>14.6</v>
      </c>
      <c r="C1214">
        <f t="shared" si="72"/>
        <v>15.496379337583241</v>
      </c>
      <c r="E1214" s="18">
        <f t="shared" si="74"/>
        <v>152200.0421012853</v>
      </c>
      <c r="G1214" s="3">
        <v>124.54</v>
      </c>
      <c r="H1214" s="18">
        <f t="shared" si="73"/>
        <v>117.37691923573617</v>
      </c>
      <c r="I1214">
        <f t="shared" si="75"/>
        <v>808989.23808180343</v>
      </c>
    </row>
    <row r="1215" spans="1:9" ht="18" x14ac:dyDescent="0.2">
      <c r="A1215" s="2">
        <v>44928</v>
      </c>
      <c r="B1215" s="3">
        <v>14.84</v>
      </c>
      <c r="C1215">
        <f t="shared" si="72"/>
        <v>15.43386701971817</v>
      </c>
      <c r="E1215" s="18">
        <f t="shared" si="74"/>
        <v>154701.96060158042</v>
      </c>
      <c r="G1215" s="3">
        <v>128.11000000000001</v>
      </c>
      <c r="H1215" s="18">
        <f t="shared" si="73"/>
        <v>118.3991174037613</v>
      </c>
      <c r="I1215">
        <f t="shared" si="75"/>
        <v>808989.23808180343</v>
      </c>
    </row>
    <row r="1216" spans="1:9" ht="18" x14ac:dyDescent="0.2">
      <c r="A1216" s="2">
        <v>44935</v>
      </c>
      <c r="B1216" s="3">
        <v>16.88</v>
      </c>
      <c r="C1216">
        <f t="shared" si="72"/>
        <v>15.571593970221201</v>
      </c>
      <c r="E1216" s="18">
        <f t="shared" si="74"/>
        <v>175968.26785408877</v>
      </c>
      <c r="G1216" s="3">
        <v>133.80000000000001</v>
      </c>
      <c r="H1216" s="18">
        <f t="shared" si="73"/>
        <v>119.86586812721261</v>
      </c>
      <c r="I1216">
        <f t="shared" si="75"/>
        <v>808989.23808180343</v>
      </c>
    </row>
    <row r="1217" spans="1:9" ht="18" x14ac:dyDescent="0.2">
      <c r="A1217" s="2">
        <v>44942</v>
      </c>
      <c r="B1217" s="3">
        <v>17.82</v>
      </c>
      <c r="C1217">
        <f t="shared" si="72"/>
        <v>15.785727877819182</v>
      </c>
      <c r="E1217" s="18">
        <f t="shared" si="74"/>
        <v>175968.26785408877</v>
      </c>
      <c r="G1217" s="3">
        <v>126.38</v>
      </c>
      <c r="H1217" s="18">
        <f t="shared" si="73"/>
        <v>120.48626163890664</v>
      </c>
      <c r="I1217">
        <f t="shared" si="75"/>
        <v>808989.23808180343</v>
      </c>
    </row>
    <row r="1218" spans="1:9" ht="18" x14ac:dyDescent="0.2">
      <c r="A1218" s="2">
        <v>44949</v>
      </c>
      <c r="B1218" s="3">
        <v>20.350000000000001</v>
      </c>
      <c r="C1218">
        <f t="shared" si="72"/>
        <v>16.220420460884021</v>
      </c>
      <c r="E1218" s="18">
        <f t="shared" si="74"/>
        <v>175968.26785408877</v>
      </c>
      <c r="G1218" s="3">
        <v>131.28</v>
      </c>
      <c r="H1218" s="18">
        <f t="shared" si="73"/>
        <v>121.51423672091553</v>
      </c>
      <c r="I1218">
        <f t="shared" si="75"/>
        <v>808989.23808180343</v>
      </c>
    </row>
    <row r="1219" spans="1:9" ht="18" x14ac:dyDescent="0.2">
      <c r="A1219" s="2">
        <v>44956</v>
      </c>
      <c r="B1219" s="3">
        <v>21.08</v>
      </c>
      <c r="C1219">
        <f t="shared" si="72"/>
        <v>16.683237559847448</v>
      </c>
      <c r="E1219" s="18">
        <f t="shared" si="74"/>
        <v>175968.26785408877</v>
      </c>
      <c r="G1219" s="3">
        <v>132</v>
      </c>
      <c r="H1219" s="18">
        <f t="shared" si="73"/>
        <v>122.5128808427331</v>
      </c>
      <c r="I1219">
        <f t="shared" si="75"/>
        <v>808989.23808180343</v>
      </c>
    </row>
    <row r="1220" spans="1:9" ht="18" x14ac:dyDescent="0.2">
      <c r="A1220" s="2">
        <v>44963</v>
      </c>
      <c r="B1220" s="3">
        <v>21.24</v>
      </c>
      <c r="C1220">
        <f t="shared" si="72"/>
        <v>17.117214935100073</v>
      </c>
      <c r="E1220" s="18">
        <f t="shared" si="74"/>
        <v>175968.26785408877</v>
      </c>
      <c r="G1220" s="3">
        <v>131.96</v>
      </c>
      <c r="H1220" s="18">
        <f t="shared" si="73"/>
        <v>123.41260647675851</v>
      </c>
      <c r="I1220">
        <f t="shared" si="75"/>
        <v>808989.23808180343</v>
      </c>
    </row>
    <row r="1221" spans="1:9" ht="18" x14ac:dyDescent="0.2">
      <c r="A1221" s="2">
        <v>44970</v>
      </c>
      <c r="B1221" s="3">
        <v>21.37</v>
      </c>
      <c r="C1221">
        <f t="shared" si="72"/>
        <v>17.52224208413816</v>
      </c>
      <c r="E1221" s="18">
        <f t="shared" si="74"/>
        <v>175968.26785408877</v>
      </c>
      <c r="G1221" s="3">
        <v>133.08000000000001</v>
      </c>
      <c r="H1221" s="18">
        <f t="shared" si="73"/>
        <v>124.33331062182913</v>
      </c>
      <c r="I1221">
        <f t="shared" si="75"/>
        <v>808989.23808180343</v>
      </c>
    </row>
    <row r="1222" spans="1:9" ht="18" x14ac:dyDescent="0.2">
      <c r="A1222" s="2">
        <v>44977</v>
      </c>
      <c r="B1222" s="3">
        <v>23.26</v>
      </c>
      <c r="C1222">
        <f t="shared" si="72"/>
        <v>18.068695218982146</v>
      </c>
      <c r="E1222" s="18">
        <f t="shared" si="74"/>
        <v>175968.26785408877</v>
      </c>
      <c r="G1222" s="3">
        <v>131.86000000000001</v>
      </c>
      <c r="H1222" s="18">
        <f t="shared" si="73"/>
        <v>125.05013818165493</v>
      </c>
      <c r="I1222">
        <f t="shared" si="75"/>
        <v>808989.23808180343</v>
      </c>
    </row>
    <row r="1223" spans="1:9" ht="18" x14ac:dyDescent="0.2">
      <c r="A1223" s="2">
        <v>44984</v>
      </c>
      <c r="B1223" s="3">
        <v>23.87</v>
      </c>
      <c r="C1223">
        <f t="shared" si="72"/>
        <v>18.62120043622194</v>
      </c>
      <c r="E1223" s="18">
        <f t="shared" si="74"/>
        <v>175968.26785408877</v>
      </c>
      <c r="G1223" s="3">
        <v>134.41</v>
      </c>
      <c r="H1223" s="18">
        <f t="shared" si="73"/>
        <v>125.94155359292589</v>
      </c>
      <c r="I1223">
        <f t="shared" si="75"/>
        <v>808989.23808180343</v>
      </c>
    </row>
    <row r="1224" spans="1:9" ht="18" x14ac:dyDescent="0.2">
      <c r="A1224" s="2">
        <v>44991</v>
      </c>
      <c r="B1224" s="3">
        <v>22.94</v>
      </c>
      <c r="C1224">
        <f t="shared" si="72"/>
        <v>19.03251468039128</v>
      </c>
      <c r="E1224" s="18">
        <f t="shared" si="74"/>
        <v>175968.26785408877</v>
      </c>
      <c r="G1224" s="3">
        <v>125.04</v>
      </c>
      <c r="H1224" s="18">
        <f t="shared" si="73"/>
        <v>125.85569134598056</v>
      </c>
      <c r="I1224">
        <f t="shared" si="75"/>
        <v>808989.23808180343</v>
      </c>
    </row>
    <row r="1225" spans="1:9" ht="18" x14ac:dyDescent="0.2">
      <c r="A1225" s="2">
        <v>44998</v>
      </c>
      <c r="B1225" s="3">
        <v>25.71</v>
      </c>
      <c r="C1225">
        <f t="shared" si="72"/>
        <v>19.668465663211158</v>
      </c>
      <c r="E1225" s="18">
        <f t="shared" si="74"/>
        <v>175968.26785408877</v>
      </c>
      <c r="G1225" s="3">
        <v>117.71</v>
      </c>
      <c r="H1225" s="18">
        <f t="shared" si="73"/>
        <v>125.07991121779193</v>
      </c>
      <c r="I1225">
        <f t="shared" si="75"/>
        <v>761565.28482572827</v>
      </c>
    </row>
    <row r="1226" spans="1:9" ht="18" x14ac:dyDescent="0.2">
      <c r="A1226" s="2">
        <v>45005</v>
      </c>
      <c r="B1226" s="3">
        <v>26.76</v>
      </c>
      <c r="C1226">
        <f t="shared" si="72"/>
        <v>20.343849885762477</v>
      </c>
      <c r="E1226" s="18">
        <f t="shared" si="74"/>
        <v>175968.26785408877</v>
      </c>
      <c r="G1226" s="3">
        <v>116.87</v>
      </c>
      <c r="H1226" s="18">
        <f t="shared" si="73"/>
        <v>124.29801491133556</v>
      </c>
      <c r="I1226">
        <f t="shared" si="75"/>
        <v>756130.61623976612</v>
      </c>
    </row>
    <row r="1227" spans="1:9" ht="18" x14ac:dyDescent="0.2">
      <c r="A1227" s="2">
        <v>45012</v>
      </c>
      <c r="B1227" s="3">
        <v>27.76</v>
      </c>
      <c r="C1227">
        <f t="shared" si="72"/>
        <v>21.050149896642242</v>
      </c>
      <c r="E1227" s="18">
        <f t="shared" si="74"/>
        <v>175968.26785408877</v>
      </c>
      <c r="G1227" s="3">
        <v>121.92</v>
      </c>
      <c r="H1227" s="18">
        <f t="shared" si="73"/>
        <v>124.07153730073217</v>
      </c>
      <c r="I1227">
        <f t="shared" si="75"/>
        <v>788803.32619108644</v>
      </c>
    </row>
    <row r="1228" spans="1:9" ht="18" x14ac:dyDescent="0.2">
      <c r="A1228" s="2">
        <v>45019</v>
      </c>
      <c r="B1228" s="3">
        <v>27.02</v>
      </c>
      <c r="C1228">
        <f t="shared" si="72"/>
        <v>21.61870704934298</v>
      </c>
      <c r="E1228" s="18">
        <f t="shared" si="74"/>
        <v>175968.26785408877</v>
      </c>
      <c r="G1228" s="3">
        <v>119.26</v>
      </c>
      <c r="H1228" s="18">
        <f t="shared" si="73"/>
        <v>123.61329565304339</v>
      </c>
      <c r="I1228">
        <f t="shared" si="75"/>
        <v>771593.54233553947</v>
      </c>
    </row>
    <row r="1229" spans="1:9" ht="18" x14ac:dyDescent="0.2">
      <c r="A1229" s="2">
        <v>45026</v>
      </c>
      <c r="B1229" s="3">
        <v>26.74</v>
      </c>
      <c r="C1229">
        <f t="shared" si="72"/>
        <v>22.10644923511984</v>
      </c>
      <c r="E1229" s="18">
        <f t="shared" si="74"/>
        <v>175968.26785408877</v>
      </c>
      <c r="G1229" s="3">
        <v>130.82</v>
      </c>
      <c r="H1229" s="18">
        <f t="shared" si="73"/>
        <v>124.29964844799164</v>
      </c>
      <c r="I1229">
        <f t="shared" si="75"/>
        <v>846384.93382806692</v>
      </c>
    </row>
    <row r="1230" spans="1:9" ht="18" x14ac:dyDescent="0.2">
      <c r="A1230" s="2">
        <v>45033</v>
      </c>
      <c r="B1230" s="3">
        <v>27.1</v>
      </c>
      <c r="C1230">
        <f t="shared" si="72"/>
        <v>22.582025498441759</v>
      </c>
      <c r="E1230" s="18">
        <f t="shared" si="74"/>
        <v>175968.26785408877</v>
      </c>
      <c r="G1230" s="3">
        <v>132.52000000000001</v>
      </c>
      <c r="H1230" s="18">
        <f t="shared" si="73"/>
        <v>125.08253907199244</v>
      </c>
      <c r="I1230">
        <f t="shared" si="75"/>
        <v>846384.93382806692</v>
      </c>
    </row>
    <row r="1231" spans="1:9" ht="18" x14ac:dyDescent="0.2">
      <c r="A1231" s="2">
        <v>45040</v>
      </c>
      <c r="B1231" s="3">
        <v>27.73</v>
      </c>
      <c r="C1231">
        <f t="shared" si="72"/>
        <v>23.072308784304447</v>
      </c>
      <c r="E1231" s="18">
        <f t="shared" si="74"/>
        <v>175968.26785408877</v>
      </c>
      <c r="G1231" s="3">
        <v>130.35</v>
      </c>
      <c r="H1231" s="18">
        <f t="shared" si="73"/>
        <v>125.58420201751697</v>
      </c>
      <c r="I1231">
        <f t="shared" si="75"/>
        <v>846384.93382806692</v>
      </c>
    </row>
    <row r="1232" spans="1:9" ht="18" x14ac:dyDescent="0.2">
      <c r="A1232" s="2">
        <v>45047</v>
      </c>
      <c r="B1232" s="3">
        <v>28.66</v>
      </c>
      <c r="C1232">
        <f t="shared" si="72"/>
        <v>23.604469852465929</v>
      </c>
      <c r="E1232" s="18">
        <f t="shared" si="74"/>
        <v>175968.26785408877</v>
      </c>
      <c r="G1232" s="3">
        <v>128.94</v>
      </c>
      <c r="H1232" s="18">
        <f t="shared" si="73"/>
        <v>125.9038018253725</v>
      </c>
      <c r="I1232">
        <f t="shared" si="75"/>
        <v>846384.93382806692</v>
      </c>
    </row>
    <row r="1233" spans="1:9" ht="18" x14ac:dyDescent="0.2">
      <c r="A1233" s="2">
        <v>45054</v>
      </c>
      <c r="B1233" s="3">
        <v>28.32</v>
      </c>
      <c r="C1233">
        <f t="shared" si="72"/>
        <v>24.053567961754887</v>
      </c>
      <c r="E1233" s="18">
        <f t="shared" si="74"/>
        <v>175968.26785408877</v>
      </c>
      <c r="G1233" s="3">
        <v>126.45</v>
      </c>
      <c r="H1233" s="18">
        <f t="shared" si="73"/>
        <v>125.95582069914654</v>
      </c>
      <c r="I1233">
        <f t="shared" si="75"/>
        <v>846384.93382806692</v>
      </c>
    </row>
    <row r="1234" spans="1:9" ht="18" x14ac:dyDescent="0.2">
      <c r="A1234" s="2">
        <v>45061</v>
      </c>
      <c r="B1234" s="3">
        <v>31.24</v>
      </c>
      <c r="C1234">
        <f t="shared" si="72"/>
        <v>24.737990060635372</v>
      </c>
      <c r="E1234" s="18">
        <f t="shared" si="74"/>
        <v>175968.26785408877</v>
      </c>
      <c r="G1234" s="3">
        <v>131.24</v>
      </c>
      <c r="H1234" s="18">
        <f t="shared" si="73"/>
        <v>126.45907587065639</v>
      </c>
      <c r="I1234">
        <f t="shared" si="75"/>
        <v>846384.93382806692</v>
      </c>
    </row>
    <row r="1235" spans="1:9" ht="18" x14ac:dyDescent="0.2">
      <c r="A1235" s="2">
        <v>45068</v>
      </c>
      <c r="B1235" s="3">
        <v>38.92</v>
      </c>
      <c r="C1235">
        <f t="shared" si="72"/>
        <v>26.088657673908195</v>
      </c>
      <c r="E1235" s="18">
        <f t="shared" si="74"/>
        <v>175968.26785408877</v>
      </c>
      <c r="G1235" s="3">
        <v>129.13</v>
      </c>
      <c r="H1235" s="18">
        <f t="shared" si="73"/>
        <v>126.71344959726055</v>
      </c>
      <c r="I1235">
        <f t="shared" si="75"/>
        <v>846384.93382806692</v>
      </c>
    </row>
    <row r="1236" spans="1:9" ht="18" x14ac:dyDescent="0.2">
      <c r="A1236" s="2">
        <v>45075</v>
      </c>
      <c r="B1236" s="3">
        <v>39.299999999999997</v>
      </c>
      <c r="C1236">
        <f t="shared" si="72"/>
        <v>27.346880752583605</v>
      </c>
      <c r="E1236" s="18">
        <f t="shared" si="74"/>
        <v>175968.26785408877</v>
      </c>
      <c r="G1236" s="3">
        <v>132.46</v>
      </c>
      <c r="H1236" s="18">
        <f t="shared" si="73"/>
        <v>127.26074011180717</v>
      </c>
      <c r="I1236">
        <f t="shared" si="75"/>
        <v>846384.93382806692</v>
      </c>
    </row>
    <row r="1237" spans="1:9" ht="18" x14ac:dyDescent="0.2">
      <c r="A1237" s="2">
        <v>45082</v>
      </c>
      <c r="B1237" s="3">
        <v>38.74</v>
      </c>
      <c r="C1237">
        <f t="shared" si="72"/>
        <v>28.431939728528022</v>
      </c>
      <c r="E1237" s="18">
        <f t="shared" si="74"/>
        <v>175968.26785408877</v>
      </c>
      <c r="G1237" s="3">
        <v>132.97</v>
      </c>
      <c r="H1237" s="18">
        <f t="shared" si="73"/>
        <v>127.80447914877792</v>
      </c>
      <c r="I1237">
        <f t="shared" si="75"/>
        <v>846384.93382806692</v>
      </c>
    </row>
    <row r="1238" spans="1:9" ht="18" x14ac:dyDescent="0.2">
      <c r="A1238" s="2">
        <v>45089</v>
      </c>
      <c r="B1238" s="3">
        <v>42.66</v>
      </c>
      <c r="C1238">
        <f t="shared" si="72"/>
        <v>29.786993087715828</v>
      </c>
      <c r="E1238" s="18">
        <f t="shared" si="74"/>
        <v>175968.26785408877</v>
      </c>
      <c r="G1238" s="3">
        <v>135.09</v>
      </c>
      <c r="H1238" s="18">
        <f t="shared" si="73"/>
        <v>128.49833827746573</v>
      </c>
      <c r="I1238">
        <f t="shared" si="75"/>
        <v>846384.93382806692</v>
      </c>
    </row>
    <row r="1239" spans="1:9" ht="18" x14ac:dyDescent="0.2">
      <c r="A1239" s="2">
        <v>45096</v>
      </c>
      <c r="B1239" s="3">
        <v>42.18</v>
      </c>
      <c r="C1239">
        <f t="shared" si="72"/>
        <v>30.96727946031432</v>
      </c>
      <c r="E1239" s="18">
        <f t="shared" si="74"/>
        <v>175968.26785408877</v>
      </c>
      <c r="G1239" s="3">
        <v>130.93</v>
      </c>
      <c r="H1239" s="18">
        <f t="shared" si="73"/>
        <v>128.72992510818329</v>
      </c>
      <c r="I1239">
        <f t="shared" si="75"/>
        <v>846384.93382806692</v>
      </c>
    </row>
    <row r="1240" spans="1:9" ht="18" x14ac:dyDescent="0.2">
      <c r="A1240" s="2">
        <v>45103</v>
      </c>
      <c r="B1240" s="3">
        <v>42.27</v>
      </c>
      <c r="C1240">
        <f t="shared" si="72"/>
        <v>32.043729035522482</v>
      </c>
      <c r="E1240" s="18">
        <f t="shared" si="74"/>
        <v>175968.26785408877</v>
      </c>
      <c r="G1240" s="3">
        <v>137.13999999999999</v>
      </c>
      <c r="H1240" s="18">
        <f t="shared" si="73"/>
        <v>129.53088462168964</v>
      </c>
      <c r="I1240">
        <f t="shared" si="75"/>
        <v>846384.93382806692</v>
      </c>
    </row>
    <row r="1241" spans="1:9" ht="18" x14ac:dyDescent="0.2">
      <c r="A1241" s="2">
        <v>45110</v>
      </c>
      <c r="B1241" s="3">
        <v>42.47</v>
      </c>
      <c r="C1241">
        <f t="shared" ref="C1241:C1304" si="76">(B1241-C1240)*$D$4+C1240</f>
        <v>33.036707222615576</v>
      </c>
      <c r="E1241" s="18">
        <f t="shared" si="74"/>
        <v>175968.26785408877</v>
      </c>
      <c r="G1241" s="3">
        <v>136.11000000000001</v>
      </c>
      <c r="H1241" s="18">
        <f t="shared" si="73"/>
        <v>130.15746703867157</v>
      </c>
      <c r="I1241">
        <f t="shared" si="75"/>
        <v>846384.93382806692</v>
      </c>
    </row>
    <row r="1242" spans="1:9" ht="18" x14ac:dyDescent="0.2">
      <c r="A1242" s="2">
        <v>45117</v>
      </c>
      <c r="B1242" s="3">
        <v>45.44</v>
      </c>
      <c r="C1242">
        <f t="shared" si="76"/>
        <v>34.21797320141409</v>
      </c>
      <c r="E1242" s="18">
        <f t="shared" si="74"/>
        <v>175968.26785408877</v>
      </c>
      <c r="G1242" s="3">
        <v>142.19999999999999</v>
      </c>
      <c r="H1242" s="18">
        <f t="shared" ref="H1242:H1305" si="77">(G1242-H1241)*$D$4+H1241</f>
        <v>131.30437493975046</v>
      </c>
      <c r="I1242">
        <f t="shared" si="75"/>
        <v>846384.93382806692</v>
      </c>
    </row>
    <row r="1243" spans="1:9" ht="18" x14ac:dyDescent="0.2">
      <c r="A1243" s="2">
        <v>45124</v>
      </c>
      <c r="B1243" s="3">
        <v>44.28</v>
      </c>
      <c r="C1243">
        <f t="shared" si="76"/>
        <v>35.176261467946084</v>
      </c>
      <c r="E1243" s="18">
        <f t="shared" si="74"/>
        <v>175968.26785408877</v>
      </c>
      <c r="G1243" s="3">
        <v>147.11000000000001</v>
      </c>
      <c r="H1243" s="18">
        <f t="shared" si="77"/>
        <v>132.80967256453613</v>
      </c>
      <c r="I1243">
        <f t="shared" si="75"/>
        <v>846384.93382806692</v>
      </c>
    </row>
    <row r="1244" spans="1:9" ht="18" x14ac:dyDescent="0.2">
      <c r="A1244" s="2">
        <v>45131</v>
      </c>
      <c r="B1244" s="3">
        <v>46.72</v>
      </c>
      <c r="C1244">
        <f t="shared" si="76"/>
        <v>36.275665137665506</v>
      </c>
      <c r="E1244" s="18">
        <f t="shared" si="74"/>
        <v>175968.26785408877</v>
      </c>
      <c r="G1244" s="3">
        <v>148.97</v>
      </c>
      <c r="H1244" s="18">
        <f t="shared" si="77"/>
        <v>134.34875136791365</v>
      </c>
      <c r="I1244">
        <f t="shared" si="75"/>
        <v>846384.93382806692</v>
      </c>
    </row>
    <row r="1245" spans="1:9" ht="18" x14ac:dyDescent="0.2">
      <c r="A1245" s="2">
        <v>45138</v>
      </c>
      <c r="B1245" s="3">
        <v>44.65</v>
      </c>
      <c r="C1245">
        <f t="shared" si="76"/>
        <v>37.073220838840221</v>
      </c>
      <c r="E1245" s="18">
        <f t="shared" ref="E1245:E1308" si="78">IF(C1244&gt;B1244,E1244*B1245/B1244,E1244)</f>
        <v>175968.26785408877</v>
      </c>
      <c r="G1245" s="3">
        <v>148.13</v>
      </c>
      <c r="H1245" s="18">
        <f t="shared" si="77"/>
        <v>135.66125123763615</v>
      </c>
      <c r="I1245">
        <f t="shared" si="75"/>
        <v>846384.93382806692</v>
      </c>
    </row>
    <row r="1246" spans="1:9" ht="18" x14ac:dyDescent="0.2">
      <c r="A1246" s="2">
        <v>45145</v>
      </c>
      <c r="B1246" s="3">
        <v>40.83</v>
      </c>
      <c r="C1246">
        <f t="shared" si="76"/>
        <v>37.431009330379247</v>
      </c>
      <c r="E1246" s="18">
        <f t="shared" si="78"/>
        <v>175968.26785408877</v>
      </c>
      <c r="G1246" s="3">
        <v>146.63999999999999</v>
      </c>
      <c r="H1246" s="18">
        <f t="shared" si="77"/>
        <v>136.70684635786128</v>
      </c>
      <c r="I1246">
        <f t="shared" ref="I1246:I1309" si="79">IF(H1245&gt;G1245,I1245*G1246/G1245,I1245)</f>
        <v>846384.93382806692</v>
      </c>
    </row>
    <row r="1247" spans="1:9" ht="18" x14ac:dyDescent="0.2">
      <c r="A1247" s="2">
        <v>45152</v>
      </c>
      <c r="B1247" s="3">
        <v>43.27</v>
      </c>
      <c r="C1247">
        <f t="shared" si="76"/>
        <v>37.987103679866941</v>
      </c>
      <c r="E1247" s="18">
        <f t="shared" si="78"/>
        <v>175968.26785408877</v>
      </c>
      <c r="G1247" s="3">
        <v>141.44</v>
      </c>
      <c r="H1247" s="18">
        <f t="shared" si="77"/>
        <v>137.15762289520782</v>
      </c>
      <c r="I1247">
        <f t="shared" si="79"/>
        <v>846384.93382806692</v>
      </c>
    </row>
    <row r="1248" spans="1:9" ht="18" x14ac:dyDescent="0.2">
      <c r="A1248" s="2">
        <v>45159</v>
      </c>
      <c r="B1248" s="3">
        <v>45.99</v>
      </c>
      <c r="C1248">
        <f t="shared" si="76"/>
        <v>38.749284281784377</v>
      </c>
      <c r="E1248" s="18">
        <f t="shared" si="78"/>
        <v>175968.26785408877</v>
      </c>
      <c r="G1248" s="3">
        <v>139.61000000000001</v>
      </c>
      <c r="H1248" s="18">
        <f t="shared" si="77"/>
        <v>137.39118261947374</v>
      </c>
      <c r="I1248">
        <f t="shared" si="79"/>
        <v>846384.93382806692</v>
      </c>
    </row>
    <row r="1249" spans="1:9" ht="18" x14ac:dyDescent="0.2">
      <c r="A1249" s="2">
        <v>45166</v>
      </c>
      <c r="B1249" s="3">
        <v>48.48</v>
      </c>
      <c r="C1249">
        <f t="shared" si="76"/>
        <v>39.676019112090628</v>
      </c>
      <c r="E1249" s="18">
        <f t="shared" si="78"/>
        <v>175968.26785408877</v>
      </c>
      <c r="G1249" s="3">
        <v>139.38999999999999</v>
      </c>
      <c r="H1249" s="18">
        <f t="shared" si="77"/>
        <v>137.58154617952385</v>
      </c>
      <c r="I1249">
        <f t="shared" si="79"/>
        <v>846384.93382806692</v>
      </c>
    </row>
    <row r="1250" spans="1:9" ht="18" x14ac:dyDescent="0.2">
      <c r="A1250" s="2">
        <v>45173</v>
      </c>
      <c r="B1250" s="3">
        <v>45.54</v>
      </c>
      <c r="C1250">
        <f t="shared" si="76"/>
        <v>40.234493482367711</v>
      </c>
      <c r="E1250" s="18">
        <f t="shared" si="78"/>
        <v>175968.26785408877</v>
      </c>
      <c r="G1250" s="3">
        <v>136.56</v>
      </c>
      <c r="H1250" s="18">
        <f t="shared" si="77"/>
        <v>137.48425606718826</v>
      </c>
      <c r="I1250">
        <f t="shared" si="79"/>
        <v>846384.93382806692</v>
      </c>
    </row>
    <row r="1251" spans="1:9" ht="18" x14ac:dyDescent="0.2">
      <c r="A1251" s="2">
        <v>45180</v>
      </c>
      <c r="B1251" s="3">
        <v>43.87</v>
      </c>
      <c r="C1251">
        <f t="shared" si="76"/>
        <v>40.58073219833269</v>
      </c>
      <c r="E1251" s="18">
        <f t="shared" si="78"/>
        <v>175968.26785408877</v>
      </c>
      <c r="G1251" s="3">
        <v>141.28</v>
      </c>
      <c r="H1251" s="18">
        <f t="shared" si="77"/>
        <v>137.84575548936081</v>
      </c>
      <c r="I1251">
        <f t="shared" si="79"/>
        <v>875639.01179869135</v>
      </c>
    </row>
    <row r="1252" spans="1:9" ht="18" x14ac:dyDescent="0.2">
      <c r="A1252" s="2">
        <v>45187</v>
      </c>
      <c r="B1252" s="3">
        <v>41.59</v>
      </c>
      <c r="C1252">
        <f t="shared" si="76"/>
        <v>40.676852941348628</v>
      </c>
      <c r="E1252" s="18">
        <f t="shared" si="78"/>
        <v>175968.26785408877</v>
      </c>
      <c r="G1252" s="3">
        <v>138.36000000000001</v>
      </c>
      <c r="H1252" s="18">
        <f t="shared" si="77"/>
        <v>137.89473115704072</v>
      </c>
      <c r="I1252">
        <f t="shared" si="79"/>
        <v>875639.01179869135</v>
      </c>
    </row>
    <row r="1253" spans="1:9" ht="18" x14ac:dyDescent="0.2">
      <c r="A1253" s="2">
        <v>45194</v>
      </c>
      <c r="B1253" s="3">
        <v>43.47</v>
      </c>
      <c r="C1253">
        <f t="shared" si="76"/>
        <v>40.942866946934473</v>
      </c>
      <c r="E1253" s="18">
        <f t="shared" si="78"/>
        <v>175968.26785408877</v>
      </c>
      <c r="G1253" s="3">
        <v>137.69</v>
      </c>
      <c r="H1253" s="18">
        <f t="shared" si="77"/>
        <v>137.87523295160827</v>
      </c>
      <c r="I1253">
        <f t="shared" si="79"/>
        <v>875639.01179869135</v>
      </c>
    </row>
    <row r="1254" spans="1:9" ht="18" x14ac:dyDescent="0.2">
      <c r="A1254" s="2">
        <v>45201</v>
      </c>
      <c r="B1254" s="3">
        <v>45.74</v>
      </c>
      <c r="C1254">
        <f t="shared" si="76"/>
        <v>41.399736761512145</v>
      </c>
      <c r="E1254" s="18">
        <f t="shared" si="78"/>
        <v>175968.26785408877</v>
      </c>
      <c r="G1254" s="3">
        <v>137.76</v>
      </c>
      <c r="H1254" s="18">
        <f t="shared" si="77"/>
        <v>137.86425838478843</v>
      </c>
      <c r="I1254">
        <f t="shared" si="79"/>
        <v>876084.17652253411</v>
      </c>
    </row>
    <row r="1255" spans="1:9" ht="18" x14ac:dyDescent="0.2">
      <c r="A1255" s="2">
        <v>45208</v>
      </c>
      <c r="B1255" s="3">
        <v>45.43</v>
      </c>
      <c r="C1255">
        <f t="shared" si="76"/>
        <v>41.783571355653848</v>
      </c>
      <c r="E1255" s="18">
        <f t="shared" si="78"/>
        <v>175968.26785408877</v>
      </c>
      <c r="G1255" s="3">
        <v>141.55000000000001</v>
      </c>
      <c r="H1255" s="18">
        <f t="shared" si="77"/>
        <v>138.21528139576097</v>
      </c>
      <c r="I1255">
        <f t="shared" si="79"/>
        <v>900186.66657059174</v>
      </c>
    </row>
    <row r="1256" spans="1:9" ht="18" x14ac:dyDescent="0.2">
      <c r="A1256" s="2">
        <v>45215</v>
      </c>
      <c r="B1256" s="3">
        <v>41.36</v>
      </c>
      <c r="C1256">
        <f t="shared" si="76"/>
        <v>41.743231226543955</v>
      </c>
      <c r="E1256" s="18">
        <f t="shared" si="78"/>
        <v>175968.26785408877</v>
      </c>
      <c r="G1256" s="3">
        <v>136.72</v>
      </c>
      <c r="H1256" s="18">
        <f t="shared" si="77"/>
        <v>138.07287364378374</v>
      </c>
      <c r="I1256">
        <f t="shared" si="79"/>
        <v>900186.66657059174</v>
      </c>
    </row>
    <row r="1257" spans="1:9" ht="18" x14ac:dyDescent="0.2">
      <c r="A1257" s="2">
        <v>45222</v>
      </c>
      <c r="B1257" s="3">
        <v>40.479999999999997</v>
      </c>
      <c r="C1257">
        <f t="shared" si="76"/>
        <v>41.622923490682624</v>
      </c>
      <c r="E1257" s="18">
        <f t="shared" si="78"/>
        <v>172224.2621550656</v>
      </c>
      <c r="G1257" s="3">
        <v>129.78</v>
      </c>
      <c r="H1257" s="18">
        <f t="shared" si="77"/>
        <v>137.28307615389957</v>
      </c>
      <c r="I1257">
        <f t="shared" si="79"/>
        <v>854492.58036520926</v>
      </c>
    </row>
    <row r="1258" spans="1:9" ht="18" x14ac:dyDescent="0.2">
      <c r="A1258" s="2">
        <v>45229</v>
      </c>
      <c r="B1258" s="3">
        <v>44.98</v>
      </c>
      <c r="C1258">
        <f t="shared" si="76"/>
        <v>41.942645062998565</v>
      </c>
      <c r="E1258" s="18">
        <f t="shared" si="78"/>
        <v>191369.74584325225</v>
      </c>
      <c r="G1258" s="3">
        <v>136.77000000000001</v>
      </c>
      <c r="H1258" s="18">
        <f t="shared" si="77"/>
        <v>137.23421175829009</v>
      </c>
      <c r="I1258">
        <f t="shared" si="79"/>
        <v>900515.87468446349</v>
      </c>
    </row>
    <row r="1259" spans="1:9" ht="18" x14ac:dyDescent="0.2">
      <c r="A1259" s="2">
        <v>45236</v>
      </c>
      <c r="B1259" s="3">
        <v>48.31</v>
      </c>
      <c r="C1259">
        <f t="shared" si="76"/>
        <v>42.549059818903466</v>
      </c>
      <c r="E1259" s="18">
        <f t="shared" si="78"/>
        <v>191369.74584325225</v>
      </c>
      <c r="G1259" s="3">
        <v>140.05000000000001</v>
      </c>
      <c r="H1259" s="18">
        <f t="shared" si="77"/>
        <v>137.50238206702437</v>
      </c>
      <c r="I1259">
        <f t="shared" si="79"/>
        <v>922111.92695444252</v>
      </c>
    </row>
    <row r="1260" spans="1:9" ht="18" x14ac:dyDescent="0.2">
      <c r="A1260" s="2">
        <v>45243</v>
      </c>
      <c r="B1260" s="3">
        <v>49.27</v>
      </c>
      <c r="C1260">
        <f t="shared" si="76"/>
        <v>43.189149359960275</v>
      </c>
      <c r="E1260" s="18">
        <f t="shared" si="78"/>
        <v>191369.74584325225</v>
      </c>
      <c r="G1260" s="3">
        <v>146.16</v>
      </c>
      <c r="H1260" s="18">
        <f t="shared" si="77"/>
        <v>138.32691710826015</v>
      </c>
      <c r="I1260">
        <f t="shared" si="79"/>
        <v>922111.92695444252</v>
      </c>
    </row>
    <row r="1261" spans="1:9" ht="18" x14ac:dyDescent="0.2">
      <c r="A1261" s="2">
        <v>45250</v>
      </c>
      <c r="B1261" s="3">
        <v>47.75</v>
      </c>
      <c r="C1261">
        <f t="shared" si="76"/>
        <v>43.623516087583106</v>
      </c>
      <c r="E1261" s="18">
        <f t="shared" si="78"/>
        <v>191369.74584325225</v>
      </c>
      <c r="G1261" s="3">
        <v>146.85</v>
      </c>
      <c r="H1261" s="18">
        <f t="shared" si="77"/>
        <v>139.13863928842585</v>
      </c>
      <c r="I1261">
        <f t="shared" si="79"/>
        <v>922111.92695444252</v>
      </c>
    </row>
    <row r="1262" spans="1:9" ht="18" x14ac:dyDescent="0.2">
      <c r="A1262" s="2">
        <v>45257</v>
      </c>
      <c r="B1262" s="3">
        <v>46.74</v>
      </c>
      <c r="C1262">
        <f t="shared" si="76"/>
        <v>43.920324079241858</v>
      </c>
      <c r="E1262" s="18">
        <f t="shared" si="78"/>
        <v>191369.74584325225</v>
      </c>
      <c r="G1262" s="3">
        <v>150.01</v>
      </c>
      <c r="H1262" s="18">
        <f t="shared" si="77"/>
        <v>140.17400697524243</v>
      </c>
      <c r="I1262">
        <f t="shared" si="79"/>
        <v>922111.92695444252</v>
      </c>
    </row>
    <row r="1263" spans="1:9" ht="18" x14ac:dyDescent="0.2">
      <c r="A1263" s="2">
        <v>45264</v>
      </c>
      <c r="B1263" s="3">
        <v>47.48</v>
      </c>
      <c r="C1263">
        <f t="shared" si="76"/>
        <v>44.259340833599779</v>
      </c>
      <c r="E1263" s="18">
        <f t="shared" si="78"/>
        <v>191369.74584325225</v>
      </c>
      <c r="G1263" s="3">
        <v>151.61000000000001</v>
      </c>
      <c r="H1263" s="18">
        <f t="shared" si="77"/>
        <v>141.2631491680765</v>
      </c>
      <c r="I1263">
        <f t="shared" si="79"/>
        <v>922111.92695444252</v>
      </c>
    </row>
    <row r="1264" spans="1:9" ht="18" x14ac:dyDescent="0.2">
      <c r="A1264" s="2">
        <v>45271</v>
      </c>
      <c r="B1264" s="3">
        <v>48.87</v>
      </c>
      <c r="C1264">
        <f t="shared" si="76"/>
        <v>44.698451230399797</v>
      </c>
      <c r="E1264" s="18">
        <f t="shared" si="78"/>
        <v>191369.74584325225</v>
      </c>
      <c r="G1264" s="3">
        <v>158.03</v>
      </c>
      <c r="H1264" s="18">
        <f t="shared" si="77"/>
        <v>142.85999210445016</v>
      </c>
      <c r="I1264">
        <f t="shared" si="79"/>
        <v>922111.92695444252</v>
      </c>
    </row>
    <row r="1265" spans="1:9" ht="18" x14ac:dyDescent="0.2">
      <c r="A1265" s="2">
        <v>45278</v>
      </c>
      <c r="B1265" s="3">
        <v>48.81</v>
      </c>
      <c r="C1265">
        <f t="shared" si="76"/>
        <v>45.090027303695052</v>
      </c>
      <c r="E1265" s="18">
        <f t="shared" si="78"/>
        <v>191369.74584325225</v>
      </c>
      <c r="G1265" s="3">
        <v>160.11000000000001</v>
      </c>
      <c r="H1265" s="18">
        <f t="shared" si="77"/>
        <v>144.50284999926444</v>
      </c>
      <c r="I1265">
        <f t="shared" si="79"/>
        <v>922111.92695444252</v>
      </c>
    </row>
    <row r="1266" spans="1:9" ht="18" x14ac:dyDescent="0.2">
      <c r="A1266" s="2">
        <v>45285</v>
      </c>
      <c r="B1266" s="3">
        <v>49.5</v>
      </c>
      <c r="C1266">
        <f t="shared" si="76"/>
        <v>45.510024703343142</v>
      </c>
      <c r="E1266" s="18">
        <f t="shared" si="78"/>
        <v>191369.74584325225</v>
      </c>
      <c r="G1266" s="3">
        <v>162.69</v>
      </c>
      <c r="H1266" s="18">
        <f t="shared" si="77"/>
        <v>146.23495952314403</v>
      </c>
      <c r="I1266">
        <f t="shared" si="79"/>
        <v>922111.92695444252</v>
      </c>
    </row>
    <row r="1267" spans="1:9" ht="18" x14ac:dyDescent="0.2">
      <c r="A1267" s="2">
        <v>45292</v>
      </c>
      <c r="B1267" s="3">
        <v>49.07</v>
      </c>
      <c r="C1267">
        <f t="shared" si="76"/>
        <v>45.849069969691413</v>
      </c>
      <c r="E1267" s="18">
        <f t="shared" si="78"/>
        <v>191369.74584325225</v>
      </c>
      <c r="G1267" s="3">
        <v>164.76</v>
      </c>
      <c r="H1267" s="18">
        <f t="shared" si="77"/>
        <v>147.99924909236842</v>
      </c>
      <c r="I1267">
        <f t="shared" si="79"/>
        <v>922111.92695444252</v>
      </c>
    </row>
    <row r="1268" spans="1:9" ht="18" x14ac:dyDescent="0.2">
      <c r="A1268" s="2">
        <v>45299</v>
      </c>
      <c r="B1268" s="3">
        <v>54.68</v>
      </c>
      <c r="C1268">
        <f t="shared" si="76"/>
        <v>46.690110924958901</v>
      </c>
      <c r="E1268" s="18">
        <f t="shared" si="78"/>
        <v>191369.74584325225</v>
      </c>
      <c r="G1268" s="3">
        <v>162.68</v>
      </c>
      <c r="H1268" s="18">
        <f t="shared" si="77"/>
        <v>149.39741584547619</v>
      </c>
      <c r="I1268">
        <f t="shared" si="79"/>
        <v>922111.92695444252</v>
      </c>
    </row>
    <row r="1269" spans="1:9" ht="18" x14ac:dyDescent="0.2">
      <c r="A1269" s="2">
        <v>45306</v>
      </c>
      <c r="B1269" s="3">
        <v>59.46</v>
      </c>
      <c r="C1269">
        <f t="shared" si="76"/>
        <v>47.906290836867576</v>
      </c>
      <c r="E1269" s="18">
        <f t="shared" si="78"/>
        <v>191369.74584325225</v>
      </c>
      <c r="G1269" s="3">
        <v>163.89</v>
      </c>
      <c r="H1269" s="18">
        <f t="shared" si="77"/>
        <v>150.77766195543083</v>
      </c>
      <c r="I1269">
        <f t="shared" si="79"/>
        <v>922111.92695444252</v>
      </c>
    </row>
    <row r="1270" spans="1:9" ht="18" x14ac:dyDescent="0.2">
      <c r="A1270" s="2">
        <v>45313</v>
      </c>
      <c r="B1270" s="3">
        <v>61</v>
      </c>
      <c r="C1270">
        <f t="shared" si="76"/>
        <v>49.153310757165904</v>
      </c>
      <c r="E1270" s="18">
        <f t="shared" si="78"/>
        <v>191369.74584325225</v>
      </c>
      <c r="G1270" s="3">
        <v>165.79</v>
      </c>
      <c r="H1270" s="18">
        <f t="shared" si="77"/>
        <v>152.207408435866</v>
      </c>
      <c r="I1270">
        <f t="shared" si="79"/>
        <v>922111.92695444252</v>
      </c>
    </row>
    <row r="1271" spans="1:9" ht="18" x14ac:dyDescent="0.2">
      <c r="A1271" s="2">
        <v>45320</v>
      </c>
      <c r="B1271" s="3">
        <v>66.13</v>
      </c>
      <c r="C1271">
        <f t="shared" si="76"/>
        <v>50.770138304102481</v>
      </c>
      <c r="E1271" s="18">
        <f t="shared" si="78"/>
        <v>191369.74584325225</v>
      </c>
      <c r="G1271" s="3">
        <v>168.15</v>
      </c>
      <c r="H1271" s="18">
        <f t="shared" si="77"/>
        <v>153.72575048959305</v>
      </c>
      <c r="I1271">
        <f t="shared" si="79"/>
        <v>922111.92695444252</v>
      </c>
    </row>
    <row r="1272" spans="1:9" ht="18" x14ac:dyDescent="0.2">
      <c r="A1272" s="2">
        <v>45327</v>
      </c>
      <c r="B1272" s="3">
        <v>72.099999999999994</v>
      </c>
      <c r="C1272">
        <f t="shared" si="76"/>
        <v>52.801553703711768</v>
      </c>
      <c r="E1272" s="18">
        <f t="shared" si="78"/>
        <v>191369.74584325225</v>
      </c>
      <c r="G1272" s="3">
        <v>168.42</v>
      </c>
      <c r="H1272" s="18">
        <f t="shared" si="77"/>
        <v>155.12520282391753</v>
      </c>
      <c r="I1272">
        <f t="shared" si="79"/>
        <v>922111.92695444252</v>
      </c>
    </row>
    <row r="1273" spans="1:9" ht="18" x14ac:dyDescent="0.2">
      <c r="A1273" s="2">
        <v>45334</v>
      </c>
      <c r="B1273" s="3">
        <v>72.58</v>
      </c>
      <c r="C1273">
        <f t="shared" si="76"/>
        <v>54.685215255739216</v>
      </c>
      <c r="E1273" s="18">
        <f t="shared" si="78"/>
        <v>191369.74584325225</v>
      </c>
      <c r="G1273" s="3">
        <v>172.29</v>
      </c>
      <c r="H1273" s="18">
        <f t="shared" si="77"/>
        <v>156.75994541211585</v>
      </c>
      <c r="I1273">
        <f t="shared" si="79"/>
        <v>922111.92695444252</v>
      </c>
    </row>
    <row r="1274" spans="1:9" ht="18" x14ac:dyDescent="0.2">
      <c r="A1274" s="2">
        <v>45341</v>
      </c>
      <c r="B1274" s="3">
        <v>78.78</v>
      </c>
      <c r="C1274">
        <f t="shared" si="76"/>
        <v>56.979956659954532</v>
      </c>
      <c r="E1274" s="18">
        <f t="shared" si="78"/>
        <v>191369.74584325225</v>
      </c>
      <c r="G1274" s="3">
        <v>177.06</v>
      </c>
      <c r="H1274" s="18">
        <f t="shared" si="77"/>
        <v>158.6932839442953</v>
      </c>
      <c r="I1274">
        <f t="shared" si="79"/>
        <v>922111.92695444252</v>
      </c>
    </row>
    <row r="1275" spans="1:9" ht="18" x14ac:dyDescent="0.2">
      <c r="A1275" s="2">
        <v>45348</v>
      </c>
      <c r="B1275" s="3">
        <v>82.24</v>
      </c>
      <c r="C1275">
        <f t="shared" si="76"/>
        <v>59.385675073292191</v>
      </c>
      <c r="E1275" s="18">
        <f t="shared" si="78"/>
        <v>191369.74584325225</v>
      </c>
      <c r="G1275" s="3">
        <v>178.31</v>
      </c>
      <c r="H1275" s="18">
        <f t="shared" si="77"/>
        <v>160.56154261626719</v>
      </c>
      <c r="I1275">
        <f t="shared" si="79"/>
        <v>922111.92695444252</v>
      </c>
    </row>
    <row r="1276" spans="1:9" ht="18" x14ac:dyDescent="0.2">
      <c r="A1276" s="2">
        <v>45355</v>
      </c>
      <c r="B1276" s="3">
        <v>87.48</v>
      </c>
      <c r="C1276">
        <f t="shared" si="76"/>
        <v>62.06132506631198</v>
      </c>
      <c r="E1276" s="18">
        <f t="shared" si="78"/>
        <v>191369.74584325225</v>
      </c>
      <c r="G1276" s="3">
        <v>181.13</v>
      </c>
      <c r="H1276" s="18">
        <f t="shared" si="77"/>
        <v>162.52044331947982</v>
      </c>
      <c r="I1276">
        <f t="shared" si="79"/>
        <v>922111.92695444252</v>
      </c>
    </row>
    <row r="1277" spans="1:9" ht="18" x14ac:dyDescent="0.2">
      <c r="A1277" s="2">
        <v>45362</v>
      </c>
      <c r="B1277" s="3">
        <v>87.8</v>
      </c>
      <c r="C1277">
        <f t="shared" si="76"/>
        <v>64.512627440948933</v>
      </c>
      <c r="E1277" s="18">
        <f t="shared" si="78"/>
        <v>191369.74584325225</v>
      </c>
      <c r="G1277" s="3">
        <v>183.13</v>
      </c>
      <c r="H1277" s="18">
        <f t="shared" si="77"/>
        <v>164.48325824143413</v>
      </c>
      <c r="I1277">
        <f t="shared" si="79"/>
        <v>922111.92695444252</v>
      </c>
    </row>
    <row r="1278" spans="1:9" ht="18" x14ac:dyDescent="0.2">
      <c r="A1278" s="2">
        <v>45369</v>
      </c>
      <c r="B1278" s="3">
        <v>94.25</v>
      </c>
      <c r="C1278">
        <f t="shared" si="76"/>
        <v>67.344758160858561</v>
      </c>
      <c r="E1278" s="18">
        <f t="shared" si="78"/>
        <v>191369.74584325225</v>
      </c>
      <c r="G1278" s="3">
        <v>189.21</v>
      </c>
      <c r="H1278" s="18">
        <f t="shared" si="77"/>
        <v>166.83818602796421</v>
      </c>
      <c r="I1278">
        <f t="shared" si="79"/>
        <v>922111.92695444252</v>
      </c>
    </row>
    <row r="1279" spans="1:9" ht="18" x14ac:dyDescent="0.2">
      <c r="A1279" s="2">
        <v>45376</v>
      </c>
      <c r="B1279" s="3">
        <v>90.31</v>
      </c>
      <c r="C1279">
        <f t="shared" si="76"/>
        <v>69.531924050300603</v>
      </c>
      <c r="E1279" s="18">
        <f t="shared" si="78"/>
        <v>191369.74584325225</v>
      </c>
      <c r="G1279" s="3">
        <v>192.75</v>
      </c>
      <c r="H1279" s="18">
        <f t="shared" si="77"/>
        <v>169.30597783482477</v>
      </c>
      <c r="I1279">
        <f t="shared" si="79"/>
        <v>922111.92695444252</v>
      </c>
    </row>
    <row r="1280" spans="1:9" ht="18" x14ac:dyDescent="0.2">
      <c r="A1280" s="2">
        <v>45383</v>
      </c>
      <c r="B1280" s="3">
        <v>87.97</v>
      </c>
      <c r="C1280">
        <f t="shared" si="76"/>
        <v>71.287931283605303</v>
      </c>
      <c r="E1280" s="18">
        <f t="shared" si="78"/>
        <v>191369.74584325225</v>
      </c>
      <c r="G1280" s="3">
        <v>190.01</v>
      </c>
      <c r="H1280" s="18">
        <f t="shared" si="77"/>
        <v>171.27778946960336</v>
      </c>
      <c r="I1280">
        <f t="shared" si="79"/>
        <v>922111.92695444252</v>
      </c>
    </row>
    <row r="1281" spans="1:9" ht="18" x14ac:dyDescent="0.2">
      <c r="A1281" s="2">
        <v>45390</v>
      </c>
      <c r="B1281" s="3">
        <v>88.15</v>
      </c>
      <c r="C1281">
        <f t="shared" si="76"/>
        <v>72.89384258992861</v>
      </c>
      <c r="E1281" s="18">
        <f t="shared" si="78"/>
        <v>191369.74584325225</v>
      </c>
      <c r="G1281" s="3">
        <v>176.93</v>
      </c>
      <c r="H1281" s="18">
        <f t="shared" si="77"/>
        <v>171.81609523440304</v>
      </c>
      <c r="I1281">
        <f t="shared" si="79"/>
        <v>922111.92695444252</v>
      </c>
    </row>
    <row r="1282" spans="1:9" ht="18" x14ac:dyDescent="0.2">
      <c r="A1282" s="2">
        <v>45397</v>
      </c>
      <c r="B1282" s="3">
        <v>76.17</v>
      </c>
      <c r="C1282">
        <f t="shared" si="76"/>
        <v>73.205857581363986</v>
      </c>
      <c r="E1282" s="18">
        <f t="shared" si="78"/>
        <v>191369.74584325225</v>
      </c>
      <c r="G1282" s="3">
        <v>179.84</v>
      </c>
      <c r="H1282" s="18">
        <f t="shared" si="77"/>
        <v>172.58027664065037</v>
      </c>
      <c r="I1282">
        <f t="shared" si="79"/>
        <v>922111.92695444252</v>
      </c>
    </row>
    <row r="1283" spans="1:9" ht="18" x14ac:dyDescent="0.2">
      <c r="A1283" s="2">
        <v>45404</v>
      </c>
      <c r="B1283" s="3">
        <v>87.7</v>
      </c>
      <c r="C1283">
        <f t="shared" si="76"/>
        <v>74.586252097424563</v>
      </c>
      <c r="E1283" s="18">
        <f t="shared" si="78"/>
        <v>191369.74584325225</v>
      </c>
      <c r="G1283" s="3">
        <v>187.29</v>
      </c>
      <c r="H1283" s="18">
        <f t="shared" si="77"/>
        <v>173.98120267487414</v>
      </c>
      <c r="I1283">
        <f t="shared" si="79"/>
        <v>922111.92695444252</v>
      </c>
    </row>
    <row r="1284" spans="1:9" ht="18" x14ac:dyDescent="0.2">
      <c r="A1284" s="2">
        <v>45411</v>
      </c>
      <c r="B1284" s="3">
        <v>88.75</v>
      </c>
      <c r="C1284">
        <f t="shared" si="76"/>
        <v>75.935180469098412</v>
      </c>
      <c r="E1284" s="18">
        <f t="shared" si="78"/>
        <v>191369.74584325225</v>
      </c>
      <c r="G1284" s="3">
        <v>184.4</v>
      </c>
      <c r="H1284" s="18">
        <f t="shared" si="77"/>
        <v>174.97346908679089</v>
      </c>
      <c r="I1284">
        <f t="shared" si="79"/>
        <v>922111.92695444252</v>
      </c>
    </row>
    <row r="1285" spans="1:9" ht="18" x14ac:dyDescent="0.2">
      <c r="A1285" s="2">
        <v>45418</v>
      </c>
      <c r="B1285" s="3">
        <v>89.84</v>
      </c>
      <c r="C1285">
        <f t="shared" si="76"/>
        <v>77.259448995850946</v>
      </c>
      <c r="E1285" s="18">
        <f t="shared" si="78"/>
        <v>191369.74584325225</v>
      </c>
      <c r="G1285" s="3">
        <v>192.4</v>
      </c>
      <c r="H1285" s="18">
        <f t="shared" si="77"/>
        <v>176.63313869757272</v>
      </c>
      <c r="I1285">
        <f t="shared" si="79"/>
        <v>922111.92695444252</v>
      </c>
    </row>
    <row r="1286" spans="1:9" ht="18" x14ac:dyDescent="0.2">
      <c r="A1286" s="2">
        <v>45425</v>
      </c>
      <c r="B1286" s="3">
        <v>92.44</v>
      </c>
      <c r="C1286">
        <f t="shared" si="76"/>
        <v>78.705215758150857</v>
      </c>
      <c r="E1286" s="18">
        <f t="shared" si="78"/>
        <v>191369.74584325225</v>
      </c>
      <c r="G1286" s="3">
        <v>198.22</v>
      </c>
      <c r="H1286" s="18">
        <f t="shared" si="77"/>
        <v>178.68903025018483</v>
      </c>
      <c r="I1286">
        <f t="shared" si="79"/>
        <v>922111.92695444252</v>
      </c>
    </row>
    <row r="1287" spans="1:9" ht="18" x14ac:dyDescent="0.2">
      <c r="A1287" s="2">
        <v>45432</v>
      </c>
      <c r="B1287" s="3">
        <v>106.42</v>
      </c>
      <c r="C1287">
        <f t="shared" si="76"/>
        <v>81.344719019279353</v>
      </c>
      <c r="E1287" s="18">
        <f t="shared" si="78"/>
        <v>191369.74584325225</v>
      </c>
      <c r="G1287" s="3">
        <v>194.28</v>
      </c>
      <c r="H1287" s="18">
        <f t="shared" si="77"/>
        <v>180.17388451207199</v>
      </c>
      <c r="I1287">
        <f t="shared" si="79"/>
        <v>922111.92695444252</v>
      </c>
    </row>
    <row r="1288" spans="1:9" ht="18" x14ac:dyDescent="0.2">
      <c r="A1288" s="2">
        <v>45439</v>
      </c>
      <c r="B1288" s="3">
        <v>109.58</v>
      </c>
      <c r="C1288">
        <f t="shared" si="76"/>
        <v>84.033793398395602</v>
      </c>
      <c r="E1288" s="18">
        <f t="shared" si="78"/>
        <v>191369.74584325225</v>
      </c>
      <c r="G1288" s="3">
        <v>196.13</v>
      </c>
      <c r="H1288" s="18">
        <f t="shared" si="77"/>
        <v>181.69351455854132</v>
      </c>
      <c r="I1288">
        <f t="shared" si="79"/>
        <v>922111.92695444252</v>
      </c>
    </row>
    <row r="1289" spans="1:9" ht="18" x14ac:dyDescent="0.2">
      <c r="A1289" s="2">
        <v>45446</v>
      </c>
      <c r="B1289" s="3">
        <v>120.83</v>
      </c>
      <c r="C1289">
        <f t="shared" si="76"/>
        <v>87.538194027119829</v>
      </c>
      <c r="E1289" s="18">
        <f t="shared" si="78"/>
        <v>191369.74584325225</v>
      </c>
      <c r="G1289" s="3">
        <v>193.54</v>
      </c>
      <c r="H1289" s="18">
        <f t="shared" si="77"/>
        <v>182.82175126725167</v>
      </c>
      <c r="I1289">
        <f t="shared" si="79"/>
        <v>922111.92695444252</v>
      </c>
    </row>
    <row r="1290" spans="1:9" ht="18" x14ac:dyDescent="0.2">
      <c r="A1290" s="2">
        <v>45453</v>
      </c>
      <c r="B1290" s="3">
        <v>131.82</v>
      </c>
      <c r="C1290">
        <f t="shared" si="76"/>
        <v>91.755508881679845</v>
      </c>
      <c r="E1290" s="18">
        <f t="shared" si="78"/>
        <v>191369.74584325225</v>
      </c>
      <c r="G1290" s="3">
        <v>187.57</v>
      </c>
      <c r="H1290" s="18">
        <f t="shared" si="77"/>
        <v>183.27396543227533</v>
      </c>
      <c r="I1290">
        <f t="shared" si="79"/>
        <v>922111.92695444252</v>
      </c>
    </row>
    <row r="1291" spans="1:9" ht="18" x14ac:dyDescent="0.2">
      <c r="A1291" s="2">
        <v>45460</v>
      </c>
      <c r="B1291" s="3">
        <v>126.52</v>
      </c>
      <c r="C1291">
        <f t="shared" si="76"/>
        <v>95.066412797710342</v>
      </c>
      <c r="E1291" s="18">
        <f t="shared" si="78"/>
        <v>191369.74584325225</v>
      </c>
      <c r="G1291" s="3">
        <v>190.01</v>
      </c>
      <c r="H1291" s="18">
        <f t="shared" si="77"/>
        <v>183.9154925339634</v>
      </c>
      <c r="I1291">
        <f t="shared" si="79"/>
        <v>922111.92695444252</v>
      </c>
    </row>
    <row r="1292" spans="1:9" ht="18" x14ac:dyDescent="0.2">
      <c r="A1292" s="2">
        <v>45467</v>
      </c>
      <c r="B1292" s="3">
        <v>123.49</v>
      </c>
      <c r="C1292">
        <f t="shared" si="76"/>
        <v>97.773421102690307</v>
      </c>
      <c r="E1292" s="18">
        <f t="shared" si="78"/>
        <v>191369.74584325225</v>
      </c>
      <c r="G1292" s="3">
        <v>195.78</v>
      </c>
      <c r="H1292" s="18">
        <f t="shared" si="77"/>
        <v>185.04544562596689</v>
      </c>
      <c r="I1292">
        <f t="shared" si="79"/>
        <v>922111.92695444252</v>
      </c>
    </row>
    <row r="1293" spans="1:9" ht="18" x14ac:dyDescent="0.2">
      <c r="A1293" s="2">
        <v>45474</v>
      </c>
      <c r="B1293" s="3">
        <v>125.78</v>
      </c>
      <c r="C1293">
        <f t="shared" si="76"/>
        <v>100.44071433100551</v>
      </c>
      <c r="E1293" s="18">
        <f t="shared" si="78"/>
        <v>191369.74584325225</v>
      </c>
      <c r="G1293" s="3">
        <v>198.22</v>
      </c>
      <c r="H1293" s="18">
        <f t="shared" si="77"/>
        <v>186.30016509016053</v>
      </c>
      <c r="I1293">
        <f t="shared" si="79"/>
        <v>922111.92695444252</v>
      </c>
    </row>
    <row r="1294" spans="1:9" ht="18" x14ac:dyDescent="0.2">
      <c r="A1294" s="2">
        <v>45481</v>
      </c>
      <c r="B1294" s="3">
        <v>129.19</v>
      </c>
      <c r="C1294">
        <f t="shared" si="76"/>
        <v>103.17874153757641</v>
      </c>
      <c r="E1294" s="18">
        <f t="shared" si="78"/>
        <v>191369.74584325225</v>
      </c>
      <c r="G1294" s="3">
        <v>199.47</v>
      </c>
      <c r="H1294" s="18">
        <f t="shared" si="77"/>
        <v>187.55443508157381</v>
      </c>
      <c r="I1294">
        <f t="shared" si="79"/>
        <v>922111.92695444252</v>
      </c>
    </row>
    <row r="1295" spans="1:9" ht="18" x14ac:dyDescent="0.2">
      <c r="A1295" s="2">
        <v>45488</v>
      </c>
      <c r="B1295" s="3">
        <v>117.89</v>
      </c>
      <c r="C1295">
        <f t="shared" si="76"/>
        <v>104.57981377209295</v>
      </c>
      <c r="E1295" s="18">
        <f t="shared" si="78"/>
        <v>191369.74584325225</v>
      </c>
      <c r="G1295" s="3">
        <v>204.18</v>
      </c>
      <c r="H1295" s="18">
        <f t="shared" si="77"/>
        <v>189.13782221666202</v>
      </c>
      <c r="I1295">
        <f t="shared" si="79"/>
        <v>922111.92695444252</v>
      </c>
    </row>
    <row r="1296" spans="1:9" ht="18" x14ac:dyDescent="0.2">
      <c r="A1296" s="2">
        <v>45495</v>
      </c>
      <c r="B1296" s="3">
        <v>113.02</v>
      </c>
      <c r="C1296">
        <f t="shared" si="76"/>
        <v>105.38364103189362</v>
      </c>
      <c r="E1296" s="18">
        <f t="shared" si="78"/>
        <v>191369.74584325225</v>
      </c>
      <c r="G1296" s="3">
        <v>206.57</v>
      </c>
      <c r="H1296" s="18">
        <f t="shared" si="77"/>
        <v>190.79802962459897</v>
      </c>
      <c r="I1296">
        <f t="shared" si="79"/>
        <v>922111.92695444252</v>
      </c>
    </row>
    <row r="1297" spans="1:9" ht="18" x14ac:dyDescent="0.2">
      <c r="A1297" s="2">
        <v>45502</v>
      </c>
      <c r="B1297" s="3">
        <v>107.23</v>
      </c>
      <c r="C1297">
        <f t="shared" si="76"/>
        <v>105.55948474314185</v>
      </c>
      <c r="E1297" s="18">
        <f t="shared" si="78"/>
        <v>191369.74584325225</v>
      </c>
      <c r="G1297" s="3">
        <v>193.82</v>
      </c>
      <c r="H1297" s="18">
        <f t="shared" si="77"/>
        <v>191.08583632701811</v>
      </c>
      <c r="I1297">
        <f t="shared" si="79"/>
        <v>922111.92695444252</v>
      </c>
    </row>
    <row r="1298" spans="1:9" ht="18" x14ac:dyDescent="0.2">
      <c r="A1298" s="2">
        <v>45509</v>
      </c>
      <c r="B1298" s="3">
        <v>104.71</v>
      </c>
      <c r="C1298">
        <f t="shared" si="76"/>
        <v>105.47858143427119</v>
      </c>
      <c r="E1298" s="18">
        <f t="shared" si="78"/>
        <v>191369.74584325225</v>
      </c>
      <c r="G1298" s="3">
        <v>200.31</v>
      </c>
      <c r="H1298" s="18">
        <f t="shared" si="77"/>
        <v>191.96432810539733</v>
      </c>
      <c r="I1298">
        <f t="shared" si="79"/>
        <v>922111.92695444252</v>
      </c>
    </row>
    <row r="1299" spans="1:9" ht="18" x14ac:dyDescent="0.2">
      <c r="A1299" s="2">
        <v>45516</v>
      </c>
      <c r="B1299" s="3">
        <v>124.53</v>
      </c>
      <c r="C1299">
        <f t="shared" si="76"/>
        <v>107.29300225005488</v>
      </c>
      <c r="E1299" s="18">
        <f t="shared" si="78"/>
        <v>227593.10906179168</v>
      </c>
      <c r="G1299" s="3">
        <v>208.26</v>
      </c>
      <c r="H1299" s="18">
        <f t="shared" si="77"/>
        <v>193.51629685726425</v>
      </c>
      <c r="I1299">
        <f t="shared" si="79"/>
        <v>922111.92695444252</v>
      </c>
    </row>
    <row r="1300" spans="1:9" ht="18" x14ac:dyDescent="0.2">
      <c r="A1300" s="2">
        <v>45523</v>
      </c>
      <c r="B1300" s="3">
        <v>129.32</v>
      </c>
      <c r="C1300">
        <f t="shared" si="76"/>
        <v>109.39081155957346</v>
      </c>
      <c r="E1300" s="18">
        <f t="shared" si="78"/>
        <v>227593.10906179168</v>
      </c>
      <c r="G1300" s="3">
        <v>212.48</v>
      </c>
      <c r="H1300" s="18">
        <f t="shared" si="77"/>
        <v>195.32236382323907</v>
      </c>
      <c r="I1300">
        <f t="shared" si="79"/>
        <v>922111.92695444252</v>
      </c>
    </row>
    <row r="1301" spans="1:9" ht="18" x14ac:dyDescent="0.2">
      <c r="A1301" s="2">
        <v>45530</v>
      </c>
      <c r="B1301" s="3">
        <v>119.33</v>
      </c>
      <c r="C1301">
        <f t="shared" si="76"/>
        <v>110.33740093485218</v>
      </c>
      <c r="E1301" s="18">
        <f t="shared" si="78"/>
        <v>227593.10906179168</v>
      </c>
      <c r="G1301" s="3">
        <v>218.8</v>
      </c>
      <c r="H1301" s="18">
        <f t="shared" si="77"/>
        <v>197.55832917340678</v>
      </c>
      <c r="I1301">
        <f t="shared" si="79"/>
        <v>922111.92695444252</v>
      </c>
    </row>
    <row r="1302" spans="1:9" ht="18" x14ac:dyDescent="0.2">
      <c r="A1302" s="2">
        <v>45537</v>
      </c>
      <c r="B1302" s="3">
        <v>102.79</v>
      </c>
      <c r="C1302">
        <f t="shared" si="76"/>
        <v>109.61860084581865</v>
      </c>
      <c r="E1302" s="18">
        <f t="shared" si="78"/>
        <v>227593.10906179168</v>
      </c>
      <c r="G1302" s="3">
        <v>206.79</v>
      </c>
      <c r="H1302" s="18">
        <f t="shared" si="77"/>
        <v>198.43753591879661</v>
      </c>
      <c r="I1302">
        <f t="shared" si="79"/>
        <v>922111.92695444252</v>
      </c>
    </row>
    <row r="1303" spans="1:9" ht="18" x14ac:dyDescent="0.2">
      <c r="A1303" s="2">
        <v>45544</v>
      </c>
      <c r="B1303" s="3">
        <v>119.06</v>
      </c>
      <c r="C1303">
        <f t="shared" si="76"/>
        <v>110.51778171764545</v>
      </c>
      <c r="E1303" s="18">
        <f t="shared" si="78"/>
        <v>263617.42936955846</v>
      </c>
      <c r="G1303" s="3">
        <v>198.87</v>
      </c>
      <c r="H1303" s="18">
        <f t="shared" si="77"/>
        <v>198.47872297414932</v>
      </c>
      <c r="I1303">
        <f t="shared" si="79"/>
        <v>922111.92695444252</v>
      </c>
    </row>
    <row r="1304" spans="1:9" ht="18" x14ac:dyDescent="0.2">
      <c r="A1304" s="2">
        <v>45551</v>
      </c>
      <c r="B1304" s="3">
        <v>115.97</v>
      </c>
      <c r="C1304">
        <f t="shared" si="76"/>
        <v>111.03704060167921</v>
      </c>
      <c r="E1304" s="18">
        <f t="shared" si="78"/>
        <v>263617.42936955846</v>
      </c>
      <c r="G1304" s="3">
        <v>205.46</v>
      </c>
      <c r="H1304" s="18">
        <f t="shared" si="77"/>
        <v>199.14360650042082</v>
      </c>
      <c r="I1304">
        <f t="shared" si="79"/>
        <v>922111.92695444252</v>
      </c>
    </row>
    <row r="1305" spans="1:9" ht="18" x14ac:dyDescent="0.2">
      <c r="A1305" s="2">
        <v>45558</v>
      </c>
      <c r="B1305" s="3">
        <v>121.37</v>
      </c>
      <c r="C1305">
        <f t="shared" ref="C1305:C1368" si="80">(B1305-C1304)*$D$4+C1304</f>
        <v>112.02113197294786</v>
      </c>
      <c r="E1305" s="18">
        <f t="shared" si="78"/>
        <v>263617.42936955846</v>
      </c>
      <c r="G1305" s="3">
        <v>204.88</v>
      </c>
      <c r="H1305" s="18">
        <f t="shared" si="77"/>
        <v>199.68992969085693</v>
      </c>
      <c r="I1305">
        <f t="shared" si="79"/>
        <v>922111.92695444252</v>
      </c>
    </row>
    <row r="1306" spans="1:9" ht="18" x14ac:dyDescent="0.2">
      <c r="A1306" s="2">
        <v>45565</v>
      </c>
      <c r="B1306" s="3">
        <v>124.88</v>
      </c>
      <c r="C1306">
        <f t="shared" si="80"/>
        <v>113.24578607076235</v>
      </c>
      <c r="E1306" s="18">
        <f t="shared" si="78"/>
        <v>263617.42936955846</v>
      </c>
      <c r="G1306" s="3">
        <v>205.58</v>
      </c>
      <c r="H1306" s="18">
        <f t="shared" ref="H1306:H1359" si="81">(G1306-H1305)*$D$4+H1305</f>
        <v>200.25088876791818</v>
      </c>
      <c r="I1306">
        <f t="shared" si="79"/>
        <v>922111.92695444252</v>
      </c>
    </row>
    <row r="1307" spans="1:9" ht="18" x14ac:dyDescent="0.2">
      <c r="A1307" s="2">
        <v>45572</v>
      </c>
      <c r="B1307" s="3">
        <v>134.76</v>
      </c>
      <c r="C1307">
        <f t="shared" si="80"/>
        <v>115.29475882592784</v>
      </c>
      <c r="E1307" s="18">
        <f t="shared" si="78"/>
        <v>263617.42936955846</v>
      </c>
      <c r="G1307" s="3">
        <v>217.68</v>
      </c>
      <c r="H1307" s="18">
        <f t="shared" si="81"/>
        <v>201.91080412335455</v>
      </c>
      <c r="I1307">
        <f t="shared" si="79"/>
        <v>922111.92695444252</v>
      </c>
    </row>
    <row r="1308" spans="1:9" ht="18" x14ac:dyDescent="0.2">
      <c r="A1308" s="2">
        <v>45579</v>
      </c>
      <c r="B1308" s="3">
        <v>137.96</v>
      </c>
      <c r="C1308">
        <f t="shared" si="80"/>
        <v>117.45335322345852</v>
      </c>
      <c r="E1308" s="18">
        <f t="shared" si="78"/>
        <v>263617.42936955846</v>
      </c>
      <c r="G1308" s="3">
        <v>220.7</v>
      </c>
      <c r="H1308" s="18">
        <f t="shared" si="81"/>
        <v>203.70025134970174</v>
      </c>
      <c r="I1308">
        <f t="shared" si="79"/>
        <v>922111.92695444252</v>
      </c>
    </row>
    <row r="1309" spans="1:9" ht="18" x14ac:dyDescent="0.2">
      <c r="A1309" s="2">
        <v>45586</v>
      </c>
      <c r="B1309" s="3">
        <v>141.5</v>
      </c>
      <c r="C1309">
        <f t="shared" si="80"/>
        <v>119.74351005931962</v>
      </c>
      <c r="E1309" s="18">
        <f t="shared" ref="E1309:E1359" si="82">IF(C1308&gt;B1308,E1308*B1309/B1308,E1308)</f>
        <v>263617.42936955846</v>
      </c>
      <c r="G1309" s="3">
        <v>217.7</v>
      </c>
      <c r="H1309" s="18">
        <f t="shared" si="81"/>
        <v>205.03356074496824</v>
      </c>
      <c r="I1309">
        <f t="shared" si="79"/>
        <v>922111.92695444252</v>
      </c>
    </row>
    <row r="1310" spans="1:9" ht="18" x14ac:dyDescent="0.2">
      <c r="A1310" s="2">
        <v>45593</v>
      </c>
      <c r="B1310" s="3">
        <v>135.36000000000001</v>
      </c>
      <c r="C1310">
        <f t="shared" si="80"/>
        <v>121.2307948155749</v>
      </c>
      <c r="E1310" s="18">
        <f t="shared" si="82"/>
        <v>263617.42936955846</v>
      </c>
      <c r="G1310" s="3">
        <v>218.32</v>
      </c>
      <c r="H1310" s="18">
        <f t="shared" si="81"/>
        <v>206.29893591211413</v>
      </c>
      <c r="I1310">
        <f t="shared" ref="I1310:I1359" si="83">IF(H1309&gt;G1309,I1309*G1310/G1309,I1309)</f>
        <v>922111.92695444252</v>
      </c>
    </row>
    <row r="1311" spans="1:9" ht="18" x14ac:dyDescent="0.2">
      <c r="A1311" s="2">
        <v>45600</v>
      </c>
      <c r="B1311" s="3">
        <v>147.59</v>
      </c>
      <c r="C1311">
        <f t="shared" si="80"/>
        <v>123.74119530932967</v>
      </c>
      <c r="E1311" s="18">
        <f t="shared" si="82"/>
        <v>263617.42936955846</v>
      </c>
      <c r="G1311" s="3">
        <v>232.07</v>
      </c>
      <c r="H1311" s="18">
        <f t="shared" si="81"/>
        <v>208.75332296810325</v>
      </c>
      <c r="I1311">
        <f t="shared" si="83"/>
        <v>922111.92695444252</v>
      </c>
    </row>
    <row r="1312" spans="1:9" ht="18" x14ac:dyDescent="0.2">
      <c r="A1312" s="2">
        <v>45607</v>
      </c>
      <c r="B1312" s="3">
        <v>141.94</v>
      </c>
      <c r="C1312">
        <f t="shared" si="80"/>
        <v>125.47441480367922</v>
      </c>
      <c r="E1312" s="18">
        <f t="shared" si="82"/>
        <v>263617.42936955846</v>
      </c>
      <c r="G1312" s="3">
        <v>240.22</v>
      </c>
      <c r="H1312" s="18">
        <f t="shared" si="81"/>
        <v>211.75014935209342</v>
      </c>
      <c r="I1312">
        <f t="shared" si="83"/>
        <v>922111.92695444252</v>
      </c>
    </row>
    <row r="1313" spans="1:9" ht="18" x14ac:dyDescent="0.2">
      <c r="A1313" s="2">
        <v>45614</v>
      </c>
      <c r="B1313" s="3">
        <v>141.91</v>
      </c>
      <c r="C1313">
        <f t="shared" si="80"/>
        <v>127.03970863190025</v>
      </c>
      <c r="E1313" s="18">
        <f t="shared" si="82"/>
        <v>263617.42936955846</v>
      </c>
      <c r="G1313" s="3">
        <v>243.4</v>
      </c>
      <c r="H1313" s="18">
        <f t="shared" si="81"/>
        <v>214.76442084237024</v>
      </c>
      <c r="I1313">
        <f t="shared" si="83"/>
        <v>922111.92695444252</v>
      </c>
    </row>
    <row r="1314" spans="1:9" ht="18" x14ac:dyDescent="0.2">
      <c r="A1314" s="2">
        <v>45621</v>
      </c>
      <c r="B1314" s="3">
        <v>138.21</v>
      </c>
      <c r="C1314">
        <f t="shared" si="80"/>
        <v>128.10354590505261</v>
      </c>
      <c r="E1314" s="18">
        <f t="shared" si="82"/>
        <v>263617.42936955846</v>
      </c>
      <c r="G1314" s="3">
        <v>244.54</v>
      </c>
      <c r="H1314" s="18">
        <f t="shared" si="81"/>
        <v>217.60019028595403</v>
      </c>
      <c r="I1314">
        <f t="shared" si="83"/>
        <v>922111.92695444252</v>
      </c>
    </row>
    <row r="1315" spans="1:9" ht="18" x14ac:dyDescent="0.2">
      <c r="A1315" s="2">
        <v>45628</v>
      </c>
      <c r="B1315" s="3">
        <v>142.4</v>
      </c>
      <c r="C1315">
        <f t="shared" si="80"/>
        <v>129.46511296171428</v>
      </c>
      <c r="E1315" s="18">
        <f t="shared" si="82"/>
        <v>263617.42936955846</v>
      </c>
      <c r="G1315" s="3">
        <v>242.23</v>
      </c>
      <c r="H1315" s="18">
        <f t="shared" si="81"/>
        <v>219.94588644919651</v>
      </c>
      <c r="I1315">
        <f t="shared" si="83"/>
        <v>922111.92695444252</v>
      </c>
    </row>
    <row r="1316" spans="1:9" ht="18" x14ac:dyDescent="0.2">
      <c r="A1316" s="2">
        <v>45635</v>
      </c>
      <c r="B1316" s="3">
        <v>134.22</v>
      </c>
      <c r="C1316">
        <f t="shared" si="80"/>
        <v>129.91795934631293</v>
      </c>
      <c r="E1316" s="18">
        <f t="shared" si="82"/>
        <v>263617.42936955846</v>
      </c>
      <c r="G1316" s="3">
        <v>234.97</v>
      </c>
      <c r="H1316" s="18">
        <f t="shared" si="81"/>
        <v>221.3767544064159</v>
      </c>
      <c r="I1316">
        <f t="shared" si="83"/>
        <v>922111.92695444252</v>
      </c>
    </row>
    <row r="1317" spans="1:9" ht="18" x14ac:dyDescent="0.2">
      <c r="A1317" s="2">
        <v>45642</v>
      </c>
      <c r="B1317" s="3">
        <v>134.66999999999999</v>
      </c>
      <c r="C1317">
        <f t="shared" si="80"/>
        <v>130.37053464666408</v>
      </c>
      <c r="E1317" s="18">
        <f t="shared" si="82"/>
        <v>263617.42936955846</v>
      </c>
      <c r="G1317" s="3">
        <v>232.67</v>
      </c>
      <c r="H1317" s="18">
        <f t="shared" si="81"/>
        <v>222.45230160580485</v>
      </c>
      <c r="I1317">
        <f t="shared" si="83"/>
        <v>922111.92695444252</v>
      </c>
    </row>
    <row r="1318" spans="1:9" ht="18" x14ac:dyDescent="0.2">
      <c r="A1318" s="2">
        <v>45649</v>
      </c>
      <c r="B1318" s="3">
        <v>136.97999999999999</v>
      </c>
      <c r="C1318">
        <f t="shared" si="80"/>
        <v>131.00000753745798</v>
      </c>
      <c r="E1318" s="18">
        <f t="shared" si="82"/>
        <v>263617.42936955846</v>
      </c>
      <c r="G1318" s="3">
        <v>236.17</v>
      </c>
      <c r="H1318" s="18">
        <f t="shared" si="81"/>
        <v>223.75874907191866</v>
      </c>
      <c r="I1318">
        <f t="shared" si="83"/>
        <v>922111.92695444252</v>
      </c>
    </row>
    <row r="1319" spans="1:9" ht="18" x14ac:dyDescent="0.2">
      <c r="A1319" s="2">
        <v>45656</v>
      </c>
      <c r="B1319" s="3">
        <v>144.44</v>
      </c>
      <c r="C1319">
        <f t="shared" si="80"/>
        <v>132.28000681960484</v>
      </c>
      <c r="E1319" s="18">
        <f t="shared" si="82"/>
        <v>263617.42936955846</v>
      </c>
      <c r="G1319" s="3">
        <v>238.24</v>
      </c>
      <c r="H1319" s="18">
        <f t="shared" si="81"/>
        <v>225.13791582697402</v>
      </c>
      <c r="I1319">
        <f t="shared" si="83"/>
        <v>922111.92695444252</v>
      </c>
    </row>
    <row r="1320" spans="1:9" ht="18" x14ac:dyDescent="0.2">
      <c r="A1320" s="2">
        <v>45663</v>
      </c>
      <c r="B1320" s="3">
        <v>135.88</v>
      </c>
      <c r="C1320">
        <f t="shared" si="80"/>
        <v>132.6228633129758</v>
      </c>
      <c r="E1320" s="18">
        <f t="shared" si="82"/>
        <v>263617.42936955846</v>
      </c>
      <c r="G1320" s="3">
        <v>234.9</v>
      </c>
      <c r="H1320" s="18">
        <f t="shared" si="81"/>
        <v>226.06763812916697</v>
      </c>
      <c r="I1320">
        <f t="shared" si="83"/>
        <v>922111.92695444252</v>
      </c>
    </row>
    <row r="1321" spans="1:9" ht="18" x14ac:dyDescent="0.2">
      <c r="A1321" s="2">
        <v>45670</v>
      </c>
      <c r="B1321" s="3">
        <v>137.68</v>
      </c>
      <c r="C1321">
        <f t="shared" si="80"/>
        <v>133.10449537840668</v>
      </c>
      <c r="E1321" s="18">
        <f t="shared" si="82"/>
        <v>263617.42936955846</v>
      </c>
      <c r="G1321" s="3">
        <v>255.1</v>
      </c>
      <c r="H1321" s="18">
        <f t="shared" si="81"/>
        <v>228.83262497400821</v>
      </c>
      <c r="I1321">
        <f t="shared" si="83"/>
        <v>922111.92695444252</v>
      </c>
    </row>
    <row r="1322" spans="1:9" ht="18" x14ac:dyDescent="0.2">
      <c r="A1322" s="2">
        <v>45677</v>
      </c>
      <c r="B1322" s="3">
        <v>142.59</v>
      </c>
      <c r="C1322">
        <f t="shared" si="80"/>
        <v>134.00787677093939</v>
      </c>
      <c r="E1322" s="18">
        <f t="shared" si="82"/>
        <v>263617.42936955846</v>
      </c>
      <c r="G1322" s="3">
        <v>260.69</v>
      </c>
      <c r="H1322" s="18">
        <f t="shared" si="81"/>
        <v>231.86666069076932</v>
      </c>
      <c r="I1322">
        <f t="shared" si="83"/>
        <v>922111.92695444252</v>
      </c>
    </row>
    <row r="1323" spans="1:9" ht="18" x14ac:dyDescent="0.2">
      <c r="A1323" s="2">
        <v>45684</v>
      </c>
      <c r="B1323" s="3">
        <v>120.04</v>
      </c>
      <c r="C1323">
        <f t="shared" si="80"/>
        <v>132.6776027927547</v>
      </c>
      <c r="E1323" s="18">
        <f t="shared" si="82"/>
        <v>263617.42936955846</v>
      </c>
      <c r="G1323" s="3">
        <v>263.11</v>
      </c>
      <c r="H1323" s="18">
        <f t="shared" si="81"/>
        <v>234.84221681545796</v>
      </c>
      <c r="I1323">
        <f t="shared" si="83"/>
        <v>922111.92695444252</v>
      </c>
    </row>
    <row r="1324" spans="1:9" ht="18" x14ac:dyDescent="0.2">
      <c r="A1324" s="2">
        <v>45691</v>
      </c>
      <c r="B1324" s="3">
        <v>129.81</v>
      </c>
      <c r="C1324">
        <f t="shared" si="80"/>
        <v>132.4044977648733</v>
      </c>
      <c r="E1324" s="18">
        <f t="shared" si="82"/>
        <v>285073.12984390522</v>
      </c>
      <c r="G1324" s="3">
        <v>271.48</v>
      </c>
      <c r="H1324" s="18">
        <f t="shared" si="81"/>
        <v>238.33152949970005</v>
      </c>
      <c r="I1324">
        <f t="shared" si="83"/>
        <v>922111.92695444252</v>
      </c>
    </row>
    <row r="1325" spans="1:9" ht="18" x14ac:dyDescent="0.2">
      <c r="A1325" s="2">
        <v>45698</v>
      </c>
      <c r="B1325" s="3">
        <v>138.82</v>
      </c>
      <c r="C1325">
        <f t="shared" si="80"/>
        <v>133.01549797774251</v>
      </c>
      <c r="E1325" s="18">
        <f t="shared" si="82"/>
        <v>304859.80960581562</v>
      </c>
      <c r="G1325" s="3">
        <v>272.26</v>
      </c>
      <c r="H1325" s="18">
        <f t="shared" si="81"/>
        <v>241.56281240449053</v>
      </c>
      <c r="I1325">
        <f t="shared" si="83"/>
        <v>922111.92695444252</v>
      </c>
    </row>
    <row r="1326" spans="1:9" ht="18" x14ac:dyDescent="0.2">
      <c r="A1326" s="2">
        <v>45705</v>
      </c>
      <c r="B1326" s="3">
        <v>134.4</v>
      </c>
      <c r="C1326">
        <f t="shared" si="80"/>
        <v>133.14735531319562</v>
      </c>
      <c r="E1326" s="18">
        <f t="shared" si="82"/>
        <v>304859.80960581562</v>
      </c>
      <c r="G1326" s="3">
        <v>260.10000000000002</v>
      </c>
      <c r="H1326" s="18">
        <f t="shared" si="81"/>
        <v>243.32825884215811</v>
      </c>
      <c r="I1326">
        <f t="shared" si="83"/>
        <v>922111.92695444252</v>
      </c>
    </row>
    <row r="1327" spans="1:9" ht="18" x14ac:dyDescent="0.2">
      <c r="A1327" s="2">
        <v>45712</v>
      </c>
      <c r="B1327" s="3">
        <v>124.89</v>
      </c>
      <c r="C1327">
        <f t="shared" si="80"/>
        <v>132.36094052146271</v>
      </c>
      <c r="E1327" s="18">
        <f t="shared" si="82"/>
        <v>304859.80960581562</v>
      </c>
      <c r="G1327" s="3">
        <v>260.5</v>
      </c>
      <c r="H1327" s="18">
        <f t="shared" si="81"/>
        <v>244.96366276195258</v>
      </c>
      <c r="I1327">
        <f t="shared" si="83"/>
        <v>922111.92695444252</v>
      </c>
    </row>
    <row r="1328" spans="1:9" ht="18" x14ac:dyDescent="0.2">
      <c r="A1328" s="2">
        <v>45719</v>
      </c>
      <c r="B1328" s="3">
        <v>112.67</v>
      </c>
      <c r="C1328">
        <f t="shared" si="80"/>
        <v>130.48561285275198</v>
      </c>
      <c r="E1328" s="18">
        <f t="shared" si="82"/>
        <v>275030.46479531785</v>
      </c>
      <c r="G1328" s="3">
        <v>238.48</v>
      </c>
      <c r="H1328" s="18">
        <f t="shared" si="81"/>
        <v>244.34617107033804</v>
      </c>
      <c r="I1328">
        <f t="shared" si="83"/>
        <v>922111.92695444252</v>
      </c>
    </row>
    <row r="1329" spans="1:9" ht="18" x14ac:dyDescent="0.2">
      <c r="A1329" s="2">
        <v>45726</v>
      </c>
      <c r="B1329" s="3">
        <v>121.64</v>
      </c>
      <c r="C1329">
        <f t="shared" si="80"/>
        <v>129.64317353344228</v>
      </c>
      <c r="E1329" s="18">
        <f t="shared" si="82"/>
        <v>296926.47322004492</v>
      </c>
      <c r="G1329" s="3">
        <v>228.8</v>
      </c>
      <c r="H1329" s="18">
        <f t="shared" si="81"/>
        <v>242.86558334935347</v>
      </c>
      <c r="I1329">
        <f t="shared" si="83"/>
        <v>884683.02955038776</v>
      </c>
    </row>
    <row r="1330" spans="1:9" ht="18" x14ac:dyDescent="0.2">
      <c r="A1330" s="2">
        <v>45733</v>
      </c>
      <c r="B1330" s="3">
        <v>117.69</v>
      </c>
      <c r="C1330">
        <f t="shared" si="80"/>
        <v>128.50477605406684</v>
      </c>
      <c r="E1330" s="18">
        <f t="shared" si="82"/>
        <v>287284.41822810826</v>
      </c>
      <c r="G1330" s="3">
        <v>237.84</v>
      </c>
      <c r="H1330" s="18">
        <f t="shared" si="81"/>
        <v>242.38695636370076</v>
      </c>
      <c r="I1330">
        <f t="shared" si="83"/>
        <v>919637.28910954634</v>
      </c>
    </row>
    <row r="1331" spans="1:9" ht="18" x14ac:dyDescent="0.2">
      <c r="A1331" s="2">
        <v>45740</v>
      </c>
      <c r="B1331" s="3">
        <v>109.66</v>
      </c>
      <c r="C1331">
        <f t="shared" si="80"/>
        <v>126.71003547748904</v>
      </c>
      <c r="E1331" s="18">
        <f t="shared" si="82"/>
        <v>267682.97478880407</v>
      </c>
      <c r="G1331" s="3">
        <v>239.04</v>
      </c>
      <c r="H1331" s="18">
        <f t="shared" si="81"/>
        <v>242.06819861477689</v>
      </c>
      <c r="I1331">
        <f t="shared" si="83"/>
        <v>924277.2350687267</v>
      </c>
    </row>
    <row r="1332" spans="1:9" ht="18" x14ac:dyDescent="0.2">
      <c r="A1332" s="2">
        <v>45747</v>
      </c>
      <c r="B1332" s="3">
        <v>94.3</v>
      </c>
      <c r="C1332">
        <f t="shared" si="80"/>
        <v>123.6233654320139</v>
      </c>
      <c r="E1332" s="18">
        <f t="shared" si="82"/>
        <v>230188.80651636168</v>
      </c>
      <c r="G1332" s="3">
        <v>206.98</v>
      </c>
      <c r="H1332" s="18">
        <f t="shared" si="81"/>
        <v>238.72646541336957</v>
      </c>
      <c r="I1332">
        <f t="shared" si="83"/>
        <v>800313.34552595823</v>
      </c>
    </row>
    <row r="1333" spans="1:9" ht="18" x14ac:dyDescent="0.2">
      <c r="A1333" s="2">
        <v>45754</v>
      </c>
      <c r="B1333" s="3">
        <v>110.92</v>
      </c>
      <c r="C1333">
        <f t="shared" si="80"/>
        <v>122.41352110515543</v>
      </c>
      <c r="E1333" s="18">
        <f t="shared" si="82"/>
        <v>270758.66827990283</v>
      </c>
      <c r="G1333" s="3">
        <v>233.93</v>
      </c>
      <c r="H1333" s="18">
        <f t="shared" si="81"/>
        <v>238.26965918352485</v>
      </c>
      <c r="I1333">
        <f t="shared" si="83"/>
        <v>904518.7985258837</v>
      </c>
    </row>
    <row r="1334" spans="1:9" ht="18" x14ac:dyDescent="0.2">
      <c r="A1334" s="2">
        <v>45761</v>
      </c>
      <c r="B1334" s="3">
        <v>101.48</v>
      </c>
      <c r="C1334">
        <f t="shared" si="80"/>
        <v>120.41985242847396</v>
      </c>
      <c r="E1334" s="18">
        <f t="shared" si="82"/>
        <v>247715.37736246429</v>
      </c>
      <c r="G1334" s="3">
        <v>229.73</v>
      </c>
      <c r="H1334" s="18">
        <f t="shared" si="81"/>
        <v>237.45635830890345</v>
      </c>
      <c r="I1334">
        <f t="shared" si="83"/>
        <v>888278.98766875244</v>
      </c>
    </row>
    <row r="1335" spans="1:9" ht="18" x14ac:dyDescent="0.2">
      <c r="A1335" s="2">
        <v>45768</v>
      </c>
      <c r="B1335" s="3">
        <v>111</v>
      </c>
      <c r="C1335">
        <f t="shared" si="80"/>
        <v>119.52272362576215</v>
      </c>
      <c r="E1335" s="18">
        <f t="shared" si="82"/>
        <v>270953.95040632179</v>
      </c>
      <c r="G1335" s="3">
        <v>241.21</v>
      </c>
      <c r="H1335" s="18">
        <f t="shared" si="81"/>
        <v>237.8138479937698</v>
      </c>
      <c r="I1335">
        <f t="shared" si="83"/>
        <v>932667.80401157786</v>
      </c>
    </row>
    <row r="1336" spans="1:9" ht="18" x14ac:dyDescent="0.2">
      <c r="A1336" s="2">
        <v>45775</v>
      </c>
      <c r="B1336" s="3">
        <v>114.49</v>
      </c>
      <c r="C1336">
        <f t="shared" si="80"/>
        <v>119.0434166137848</v>
      </c>
      <c r="E1336" s="18">
        <f t="shared" si="82"/>
        <v>279473.13317134936</v>
      </c>
      <c r="G1336" s="3">
        <v>250.08</v>
      </c>
      <c r="H1336" s="18">
        <f t="shared" si="81"/>
        <v>238.98205294674409</v>
      </c>
      <c r="I1336">
        <f t="shared" si="83"/>
        <v>932667.80401157786</v>
      </c>
    </row>
    <row r="1337" spans="1:9" ht="18" x14ac:dyDescent="0.2">
      <c r="A1337" s="2">
        <v>45782</v>
      </c>
      <c r="B1337" s="3">
        <v>116.64</v>
      </c>
      <c r="C1337">
        <f t="shared" si="80"/>
        <v>118.81451979342434</v>
      </c>
      <c r="E1337" s="18">
        <f t="shared" si="82"/>
        <v>284721.34031885921</v>
      </c>
      <c r="G1337" s="3">
        <v>250.65</v>
      </c>
      <c r="H1337" s="18">
        <f t="shared" si="81"/>
        <v>240.09328599943512</v>
      </c>
      <c r="I1337">
        <f t="shared" si="83"/>
        <v>932667.80401157786</v>
      </c>
    </row>
    <row r="1338" spans="1:9" ht="18" x14ac:dyDescent="0.2">
      <c r="A1338" s="2">
        <v>45789</v>
      </c>
      <c r="B1338" s="3">
        <v>135.38</v>
      </c>
      <c r="C1338">
        <f t="shared" si="80"/>
        <v>120.39218457500297</v>
      </c>
      <c r="E1338" s="18">
        <f t="shared" si="82"/>
        <v>330466.17843250307</v>
      </c>
      <c r="G1338" s="3">
        <v>264.99</v>
      </c>
      <c r="H1338" s="18">
        <f t="shared" si="81"/>
        <v>242.46440161853656</v>
      </c>
      <c r="I1338">
        <f t="shared" si="83"/>
        <v>932667.80401157786</v>
      </c>
    </row>
    <row r="1339" spans="1:9" ht="18" x14ac:dyDescent="0.2">
      <c r="A1339" s="2">
        <v>45796</v>
      </c>
      <c r="B1339" s="3">
        <v>131.27000000000001</v>
      </c>
      <c r="C1339">
        <f t="shared" si="80"/>
        <v>121.42816699643126</v>
      </c>
      <c r="E1339" s="18">
        <f t="shared" si="82"/>
        <v>330466.17843250307</v>
      </c>
      <c r="G1339" s="3">
        <v>258.2</v>
      </c>
      <c r="H1339" s="18">
        <f t="shared" si="81"/>
        <v>243.96303003581878</v>
      </c>
      <c r="I1339">
        <f t="shared" si="83"/>
        <v>932667.80401157786</v>
      </c>
    </row>
    <row r="1340" spans="1:9" ht="18" x14ac:dyDescent="0.2">
      <c r="A1340" s="2">
        <v>45803</v>
      </c>
      <c r="B1340" s="3">
        <v>135.11000000000001</v>
      </c>
      <c r="C1340">
        <f t="shared" si="80"/>
        <v>122.73119871105685</v>
      </c>
      <c r="E1340" s="18">
        <f t="shared" si="82"/>
        <v>330466.17843250307</v>
      </c>
      <c r="G1340" s="3">
        <v>261.45999999999998</v>
      </c>
      <c r="H1340" s="18">
        <f t="shared" si="81"/>
        <v>245.62940812764555</v>
      </c>
      <c r="I1340">
        <f t="shared" si="83"/>
        <v>932667.80401157786</v>
      </c>
    </row>
    <row r="1341" spans="1:9" ht="18" x14ac:dyDescent="0.2">
      <c r="A1341" s="2">
        <v>45810</v>
      </c>
      <c r="B1341" s="3">
        <v>141.69999999999999</v>
      </c>
      <c r="C1341">
        <f t="shared" si="80"/>
        <v>124.53775121476572</v>
      </c>
      <c r="E1341" s="18">
        <f t="shared" si="82"/>
        <v>330466.17843250307</v>
      </c>
      <c r="G1341" s="3">
        <v>263.18</v>
      </c>
      <c r="H1341" s="18">
        <f t="shared" si="81"/>
        <v>247.30089306786979</v>
      </c>
      <c r="I1341">
        <f t="shared" si="83"/>
        <v>932667.80401157786</v>
      </c>
    </row>
    <row r="1342" spans="1:9" ht="18" x14ac:dyDescent="0.2">
      <c r="A1342" s="2">
        <v>45817</v>
      </c>
      <c r="B1342" s="3">
        <v>141.94999999999999</v>
      </c>
      <c r="C1342">
        <f t="shared" si="80"/>
        <v>126.19606062288327</v>
      </c>
      <c r="E1342" s="18">
        <f t="shared" si="82"/>
        <v>330466.17843250307</v>
      </c>
      <c r="G1342" s="3">
        <v>262.39999999999998</v>
      </c>
      <c r="H1342" s="18">
        <f t="shared" si="81"/>
        <v>248.73890325188219</v>
      </c>
      <c r="I1342">
        <f t="shared" si="83"/>
        <v>932667.80401157786</v>
      </c>
    </row>
    <row r="1343" spans="1:9" ht="18" x14ac:dyDescent="0.2">
      <c r="A1343" s="2">
        <v>45824</v>
      </c>
      <c r="B1343" s="3">
        <v>143.84</v>
      </c>
      <c r="C1343">
        <f t="shared" si="80"/>
        <v>127.87643580165629</v>
      </c>
      <c r="E1343" s="18">
        <f t="shared" si="82"/>
        <v>330466.17843250307</v>
      </c>
      <c r="G1343" s="3">
        <v>272.36</v>
      </c>
      <c r="H1343" s="18">
        <f t="shared" si="81"/>
        <v>250.98853151360771</v>
      </c>
      <c r="I1343">
        <f t="shared" si="83"/>
        <v>932667.80401157786</v>
      </c>
    </row>
    <row r="1344" spans="1:9" ht="18" x14ac:dyDescent="0.2">
      <c r="A1344" s="2">
        <v>45831</v>
      </c>
      <c r="B1344" s="3">
        <v>157.74</v>
      </c>
      <c r="C1344">
        <f t="shared" si="80"/>
        <v>130.72058477292711</v>
      </c>
      <c r="E1344" s="18">
        <f t="shared" si="82"/>
        <v>330466.17843250307</v>
      </c>
      <c r="G1344" s="3">
        <v>284.35000000000002</v>
      </c>
      <c r="H1344" s="18">
        <f t="shared" si="81"/>
        <v>254.16581422659746</v>
      </c>
      <c r="I1344">
        <f t="shared" si="83"/>
        <v>932667.80401157786</v>
      </c>
    </row>
    <row r="1345" spans="1:9" ht="18" x14ac:dyDescent="0.2">
      <c r="A1345" s="2">
        <v>45838</v>
      </c>
      <c r="B1345" s="3">
        <v>159.33000000000001</v>
      </c>
      <c r="C1345">
        <f t="shared" si="80"/>
        <v>133.44529098502929</v>
      </c>
      <c r="E1345" s="18">
        <f t="shared" si="82"/>
        <v>330466.17843250307</v>
      </c>
      <c r="G1345" s="3">
        <v>293.16000000000003</v>
      </c>
      <c r="H1345" s="18">
        <f t="shared" si="81"/>
        <v>257.87954620501677</v>
      </c>
      <c r="I1345">
        <f t="shared" si="83"/>
        <v>932667.80401157786</v>
      </c>
    </row>
    <row r="1346" spans="1:9" ht="18" x14ac:dyDescent="0.2">
      <c r="A1346" s="2">
        <v>45845</v>
      </c>
      <c r="B1346" s="3">
        <v>164.91</v>
      </c>
      <c r="C1346">
        <f t="shared" si="80"/>
        <v>136.44192993883601</v>
      </c>
      <c r="E1346" s="18">
        <f t="shared" si="82"/>
        <v>330466.17843250307</v>
      </c>
      <c r="G1346" s="3">
        <v>285.47000000000003</v>
      </c>
      <c r="H1346" s="18">
        <f t="shared" si="81"/>
        <v>260.50720847120567</v>
      </c>
      <c r="I1346">
        <f t="shared" si="83"/>
        <v>932667.80401157786</v>
      </c>
    </row>
    <row r="1347" spans="1:9" ht="18" x14ac:dyDescent="0.2">
      <c r="A1347" s="2">
        <v>45852</v>
      </c>
      <c r="B1347" s="3">
        <v>172.4</v>
      </c>
      <c r="C1347">
        <f t="shared" si="80"/>
        <v>139.86650803989926</v>
      </c>
      <c r="E1347" s="18">
        <f t="shared" si="82"/>
        <v>330466.17843250307</v>
      </c>
      <c r="G1347" s="3">
        <v>289.86</v>
      </c>
      <c r="H1347" s="18">
        <f t="shared" si="81"/>
        <v>263.30271242632892</v>
      </c>
      <c r="I1347">
        <f t="shared" si="83"/>
        <v>932667.80401157786</v>
      </c>
    </row>
    <row r="1348" spans="1:9" ht="18" x14ac:dyDescent="0.2">
      <c r="A1348" s="2">
        <v>45859</v>
      </c>
      <c r="B1348" s="3">
        <v>173.49</v>
      </c>
      <c r="C1348">
        <f t="shared" si="80"/>
        <v>143.06874536943266</v>
      </c>
      <c r="E1348" s="18">
        <f t="shared" si="82"/>
        <v>330466.17843250307</v>
      </c>
      <c r="G1348" s="3">
        <v>297.18</v>
      </c>
      <c r="H1348" s="18">
        <f t="shared" si="81"/>
        <v>266.52912076667855</v>
      </c>
      <c r="I1348">
        <f t="shared" si="83"/>
        <v>932667.80401157786</v>
      </c>
    </row>
    <row r="1349" spans="1:9" ht="18" x14ac:dyDescent="0.2">
      <c r="A1349" s="2">
        <v>45866</v>
      </c>
      <c r="B1349" s="3">
        <v>173.71</v>
      </c>
      <c r="C1349">
        <f t="shared" si="80"/>
        <v>145.98696009615335</v>
      </c>
      <c r="E1349" s="18">
        <f t="shared" si="82"/>
        <v>330466.17843250307</v>
      </c>
      <c r="G1349" s="3">
        <v>287.97000000000003</v>
      </c>
      <c r="H1349" s="18">
        <f t="shared" si="81"/>
        <v>268.57110926509012</v>
      </c>
      <c r="I1349">
        <f t="shared" si="83"/>
        <v>932667.80401157786</v>
      </c>
    </row>
    <row r="1350" spans="1:9" ht="18" x14ac:dyDescent="0.2">
      <c r="A1350" s="2">
        <v>45873</v>
      </c>
      <c r="B1350" s="3">
        <v>182.69</v>
      </c>
      <c r="C1350">
        <f t="shared" si="80"/>
        <v>149.48248770604351</v>
      </c>
      <c r="E1350" s="18">
        <f t="shared" si="82"/>
        <v>330466.17843250307</v>
      </c>
      <c r="G1350" s="3">
        <v>287.36</v>
      </c>
      <c r="H1350" s="18">
        <f t="shared" si="81"/>
        <v>270.36052743031962</v>
      </c>
      <c r="I1350">
        <f t="shared" si="83"/>
        <v>932667.80401157786</v>
      </c>
    </row>
    <row r="1351" spans="1:9" ht="18" x14ac:dyDescent="0.2">
      <c r="A1351" s="2">
        <v>45880</v>
      </c>
      <c r="B1351" s="3">
        <v>180.44</v>
      </c>
      <c r="C1351">
        <f t="shared" si="80"/>
        <v>152.43082221022985</v>
      </c>
      <c r="E1351" s="18">
        <f t="shared" si="82"/>
        <v>330466.17843250307</v>
      </c>
      <c r="G1351" s="3">
        <v>289.08</v>
      </c>
      <c r="H1351" s="18">
        <f t="shared" si="81"/>
        <v>272.14333434171778</v>
      </c>
      <c r="I1351">
        <f t="shared" si="83"/>
        <v>932667.80401157786</v>
      </c>
    </row>
    <row r="1352" spans="1:9" ht="18" x14ac:dyDescent="0.2">
      <c r="A1352" s="2">
        <v>45887</v>
      </c>
      <c r="B1352" s="3">
        <v>177.98</v>
      </c>
      <c r="C1352">
        <f t="shared" si="80"/>
        <v>154.86407723782702</v>
      </c>
      <c r="E1352" s="18">
        <f t="shared" si="82"/>
        <v>330466.17843250307</v>
      </c>
      <c r="G1352" s="3">
        <v>294.81</v>
      </c>
      <c r="H1352" s="18">
        <f t="shared" si="81"/>
        <v>274.30206440441134</v>
      </c>
      <c r="I1352">
        <f t="shared" si="83"/>
        <v>932667.80401157786</v>
      </c>
    </row>
    <row r="1353" spans="1:9" ht="18" x14ac:dyDescent="0.2">
      <c r="A1353" s="2">
        <v>45894</v>
      </c>
      <c r="B1353" s="3">
        <v>174.17</v>
      </c>
      <c r="C1353">
        <f t="shared" si="80"/>
        <v>156.70273654851016</v>
      </c>
      <c r="E1353" s="18">
        <f t="shared" si="82"/>
        <v>330466.17843250307</v>
      </c>
      <c r="G1353" s="3">
        <v>299.95999999999998</v>
      </c>
      <c r="H1353" s="18">
        <f t="shared" si="81"/>
        <v>276.74567731827693</v>
      </c>
      <c r="I1353">
        <f t="shared" si="83"/>
        <v>932667.80401157786</v>
      </c>
    </row>
    <row r="1354" spans="1:9" ht="18" x14ac:dyDescent="0.2">
      <c r="A1354" s="2">
        <v>45901</v>
      </c>
      <c r="B1354" s="3">
        <v>167.01</v>
      </c>
      <c r="C1354">
        <f t="shared" si="80"/>
        <v>157.68438068674729</v>
      </c>
      <c r="E1354" s="18">
        <f t="shared" si="82"/>
        <v>330466.17843250307</v>
      </c>
      <c r="G1354" s="3">
        <v>292.95999999999998</v>
      </c>
      <c r="H1354" s="18">
        <f t="shared" si="81"/>
        <v>278.28989852606009</v>
      </c>
      <c r="I1354">
        <f t="shared" si="83"/>
        <v>932667.80401157786</v>
      </c>
    </row>
    <row r="1355" spans="1:9" ht="18" x14ac:dyDescent="0.2">
      <c r="A1355" s="2">
        <v>45908</v>
      </c>
      <c r="B1355" s="3">
        <v>177.81</v>
      </c>
      <c r="C1355">
        <f t="shared" si="80"/>
        <v>159.60110633562849</v>
      </c>
      <c r="E1355" s="18">
        <f t="shared" si="82"/>
        <v>330466.17843250307</v>
      </c>
      <c r="G1355" s="3">
        <v>305.43</v>
      </c>
      <c r="H1355" s="18">
        <f t="shared" si="81"/>
        <v>280.87467009500676</v>
      </c>
      <c r="I1355">
        <f t="shared" si="83"/>
        <v>932667.80401157786</v>
      </c>
    </row>
    <row r="1356" spans="1:9" ht="18" x14ac:dyDescent="0.2">
      <c r="A1356" s="2">
        <v>45915</v>
      </c>
      <c r="B1356" s="3">
        <v>176.67</v>
      </c>
      <c r="C1356">
        <f t="shared" si="80"/>
        <v>161.22671525604483</v>
      </c>
      <c r="E1356" s="18">
        <f t="shared" si="82"/>
        <v>330466.17843250307</v>
      </c>
      <c r="G1356" s="3">
        <v>313.26</v>
      </c>
      <c r="H1356" s="18">
        <f t="shared" si="81"/>
        <v>283.95898722881566</v>
      </c>
      <c r="I1356">
        <f t="shared" si="83"/>
        <v>932667.80401157786</v>
      </c>
    </row>
    <row r="1357" spans="1:9" ht="18" x14ac:dyDescent="0.2">
      <c r="A1357" s="2">
        <v>45922</v>
      </c>
      <c r="B1357" s="3">
        <v>178.19</v>
      </c>
      <c r="C1357">
        <f t="shared" si="80"/>
        <v>162.84226618404057</v>
      </c>
      <c r="E1357" s="18">
        <f t="shared" si="82"/>
        <v>330466.17843250307</v>
      </c>
      <c r="G1357" s="3">
        <v>314.52999999999997</v>
      </c>
      <c r="H1357" s="18">
        <f t="shared" si="81"/>
        <v>286.87051225464273</v>
      </c>
      <c r="I1357">
        <f t="shared" si="83"/>
        <v>932667.80401157786</v>
      </c>
    </row>
    <row r="1358" spans="1:9" ht="18" x14ac:dyDescent="0.2">
      <c r="A1358" s="2">
        <v>45929</v>
      </c>
      <c r="B1358" s="3">
        <v>186.58</v>
      </c>
      <c r="C1358">
        <f t="shared" si="80"/>
        <v>165.10300273794147</v>
      </c>
      <c r="E1358" s="18">
        <f t="shared" si="82"/>
        <v>330466.17843250307</v>
      </c>
      <c r="G1358" s="3">
        <v>308.52999999999997</v>
      </c>
      <c r="H1358" s="18">
        <f t="shared" si="81"/>
        <v>288.93332061134345</v>
      </c>
      <c r="I1358">
        <f t="shared" si="83"/>
        <v>932667.80401157786</v>
      </c>
    </row>
    <row r="1359" spans="1:9" ht="18" x14ac:dyDescent="0.2">
      <c r="A1359" s="2">
        <v>45930</v>
      </c>
      <c r="B1359" s="3">
        <v>186.58</v>
      </c>
      <c r="C1359">
        <f t="shared" si="80"/>
        <v>167.1484310486137</v>
      </c>
      <c r="E1359" s="18">
        <f t="shared" si="82"/>
        <v>330466.17843250307</v>
      </c>
      <c r="G1359" s="3">
        <v>313.89999999999998</v>
      </c>
      <c r="H1359" s="18">
        <f t="shared" si="81"/>
        <v>291.31109960073928</v>
      </c>
      <c r="I1359">
        <f t="shared" si="83"/>
        <v>932667.80401157786</v>
      </c>
    </row>
  </sheetData>
  <mergeCells count="3">
    <mergeCell ref="K6:O6"/>
    <mergeCell ref="C1:D1"/>
    <mergeCell ref="K2:L2"/>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7DC7B0-8735-FB4E-91F6-7D80AA084A3A}">
  <dimension ref="A1:V1396"/>
  <sheetViews>
    <sheetView workbookViewId="0">
      <selection activeCell="E201" sqref="E201"/>
    </sheetView>
  </sheetViews>
  <sheetFormatPr baseColWidth="10" defaultRowHeight="16" x14ac:dyDescent="0.2"/>
  <cols>
    <col min="1" max="1" width="20.1640625" style="29" customWidth="1"/>
    <col min="2" max="2" width="18" style="29" customWidth="1"/>
    <col min="3" max="4" width="10.83203125" style="29"/>
    <col min="5" max="5" width="15.83203125" style="29" customWidth="1"/>
    <col min="6" max="6" width="16.1640625" style="29" customWidth="1"/>
    <col min="7" max="7" width="1.1640625" style="56" customWidth="1"/>
    <col min="8" max="8" width="17.6640625" style="29" customWidth="1"/>
    <col min="9" max="10" width="10.83203125" style="29"/>
    <col min="11" max="11" width="19.5" style="29" customWidth="1"/>
    <col min="12" max="12" width="15" style="29" bestFit="1" customWidth="1"/>
    <col min="13" max="16384" width="10.83203125" style="29"/>
  </cols>
  <sheetData>
    <row r="1" spans="1:22" ht="39" customHeight="1" thickBot="1" x14ac:dyDescent="0.25">
      <c r="A1" s="35" t="s">
        <v>0</v>
      </c>
      <c r="B1" s="35" t="s">
        <v>28</v>
      </c>
      <c r="C1" s="34" t="s">
        <v>26</v>
      </c>
      <c r="D1" s="34" t="s">
        <v>25</v>
      </c>
      <c r="E1" s="34" t="s">
        <v>24</v>
      </c>
      <c r="F1" s="34" t="s">
        <v>23</v>
      </c>
      <c r="H1" s="33" t="s">
        <v>51</v>
      </c>
      <c r="I1" s="34" t="s">
        <v>26</v>
      </c>
      <c r="J1" s="34" t="s">
        <v>25</v>
      </c>
    </row>
    <row r="2" spans="1:22" ht="19" thickBot="1" x14ac:dyDescent="0.25">
      <c r="A2" s="31">
        <v>36178</v>
      </c>
      <c r="B2" s="30">
        <v>0.04</v>
      </c>
      <c r="E2" s="29" t="s">
        <v>22</v>
      </c>
      <c r="F2" s="29" t="s">
        <v>21</v>
      </c>
      <c r="H2" s="30">
        <v>22.35</v>
      </c>
      <c r="K2" s="49" t="s">
        <v>33</v>
      </c>
      <c r="L2" s="50"/>
    </row>
    <row r="3" spans="1:22" ht="18" x14ac:dyDescent="0.2">
      <c r="A3" s="31">
        <v>36185</v>
      </c>
      <c r="B3" s="30">
        <v>0.04</v>
      </c>
      <c r="E3" s="32">
        <f>E1356</f>
        <v>50427027.027026974</v>
      </c>
      <c r="H3" s="30">
        <v>23.93</v>
      </c>
      <c r="K3" s="36" t="s">
        <v>29</v>
      </c>
      <c r="L3" s="41">
        <f>K1356</f>
        <v>1085783.4659287438</v>
      </c>
      <c r="R3" s="51" t="s">
        <v>20</v>
      </c>
      <c r="S3" s="51"/>
      <c r="T3" s="51"/>
      <c r="U3" s="51"/>
      <c r="V3" s="51"/>
    </row>
    <row r="4" spans="1:22" ht="19" thickBot="1" x14ac:dyDescent="0.25">
      <c r="A4" s="31">
        <v>36192</v>
      </c>
      <c r="B4" s="30">
        <v>0.04</v>
      </c>
      <c r="H4" s="30">
        <v>23.77</v>
      </c>
      <c r="K4" s="37" t="s">
        <v>30</v>
      </c>
      <c r="L4" s="38">
        <f>E1356</f>
        <v>50427027.027026974</v>
      </c>
    </row>
    <row r="5" spans="1:22" ht="18" x14ac:dyDescent="0.2">
      <c r="A5" s="31">
        <v>36199</v>
      </c>
      <c r="B5" s="30">
        <v>0.04</v>
      </c>
      <c r="H5" s="30">
        <v>23.03</v>
      </c>
      <c r="R5" s="51" t="s">
        <v>19</v>
      </c>
      <c r="S5" s="51"/>
      <c r="T5" s="51"/>
      <c r="U5" s="51"/>
      <c r="V5" s="51"/>
    </row>
    <row r="6" spans="1:22" ht="18" x14ac:dyDescent="0.2">
      <c r="A6" s="31">
        <v>36206</v>
      </c>
      <c r="B6" s="30">
        <v>0.04</v>
      </c>
      <c r="H6" s="30">
        <v>23.65</v>
      </c>
    </row>
    <row r="7" spans="1:22" ht="18" x14ac:dyDescent="0.2">
      <c r="A7" s="31">
        <v>36213</v>
      </c>
      <c r="B7" s="30">
        <v>0.04</v>
      </c>
      <c r="H7" s="30">
        <v>24.76</v>
      </c>
    </row>
    <row r="8" spans="1:22" ht="18" x14ac:dyDescent="0.2">
      <c r="A8" s="31">
        <v>36220</v>
      </c>
      <c r="B8" s="30">
        <v>0.04</v>
      </c>
      <c r="H8" s="30">
        <v>27.02</v>
      </c>
    </row>
    <row r="9" spans="1:22" ht="18" x14ac:dyDescent="0.2">
      <c r="A9" s="31">
        <v>36227</v>
      </c>
      <c r="B9" s="30">
        <v>0.04</v>
      </c>
      <c r="H9" s="30">
        <v>27.37</v>
      </c>
    </row>
    <row r="10" spans="1:22" ht="18" x14ac:dyDescent="0.2">
      <c r="A10" s="31">
        <v>36234</v>
      </c>
      <c r="B10" s="30">
        <v>0.04</v>
      </c>
      <c r="H10" s="30">
        <v>25.66</v>
      </c>
    </row>
    <row r="11" spans="1:22" ht="18" x14ac:dyDescent="0.2">
      <c r="A11" s="31">
        <v>36241</v>
      </c>
      <c r="B11" s="30">
        <v>0.04</v>
      </c>
      <c r="H11" s="30">
        <v>25.03</v>
      </c>
    </row>
    <row r="12" spans="1:22" ht="18" x14ac:dyDescent="0.2">
      <c r="A12" s="31">
        <v>36248</v>
      </c>
      <c r="B12" s="30">
        <v>0.04</v>
      </c>
      <c r="H12" s="30">
        <v>24.68</v>
      </c>
    </row>
    <row r="13" spans="1:22" ht="18" x14ac:dyDescent="0.2">
      <c r="A13" s="31">
        <v>36255</v>
      </c>
      <c r="B13" s="30">
        <v>0.04</v>
      </c>
      <c r="H13" s="30">
        <v>26.74</v>
      </c>
    </row>
    <row r="14" spans="1:22" ht="18" x14ac:dyDescent="0.2">
      <c r="A14" s="31">
        <v>36262</v>
      </c>
      <c r="B14" s="30">
        <v>0.04</v>
      </c>
      <c r="H14" s="30">
        <v>26.9</v>
      </c>
    </row>
    <row r="15" spans="1:22" ht="18" x14ac:dyDescent="0.2">
      <c r="A15" s="31">
        <v>36269</v>
      </c>
      <c r="B15" s="30">
        <v>0.03</v>
      </c>
      <c r="H15" s="30">
        <v>26.61</v>
      </c>
    </row>
    <row r="16" spans="1:22" ht="18" x14ac:dyDescent="0.2">
      <c r="A16" s="31">
        <v>36276</v>
      </c>
      <c r="B16" s="30">
        <v>0.03</v>
      </c>
      <c r="H16" s="30">
        <v>25.79</v>
      </c>
    </row>
    <row r="17" spans="1:8" ht="18" x14ac:dyDescent="0.2">
      <c r="A17" s="31">
        <v>36283</v>
      </c>
      <c r="B17" s="30">
        <v>0.03</v>
      </c>
      <c r="H17" s="30">
        <v>24.5</v>
      </c>
    </row>
    <row r="18" spans="1:8" ht="18" x14ac:dyDescent="0.2">
      <c r="A18" s="31">
        <v>36290</v>
      </c>
      <c r="B18" s="30">
        <v>0.03</v>
      </c>
      <c r="H18" s="30">
        <v>24.71</v>
      </c>
    </row>
    <row r="19" spans="1:8" ht="18" x14ac:dyDescent="0.2">
      <c r="A19" s="31">
        <v>36297</v>
      </c>
      <c r="B19" s="30">
        <v>0.03</v>
      </c>
      <c r="H19" s="30">
        <v>24.67</v>
      </c>
    </row>
    <row r="20" spans="1:8" ht="18" x14ac:dyDescent="0.2">
      <c r="A20" s="31">
        <v>36304</v>
      </c>
      <c r="B20" s="30">
        <v>0.03</v>
      </c>
      <c r="H20" s="30">
        <v>22.62</v>
      </c>
    </row>
    <row r="21" spans="1:8" ht="18" x14ac:dyDescent="0.2">
      <c r="A21" s="31">
        <v>36311</v>
      </c>
      <c r="B21" s="30">
        <v>0.03</v>
      </c>
      <c r="H21" s="30">
        <v>23.23</v>
      </c>
    </row>
    <row r="22" spans="1:8" ht="18" x14ac:dyDescent="0.2">
      <c r="A22" s="31">
        <v>36318</v>
      </c>
      <c r="B22" s="30">
        <v>0.03</v>
      </c>
      <c r="H22" s="30">
        <v>22.9</v>
      </c>
    </row>
    <row r="23" spans="1:8" ht="18" x14ac:dyDescent="0.2">
      <c r="A23" s="31">
        <v>36325</v>
      </c>
      <c r="B23" s="30">
        <v>0.03</v>
      </c>
      <c r="H23" s="30">
        <v>25.04</v>
      </c>
    </row>
    <row r="24" spans="1:8" ht="18" x14ac:dyDescent="0.2">
      <c r="A24" s="31">
        <v>36332</v>
      </c>
      <c r="B24" s="30">
        <v>0.03</v>
      </c>
      <c r="H24" s="30">
        <v>25.38</v>
      </c>
    </row>
    <row r="25" spans="1:8" ht="18" x14ac:dyDescent="0.2">
      <c r="A25" s="31">
        <v>36339</v>
      </c>
      <c r="B25" s="30">
        <v>0.04</v>
      </c>
      <c r="H25" s="30">
        <v>26.59</v>
      </c>
    </row>
    <row r="26" spans="1:8" ht="18" x14ac:dyDescent="0.2">
      <c r="A26" s="31">
        <v>36346</v>
      </c>
      <c r="B26" s="30">
        <v>0.04</v>
      </c>
      <c r="H26" s="30">
        <v>26.75</v>
      </c>
    </row>
    <row r="27" spans="1:8" ht="18" x14ac:dyDescent="0.2">
      <c r="A27" s="31">
        <v>36353</v>
      </c>
      <c r="B27" s="30">
        <v>0.04</v>
      </c>
      <c r="H27" s="30">
        <v>25.69</v>
      </c>
    </row>
    <row r="28" spans="1:8" ht="18" x14ac:dyDescent="0.2">
      <c r="A28" s="31">
        <v>36360</v>
      </c>
      <c r="B28" s="30">
        <v>0.04</v>
      </c>
      <c r="H28" s="30">
        <v>25.61</v>
      </c>
    </row>
    <row r="29" spans="1:8" ht="18" x14ac:dyDescent="0.2">
      <c r="A29" s="31">
        <v>36367</v>
      </c>
      <c r="B29" s="30">
        <v>0.04</v>
      </c>
      <c r="H29" s="30">
        <v>24.2</v>
      </c>
    </row>
    <row r="30" spans="1:8" ht="18" x14ac:dyDescent="0.2">
      <c r="A30" s="31">
        <v>36374</v>
      </c>
      <c r="B30" s="30">
        <v>0.04</v>
      </c>
      <c r="H30" s="30">
        <v>23.79</v>
      </c>
    </row>
    <row r="31" spans="1:8" ht="18" x14ac:dyDescent="0.2">
      <c r="A31" s="31">
        <v>36381</v>
      </c>
      <c r="B31" s="30">
        <v>0.04</v>
      </c>
      <c r="H31" s="30">
        <v>24.85</v>
      </c>
    </row>
    <row r="32" spans="1:8" ht="18" x14ac:dyDescent="0.2">
      <c r="A32" s="31">
        <v>36388</v>
      </c>
      <c r="B32" s="30">
        <v>0.05</v>
      </c>
      <c r="H32" s="30">
        <v>26.3</v>
      </c>
    </row>
    <row r="33" spans="1:8" ht="18" x14ac:dyDescent="0.2">
      <c r="A33" s="31">
        <v>36395</v>
      </c>
      <c r="B33" s="30">
        <v>0.05</v>
      </c>
      <c r="H33" s="30">
        <v>26.11</v>
      </c>
    </row>
    <row r="34" spans="1:8" ht="18" x14ac:dyDescent="0.2">
      <c r="A34" s="31">
        <v>36402</v>
      </c>
      <c r="B34" s="30">
        <v>0.05</v>
      </c>
      <c r="H34" s="30">
        <v>26.69</v>
      </c>
    </row>
    <row r="35" spans="1:8" ht="18" x14ac:dyDescent="0.2">
      <c r="A35" s="31">
        <v>36409</v>
      </c>
      <c r="B35" s="30">
        <v>0.05</v>
      </c>
      <c r="H35" s="30">
        <v>24.32</v>
      </c>
    </row>
    <row r="36" spans="1:8" ht="18" x14ac:dyDescent="0.2">
      <c r="A36" s="31">
        <v>36416</v>
      </c>
      <c r="B36" s="30">
        <v>0.05</v>
      </c>
      <c r="H36" s="30">
        <v>24.36</v>
      </c>
    </row>
    <row r="37" spans="1:8" ht="18" x14ac:dyDescent="0.2">
      <c r="A37" s="31">
        <v>36423</v>
      </c>
      <c r="B37" s="30">
        <v>0.03</v>
      </c>
      <c r="H37" s="30">
        <v>23.67</v>
      </c>
    </row>
    <row r="38" spans="1:8" ht="18" x14ac:dyDescent="0.2">
      <c r="A38" s="31">
        <v>36430</v>
      </c>
      <c r="B38" s="30">
        <v>0.04</v>
      </c>
      <c r="H38" s="30">
        <v>23.26</v>
      </c>
    </row>
    <row r="39" spans="1:8" ht="18" x14ac:dyDescent="0.2">
      <c r="A39" s="31">
        <v>36437</v>
      </c>
      <c r="B39" s="30">
        <v>0.04</v>
      </c>
      <c r="H39" s="30">
        <v>23.73</v>
      </c>
    </row>
    <row r="40" spans="1:8" ht="18" x14ac:dyDescent="0.2">
      <c r="A40" s="31">
        <v>36444</v>
      </c>
      <c r="B40" s="30">
        <v>0.04</v>
      </c>
      <c r="H40" s="30">
        <v>21</v>
      </c>
    </row>
    <row r="41" spans="1:8" ht="18" x14ac:dyDescent="0.2">
      <c r="A41" s="31">
        <v>36451</v>
      </c>
      <c r="B41" s="30">
        <v>0.04</v>
      </c>
      <c r="H41" s="30">
        <v>25.46</v>
      </c>
    </row>
    <row r="42" spans="1:8" ht="18" x14ac:dyDescent="0.2">
      <c r="A42" s="31">
        <v>36458</v>
      </c>
      <c r="B42" s="30">
        <v>0.04</v>
      </c>
      <c r="H42" s="30">
        <v>27.55</v>
      </c>
    </row>
    <row r="43" spans="1:8" ht="18" x14ac:dyDescent="0.2">
      <c r="A43" s="31">
        <v>36465</v>
      </c>
      <c r="B43" s="30">
        <v>0.05</v>
      </c>
      <c r="H43" s="30">
        <v>27.24</v>
      </c>
    </row>
    <row r="44" spans="1:8" ht="18" x14ac:dyDescent="0.2">
      <c r="A44" s="31">
        <v>36472</v>
      </c>
      <c r="B44" s="30">
        <v>0.06</v>
      </c>
      <c r="H44" s="30">
        <v>26.84</v>
      </c>
    </row>
    <row r="45" spans="1:8" ht="18" x14ac:dyDescent="0.2">
      <c r="A45" s="31">
        <v>36479</v>
      </c>
      <c r="B45" s="30">
        <v>0.08</v>
      </c>
      <c r="H45" s="30">
        <v>26.21</v>
      </c>
    </row>
    <row r="46" spans="1:8" ht="18" x14ac:dyDescent="0.2">
      <c r="A46" s="31">
        <v>36486</v>
      </c>
      <c r="B46" s="30">
        <v>7.0000000000000007E-2</v>
      </c>
      <c r="H46" s="30">
        <v>24.97</v>
      </c>
    </row>
    <row r="47" spans="1:8" ht="18" x14ac:dyDescent="0.2">
      <c r="A47" s="31">
        <v>36493</v>
      </c>
      <c r="B47" s="30">
        <v>7.0000000000000007E-2</v>
      </c>
      <c r="H47" s="30">
        <v>25.9</v>
      </c>
    </row>
    <row r="48" spans="1:8" ht="18" x14ac:dyDescent="0.2">
      <c r="A48" s="31">
        <v>36500</v>
      </c>
      <c r="B48" s="30">
        <v>7.0000000000000007E-2</v>
      </c>
      <c r="H48" s="30">
        <v>24.93</v>
      </c>
    </row>
    <row r="49" spans="1:9" ht="18" x14ac:dyDescent="0.2">
      <c r="A49" s="31">
        <v>36507</v>
      </c>
      <c r="B49" s="30">
        <v>7.0000000000000007E-2</v>
      </c>
      <c r="H49" s="30">
        <v>22.97</v>
      </c>
    </row>
    <row r="50" spans="1:9" ht="18" x14ac:dyDescent="0.2">
      <c r="A50" s="31">
        <v>36514</v>
      </c>
      <c r="B50" s="30">
        <v>0.09</v>
      </c>
      <c r="H50" s="30">
        <v>24.47</v>
      </c>
    </row>
    <row r="51" spans="1:9" ht="18" x14ac:dyDescent="0.2">
      <c r="A51" s="31">
        <v>36521</v>
      </c>
      <c r="B51" s="30">
        <v>0.09</v>
      </c>
      <c r="C51" s="29">
        <f t="shared" ref="C51:C114" si="0">AVERAGE(B2:B51)</f>
        <v>4.4600000000000015E-2</v>
      </c>
      <c r="H51" s="30">
        <v>24.53</v>
      </c>
    </row>
    <row r="52" spans="1:9" ht="18" x14ac:dyDescent="0.2">
      <c r="A52" s="31">
        <v>36528</v>
      </c>
      <c r="B52" s="30">
        <v>0.08</v>
      </c>
      <c r="C52" s="29">
        <f t="shared" si="0"/>
        <v>4.5400000000000017E-2</v>
      </c>
      <c r="H52" s="30">
        <v>22.97</v>
      </c>
      <c r="I52" s="29">
        <f t="shared" ref="I52:I115" si="1">AVERAGE(H2:H51)</f>
        <v>24.966600000000007</v>
      </c>
    </row>
    <row r="53" spans="1:9" ht="18" x14ac:dyDescent="0.2">
      <c r="A53" s="31">
        <v>36535</v>
      </c>
      <c r="B53" s="30">
        <v>0.08</v>
      </c>
      <c r="C53" s="29">
        <f t="shared" si="0"/>
        <v>4.6200000000000026E-2</v>
      </c>
      <c r="H53" s="30">
        <v>23.46</v>
      </c>
      <c r="I53" s="29">
        <f t="shared" si="1"/>
        <v>24.979000000000006</v>
      </c>
    </row>
    <row r="54" spans="1:9" ht="18" x14ac:dyDescent="0.2">
      <c r="A54" s="31">
        <v>36542</v>
      </c>
      <c r="B54" s="30">
        <v>0.09</v>
      </c>
      <c r="C54" s="29">
        <f t="shared" si="0"/>
        <v>4.7200000000000027E-2</v>
      </c>
      <c r="H54" s="30">
        <v>23.16</v>
      </c>
      <c r="I54" s="29">
        <f t="shared" si="1"/>
        <v>24.96960000000001</v>
      </c>
    </row>
    <row r="55" spans="1:9" ht="18" x14ac:dyDescent="0.2">
      <c r="A55" s="31">
        <v>36549</v>
      </c>
      <c r="B55" s="30">
        <v>7.0000000000000007E-2</v>
      </c>
      <c r="C55" s="29">
        <f t="shared" si="0"/>
        <v>4.7800000000000023E-2</v>
      </c>
      <c r="H55" s="30">
        <v>24.35</v>
      </c>
      <c r="I55" s="29">
        <f t="shared" si="1"/>
        <v>24.95740000000001</v>
      </c>
    </row>
    <row r="56" spans="1:9" ht="18" x14ac:dyDescent="0.2">
      <c r="A56" s="31">
        <v>36556</v>
      </c>
      <c r="B56" s="30">
        <v>0.08</v>
      </c>
      <c r="C56" s="29">
        <f t="shared" si="0"/>
        <v>4.8600000000000018E-2</v>
      </c>
      <c r="H56" s="30">
        <v>25.96</v>
      </c>
      <c r="I56" s="29">
        <f t="shared" si="1"/>
        <v>24.983800000000009</v>
      </c>
    </row>
    <row r="57" spans="1:9" ht="18" x14ac:dyDescent="0.2">
      <c r="A57" s="31">
        <v>36563</v>
      </c>
      <c r="B57" s="30">
        <v>0.1</v>
      </c>
      <c r="C57" s="29">
        <f t="shared" si="0"/>
        <v>4.9800000000000032E-2</v>
      </c>
      <c r="H57" s="30">
        <v>26.24</v>
      </c>
      <c r="I57" s="29">
        <f t="shared" si="1"/>
        <v>25.030000000000008</v>
      </c>
    </row>
    <row r="58" spans="1:9" ht="18" x14ac:dyDescent="0.2">
      <c r="A58" s="31">
        <v>36570</v>
      </c>
      <c r="B58" s="30">
        <v>0.13</v>
      </c>
      <c r="C58" s="29">
        <f t="shared" si="0"/>
        <v>5.1600000000000028E-2</v>
      </c>
      <c r="H58" s="30">
        <v>23.74</v>
      </c>
      <c r="I58" s="29">
        <f t="shared" si="1"/>
        <v>25.059600000000003</v>
      </c>
    </row>
    <row r="59" spans="1:9" ht="18" x14ac:dyDescent="0.2">
      <c r="A59" s="31">
        <v>36577</v>
      </c>
      <c r="B59" s="30">
        <v>0.12</v>
      </c>
      <c r="C59" s="29">
        <f t="shared" si="0"/>
        <v>5.3200000000000032E-2</v>
      </c>
      <c r="H59" s="30">
        <v>24.1</v>
      </c>
      <c r="I59" s="29">
        <f t="shared" si="1"/>
        <v>24.994000000000007</v>
      </c>
    </row>
    <row r="60" spans="1:9" ht="18" x14ac:dyDescent="0.2">
      <c r="A60" s="31">
        <v>36584</v>
      </c>
      <c r="B60" s="30">
        <v>0.11</v>
      </c>
      <c r="C60" s="29">
        <f t="shared" si="0"/>
        <v>5.4600000000000024E-2</v>
      </c>
      <c r="H60" s="30">
        <v>25.76</v>
      </c>
      <c r="I60" s="29">
        <f t="shared" si="1"/>
        <v>24.928600000000003</v>
      </c>
    </row>
    <row r="61" spans="1:9" ht="18" x14ac:dyDescent="0.2">
      <c r="A61" s="31">
        <v>36591</v>
      </c>
      <c r="B61" s="30">
        <v>0.23</v>
      </c>
      <c r="C61" s="29">
        <f t="shared" si="0"/>
        <v>5.8400000000000028E-2</v>
      </c>
      <c r="H61" s="30">
        <v>24.99</v>
      </c>
      <c r="I61" s="29">
        <f t="shared" si="1"/>
        <v>24.930600000000005</v>
      </c>
    </row>
    <row r="62" spans="1:9" ht="18" x14ac:dyDescent="0.2">
      <c r="A62" s="31">
        <v>36598</v>
      </c>
      <c r="B62" s="30">
        <v>0.19</v>
      </c>
      <c r="C62" s="29">
        <f t="shared" si="0"/>
        <v>6.1400000000000024E-2</v>
      </c>
      <c r="H62" s="30">
        <v>28.9</v>
      </c>
      <c r="I62" s="29">
        <f t="shared" si="1"/>
        <v>24.929800000000004</v>
      </c>
    </row>
    <row r="63" spans="1:9" ht="18" x14ac:dyDescent="0.2">
      <c r="A63" s="31">
        <v>36605</v>
      </c>
      <c r="B63" s="30">
        <v>0.18</v>
      </c>
      <c r="C63" s="29">
        <f t="shared" si="0"/>
        <v>6.4200000000000021E-2</v>
      </c>
      <c r="H63" s="30">
        <v>30.55</v>
      </c>
      <c r="I63" s="29">
        <f t="shared" si="1"/>
        <v>25.014200000000006</v>
      </c>
    </row>
    <row r="64" spans="1:9" ht="18" x14ac:dyDescent="0.2">
      <c r="A64" s="31">
        <v>36612</v>
      </c>
      <c r="B64" s="30">
        <v>0.16</v>
      </c>
      <c r="C64" s="29">
        <f t="shared" si="0"/>
        <v>6.6600000000000034E-2</v>
      </c>
      <c r="H64" s="30">
        <v>27.69</v>
      </c>
      <c r="I64" s="29">
        <f t="shared" si="1"/>
        <v>25.090400000000002</v>
      </c>
    </row>
    <row r="65" spans="1:9" ht="18" x14ac:dyDescent="0.2">
      <c r="A65" s="31">
        <v>36619</v>
      </c>
      <c r="B65" s="30">
        <v>0.2</v>
      </c>
      <c r="C65" s="29">
        <f t="shared" si="0"/>
        <v>7.0000000000000021E-2</v>
      </c>
      <c r="H65" s="30">
        <v>27.43</v>
      </c>
      <c r="I65" s="29">
        <f t="shared" si="1"/>
        <v>25.106200000000005</v>
      </c>
    </row>
    <row r="66" spans="1:9" ht="18" x14ac:dyDescent="0.2">
      <c r="A66" s="31">
        <v>36626</v>
      </c>
      <c r="B66" s="30">
        <v>0.13</v>
      </c>
      <c r="C66" s="29">
        <f t="shared" si="0"/>
        <v>7.2000000000000022E-2</v>
      </c>
      <c r="H66" s="30">
        <v>25.18</v>
      </c>
      <c r="I66" s="29">
        <f t="shared" si="1"/>
        <v>25.122600000000002</v>
      </c>
    </row>
    <row r="67" spans="1:9" ht="18" x14ac:dyDescent="0.2">
      <c r="A67" s="31">
        <v>36633</v>
      </c>
      <c r="B67" s="30">
        <v>0.15</v>
      </c>
      <c r="C67" s="29">
        <f t="shared" si="0"/>
        <v>7.4400000000000022E-2</v>
      </c>
      <c r="H67" s="30">
        <v>24.68</v>
      </c>
      <c r="I67" s="29">
        <f t="shared" si="1"/>
        <v>25.110400000000006</v>
      </c>
    </row>
    <row r="68" spans="1:9" ht="18" x14ac:dyDescent="0.2">
      <c r="A68" s="31">
        <v>36640</v>
      </c>
      <c r="B68" s="30">
        <v>0.17</v>
      </c>
      <c r="C68" s="29">
        <f t="shared" si="0"/>
        <v>7.7200000000000019E-2</v>
      </c>
      <c r="H68" s="30">
        <v>23.03</v>
      </c>
      <c r="I68" s="29">
        <f t="shared" si="1"/>
        <v>25.114000000000011</v>
      </c>
    </row>
    <row r="69" spans="1:9" ht="18" x14ac:dyDescent="0.2">
      <c r="A69" s="31">
        <v>36647</v>
      </c>
      <c r="B69" s="30">
        <v>0.18</v>
      </c>
      <c r="C69" s="29">
        <f t="shared" si="0"/>
        <v>8.0200000000000007E-2</v>
      </c>
      <c r="H69" s="30">
        <v>23.05</v>
      </c>
      <c r="I69" s="29">
        <f t="shared" si="1"/>
        <v>25.080400000000012</v>
      </c>
    </row>
    <row r="70" spans="1:9" ht="18" x14ac:dyDescent="0.2">
      <c r="A70" s="31">
        <v>36654</v>
      </c>
      <c r="B70" s="30">
        <v>0.15</v>
      </c>
      <c r="C70" s="29">
        <f t="shared" si="0"/>
        <v>8.2600000000000035E-2</v>
      </c>
      <c r="H70" s="30">
        <v>22.87</v>
      </c>
      <c r="I70" s="29">
        <f t="shared" si="1"/>
        <v>25.048000000000012</v>
      </c>
    </row>
    <row r="71" spans="1:9" ht="18" x14ac:dyDescent="0.2">
      <c r="A71" s="31">
        <v>36661</v>
      </c>
      <c r="B71" s="30">
        <v>0.2</v>
      </c>
      <c r="C71" s="29">
        <f t="shared" si="0"/>
        <v>8.6000000000000035E-2</v>
      </c>
      <c r="H71" s="30">
        <v>23.15</v>
      </c>
      <c r="I71" s="29">
        <f t="shared" si="1"/>
        <v>25.053000000000008</v>
      </c>
    </row>
    <row r="72" spans="1:9" ht="18" x14ac:dyDescent="0.2">
      <c r="A72" s="31">
        <v>36668</v>
      </c>
      <c r="B72" s="30">
        <v>0.2</v>
      </c>
      <c r="C72" s="29">
        <f t="shared" si="0"/>
        <v>8.9400000000000035E-2</v>
      </c>
      <c r="H72" s="30">
        <v>22.51</v>
      </c>
      <c r="I72" s="29">
        <f t="shared" si="1"/>
        <v>25.051400000000008</v>
      </c>
    </row>
    <row r="73" spans="1:9" ht="18" x14ac:dyDescent="0.2">
      <c r="A73" s="31">
        <v>36675</v>
      </c>
      <c r="B73" s="30">
        <v>0.25</v>
      </c>
      <c r="C73" s="29">
        <f t="shared" si="0"/>
        <v>9.380000000000005E-2</v>
      </c>
      <c r="H73" s="30">
        <v>25.76</v>
      </c>
      <c r="I73" s="29">
        <f t="shared" si="1"/>
        <v>25.043600000000005</v>
      </c>
    </row>
    <row r="74" spans="1:9" ht="18" x14ac:dyDescent="0.2">
      <c r="A74" s="31">
        <v>36682</v>
      </c>
      <c r="B74" s="30">
        <v>0.24</v>
      </c>
      <c r="C74" s="29">
        <f t="shared" si="0"/>
        <v>9.8000000000000045E-2</v>
      </c>
      <c r="H74" s="30">
        <v>23.4</v>
      </c>
      <c r="I74" s="29">
        <f t="shared" si="1"/>
        <v>25.058000000000003</v>
      </c>
    </row>
    <row r="75" spans="1:9" ht="18" x14ac:dyDescent="0.2">
      <c r="A75" s="31">
        <v>36689</v>
      </c>
      <c r="B75" s="30">
        <v>0.28999999999999998</v>
      </c>
      <c r="C75" s="29">
        <f t="shared" si="0"/>
        <v>0.10300000000000002</v>
      </c>
      <c r="H75" s="30">
        <v>21.76</v>
      </c>
      <c r="I75" s="29">
        <f t="shared" si="1"/>
        <v>25.018400000000007</v>
      </c>
    </row>
    <row r="76" spans="1:9" ht="18" x14ac:dyDescent="0.2">
      <c r="A76" s="31">
        <v>36696</v>
      </c>
      <c r="B76" s="30">
        <v>0.28000000000000003</v>
      </c>
      <c r="C76" s="29">
        <f t="shared" si="0"/>
        <v>0.10780000000000003</v>
      </c>
      <c r="H76" s="30">
        <v>22.45</v>
      </c>
      <c r="I76" s="29">
        <f t="shared" si="1"/>
        <v>24.921800000000005</v>
      </c>
    </row>
    <row r="77" spans="1:9" ht="18" x14ac:dyDescent="0.2">
      <c r="A77" s="31">
        <v>36703</v>
      </c>
      <c r="B77" s="30">
        <v>0.24</v>
      </c>
      <c r="C77" s="29">
        <f t="shared" si="0"/>
        <v>0.11180000000000004</v>
      </c>
      <c r="H77" s="30">
        <v>22.06</v>
      </c>
      <c r="I77" s="29">
        <f t="shared" si="1"/>
        <v>24.835799999999999</v>
      </c>
    </row>
    <row r="78" spans="1:9" ht="18" x14ac:dyDescent="0.2">
      <c r="A78" s="31">
        <v>36710</v>
      </c>
      <c r="B78" s="30">
        <v>0.22</v>
      </c>
      <c r="C78" s="29">
        <f t="shared" si="0"/>
        <v>0.11540000000000003</v>
      </c>
      <c r="H78" s="30">
        <v>23.97</v>
      </c>
      <c r="I78" s="29">
        <f t="shared" si="1"/>
        <v>24.763199999999998</v>
      </c>
    </row>
    <row r="79" spans="1:9" ht="18" x14ac:dyDescent="0.2">
      <c r="A79" s="31">
        <v>36717</v>
      </c>
      <c r="B79" s="30">
        <v>0.28000000000000003</v>
      </c>
      <c r="C79" s="29">
        <f t="shared" si="0"/>
        <v>0.12020000000000003</v>
      </c>
      <c r="H79" s="30">
        <v>25.32</v>
      </c>
      <c r="I79" s="29">
        <f t="shared" si="1"/>
        <v>24.730399999999999</v>
      </c>
    </row>
    <row r="80" spans="1:9" ht="18" x14ac:dyDescent="0.2">
      <c r="A80" s="31">
        <v>36724</v>
      </c>
      <c r="B80" s="30">
        <v>0.27</v>
      </c>
      <c r="C80" s="29">
        <f t="shared" si="0"/>
        <v>0.12480000000000004</v>
      </c>
      <c r="H80" s="30">
        <v>25.43</v>
      </c>
      <c r="I80" s="29">
        <f t="shared" si="1"/>
        <v>24.752799999999997</v>
      </c>
    </row>
    <row r="81" spans="1:9" ht="18" x14ac:dyDescent="0.2">
      <c r="A81" s="31">
        <v>36731</v>
      </c>
      <c r="B81" s="30">
        <v>0.21</v>
      </c>
      <c r="C81" s="29">
        <f t="shared" si="0"/>
        <v>0.12820000000000006</v>
      </c>
      <c r="H81" s="30">
        <v>23.33</v>
      </c>
      <c r="I81" s="29">
        <f t="shared" si="1"/>
        <v>24.785599999999999</v>
      </c>
    </row>
    <row r="82" spans="1:9" ht="18" x14ac:dyDescent="0.2">
      <c r="A82" s="31">
        <v>36738</v>
      </c>
      <c r="B82" s="30">
        <v>0.24</v>
      </c>
      <c r="C82" s="29">
        <f t="shared" si="0"/>
        <v>0.13200000000000003</v>
      </c>
      <c r="H82" s="30">
        <v>25.29</v>
      </c>
      <c r="I82" s="29">
        <f t="shared" si="1"/>
        <v>24.755199999999995</v>
      </c>
    </row>
    <row r="83" spans="1:9" ht="18" x14ac:dyDescent="0.2">
      <c r="A83" s="31">
        <v>36745</v>
      </c>
      <c r="B83" s="30">
        <v>0.25</v>
      </c>
      <c r="C83" s="29">
        <f t="shared" si="0"/>
        <v>0.13600000000000004</v>
      </c>
      <c r="H83" s="30">
        <v>25.08</v>
      </c>
      <c r="I83" s="29">
        <f t="shared" si="1"/>
        <v>24.734999999999996</v>
      </c>
    </row>
    <row r="84" spans="1:9" ht="18" x14ac:dyDescent="0.2">
      <c r="A84" s="31">
        <v>36752</v>
      </c>
      <c r="B84" s="30">
        <v>0.28999999999999998</v>
      </c>
      <c r="C84" s="29">
        <f t="shared" si="0"/>
        <v>0.14080000000000006</v>
      </c>
      <c r="H84" s="30">
        <v>24.47</v>
      </c>
      <c r="I84" s="29">
        <f t="shared" si="1"/>
        <v>24.714399999999991</v>
      </c>
    </row>
    <row r="85" spans="1:9" ht="18" x14ac:dyDescent="0.2">
      <c r="A85" s="31">
        <v>36759</v>
      </c>
      <c r="B85" s="30">
        <v>0.28999999999999998</v>
      </c>
      <c r="C85" s="29">
        <f t="shared" si="0"/>
        <v>0.14560000000000003</v>
      </c>
      <c r="H85" s="30">
        <v>25.11</v>
      </c>
      <c r="I85" s="29">
        <f t="shared" si="1"/>
        <v>24.669999999999991</v>
      </c>
    </row>
    <row r="86" spans="1:9" ht="18" x14ac:dyDescent="0.2">
      <c r="A86" s="31">
        <v>36766</v>
      </c>
      <c r="B86" s="30">
        <v>0.3</v>
      </c>
      <c r="C86" s="29">
        <f t="shared" si="0"/>
        <v>0.15060000000000001</v>
      </c>
      <c r="H86" s="30">
        <v>27.15</v>
      </c>
      <c r="I86" s="29">
        <f t="shared" si="1"/>
        <v>24.685799999999993</v>
      </c>
    </row>
    <row r="87" spans="1:9" ht="18" x14ac:dyDescent="0.2">
      <c r="A87" s="31">
        <v>36773</v>
      </c>
      <c r="B87" s="30">
        <v>0.28000000000000003</v>
      </c>
      <c r="C87" s="29">
        <f t="shared" si="0"/>
        <v>0.15560000000000004</v>
      </c>
      <c r="H87" s="30">
        <v>27.88</v>
      </c>
      <c r="I87" s="29">
        <f t="shared" si="1"/>
        <v>24.741599999999991</v>
      </c>
    </row>
    <row r="88" spans="1:9" ht="18" x14ac:dyDescent="0.2">
      <c r="A88" s="31">
        <v>36780</v>
      </c>
      <c r="B88" s="30">
        <v>0.27</v>
      </c>
      <c r="C88" s="29">
        <f t="shared" si="0"/>
        <v>0.16020000000000006</v>
      </c>
      <c r="H88" s="30">
        <v>23.69</v>
      </c>
      <c r="I88" s="29">
        <f t="shared" si="1"/>
        <v>24.825799999999994</v>
      </c>
    </row>
    <row r="89" spans="1:9" ht="18" x14ac:dyDescent="0.2">
      <c r="A89" s="31">
        <v>36787</v>
      </c>
      <c r="B89" s="30">
        <v>0.27</v>
      </c>
      <c r="C89" s="29">
        <f t="shared" si="0"/>
        <v>0.16480000000000003</v>
      </c>
      <c r="H89" s="30">
        <v>22.78</v>
      </c>
      <c r="I89" s="29">
        <f t="shared" si="1"/>
        <v>24.834399999999995</v>
      </c>
    </row>
    <row r="90" spans="1:9" ht="18" x14ac:dyDescent="0.2">
      <c r="A90" s="31">
        <v>36794</v>
      </c>
      <c r="B90" s="30">
        <v>0.31</v>
      </c>
      <c r="C90" s="29">
        <f t="shared" si="0"/>
        <v>0.17020000000000002</v>
      </c>
      <c r="H90" s="30">
        <v>22.27</v>
      </c>
      <c r="I90" s="29">
        <f t="shared" si="1"/>
        <v>24.8154</v>
      </c>
    </row>
    <row r="91" spans="1:9" ht="18" x14ac:dyDescent="0.2">
      <c r="A91" s="31">
        <v>36801</v>
      </c>
      <c r="B91" s="30">
        <v>0.26</v>
      </c>
      <c r="C91" s="29">
        <f t="shared" si="0"/>
        <v>0.17460000000000003</v>
      </c>
      <c r="H91" s="30">
        <v>20.67</v>
      </c>
      <c r="I91" s="29">
        <f t="shared" si="1"/>
        <v>24.840799999999998</v>
      </c>
    </row>
    <row r="92" spans="1:9" ht="18" x14ac:dyDescent="0.2">
      <c r="A92" s="31">
        <v>36808</v>
      </c>
      <c r="B92" s="30">
        <v>0.25</v>
      </c>
      <c r="C92" s="29">
        <f t="shared" si="0"/>
        <v>0.17880000000000001</v>
      </c>
      <c r="H92" s="30">
        <v>19.27</v>
      </c>
      <c r="I92" s="29">
        <f t="shared" si="1"/>
        <v>24.745000000000001</v>
      </c>
    </row>
    <row r="93" spans="1:9" ht="18" x14ac:dyDescent="0.2">
      <c r="A93" s="31">
        <v>36815</v>
      </c>
      <c r="B93" s="30">
        <v>0.27</v>
      </c>
      <c r="C93" s="29">
        <f t="shared" si="0"/>
        <v>0.18320000000000003</v>
      </c>
      <c r="H93" s="30">
        <v>18.63</v>
      </c>
      <c r="I93" s="29">
        <f t="shared" si="1"/>
        <v>24.5794</v>
      </c>
    </row>
    <row r="94" spans="1:9" ht="18" x14ac:dyDescent="0.2">
      <c r="A94" s="31">
        <v>36822</v>
      </c>
      <c r="B94" s="30">
        <v>0.23</v>
      </c>
      <c r="C94" s="29">
        <f t="shared" si="0"/>
        <v>0.18660000000000004</v>
      </c>
      <c r="H94" s="30">
        <v>20.73</v>
      </c>
      <c r="I94" s="29">
        <f t="shared" si="1"/>
        <v>24.407200000000003</v>
      </c>
    </row>
    <row r="95" spans="1:9" ht="18" x14ac:dyDescent="0.2">
      <c r="A95" s="31">
        <v>36829</v>
      </c>
      <c r="B95" s="30">
        <v>0.27</v>
      </c>
      <c r="C95" s="29">
        <f t="shared" si="0"/>
        <v>0.19040000000000001</v>
      </c>
      <c r="H95" s="30">
        <v>21.58</v>
      </c>
      <c r="I95" s="29">
        <f t="shared" si="1"/>
        <v>24.285000000000004</v>
      </c>
    </row>
    <row r="96" spans="1:9" ht="18" x14ac:dyDescent="0.2">
      <c r="A96" s="31">
        <v>36836</v>
      </c>
      <c r="B96" s="30">
        <v>0.22</v>
      </c>
      <c r="C96" s="29">
        <f t="shared" si="0"/>
        <v>0.19340000000000004</v>
      </c>
      <c r="H96" s="30">
        <v>20.79</v>
      </c>
      <c r="I96" s="29">
        <f t="shared" si="1"/>
        <v>24.192400000000003</v>
      </c>
    </row>
    <row r="97" spans="1:9" ht="18" x14ac:dyDescent="0.2">
      <c r="A97" s="31">
        <v>36843</v>
      </c>
      <c r="B97" s="30">
        <v>0.24</v>
      </c>
      <c r="C97" s="29">
        <f t="shared" si="0"/>
        <v>0.19680000000000003</v>
      </c>
      <c r="H97" s="30">
        <v>19.239999999999998</v>
      </c>
      <c r="I97" s="29">
        <f t="shared" si="1"/>
        <v>24.108800000000002</v>
      </c>
    </row>
    <row r="98" spans="1:9" ht="18" x14ac:dyDescent="0.2">
      <c r="A98" s="31">
        <v>36850</v>
      </c>
      <c r="B98" s="30">
        <v>0.22</v>
      </c>
      <c r="C98" s="29">
        <f t="shared" si="0"/>
        <v>0.19980000000000003</v>
      </c>
      <c r="H98" s="30">
        <v>19</v>
      </c>
      <c r="I98" s="29">
        <f t="shared" si="1"/>
        <v>23.975600000000004</v>
      </c>
    </row>
    <row r="99" spans="1:9" ht="18" x14ac:dyDescent="0.2">
      <c r="A99" s="31">
        <v>36857</v>
      </c>
      <c r="B99" s="30">
        <v>0.17</v>
      </c>
      <c r="C99" s="29">
        <f t="shared" si="0"/>
        <v>0.20180000000000003</v>
      </c>
      <c r="H99" s="30">
        <v>18.12</v>
      </c>
      <c r="I99" s="29">
        <f t="shared" si="1"/>
        <v>23.857000000000003</v>
      </c>
    </row>
    <row r="100" spans="1:9" ht="18" x14ac:dyDescent="0.2">
      <c r="A100" s="31">
        <v>36864</v>
      </c>
      <c r="B100" s="30">
        <v>0.19</v>
      </c>
      <c r="C100" s="29">
        <f t="shared" si="0"/>
        <v>0.20380000000000004</v>
      </c>
      <c r="H100" s="30">
        <v>19.420000000000002</v>
      </c>
      <c r="I100" s="29">
        <f t="shared" si="1"/>
        <v>23.76</v>
      </c>
    </row>
    <row r="101" spans="1:9" ht="18" x14ac:dyDescent="0.2">
      <c r="A101" s="31">
        <v>36871</v>
      </c>
      <c r="B101" s="30">
        <v>0.14000000000000001</v>
      </c>
      <c r="C101" s="29">
        <f t="shared" si="0"/>
        <v>0.20480000000000004</v>
      </c>
      <c r="H101" s="30">
        <v>21.33</v>
      </c>
      <c r="I101" s="29">
        <f t="shared" si="1"/>
        <v>23.659000000000002</v>
      </c>
    </row>
    <row r="102" spans="1:9" ht="18" x14ac:dyDescent="0.2">
      <c r="A102" s="31">
        <v>36878</v>
      </c>
      <c r="B102" s="30">
        <v>0.13</v>
      </c>
      <c r="C102" s="29">
        <f t="shared" si="0"/>
        <v>0.20580000000000007</v>
      </c>
      <c r="H102" s="30">
        <v>22.15</v>
      </c>
      <c r="I102" s="29">
        <f t="shared" si="1"/>
        <v>23.594999999999995</v>
      </c>
    </row>
    <row r="103" spans="1:9" ht="18" x14ac:dyDescent="0.2">
      <c r="A103" s="31">
        <v>36885</v>
      </c>
      <c r="B103" s="30">
        <v>0.13</v>
      </c>
      <c r="C103" s="29">
        <f t="shared" si="0"/>
        <v>0.20680000000000004</v>
      </c>
      <c r="H103" s="30">
        <v>22.06</v>
      </c>
      <c r="I103" s="29">
        <f t="shared" si="1"/>
        <v>23.578600000000002</v>
      </c>
    </row>
    <row r="104" spans="1:9" ht="18" x14ac:dyDescent="0.2">
      <c r="A104" s="31">
        <v>36892</v>
      </c>
      <c r="B104" s="30">
        <v>0.14000000000000001</v>
      </c>
      <c r="C104" s="29">
        <f t="shared" si="0"/>
        <v>0.20780000000000004</v>
      </c>
      <c r="H104" s="30">
        <v>23.76</v>
      </c>
      <c r="I104" s="29">
        <f t="shared" si="1"/>
        <v>23.550599999999999</v>
      </c>
    </row>
    <row r="105" spans="1:9" ht="18" x14ac:dyDescent="0.2">
      <c r="A105" s="31">
        <v>36899</v>
      </c>
      <c r="B105" s="30">
        <v>0.18</v>
      </c>
      <c r="C105" s="29">
        <f t="shared" si="0"/>
        <v>0.21000000000000008</v>
      </c>
      <c r="H105" s="30">
        <v>26.07</v>
      </c>
      <c r="I105" s="29">
        <f t="shared" si="1"/>
        <v>23.562599999999996</v>
      </c>
    </row>
    <row r="106" spans="1:9" ht="18" x14ac:dyDescent="0.2">
      <c r="A106" s="31">
        <v>36906</v>
      </c>
      <c r="B106" s="30">
        <v>0.2</v>
      </c>
      <c r="C106" s="29">
        <f t="shared" si="0"/>
        <v>0.21240000000000006</v>
      </c>
      <c r="H106" s="30">
        <v>24.73</v>
      </c>
      <c r="I106" s="29">
        <f t="shared" si="1"/>
        <v>23.596999999999998</v>
      </c>
    </row>
    <row r="107" spans="1:9" ht="18" x14ac:dyDescent="0.2">
      <c r="A107" s="31">
        <v>36913</v>
      </c>
      <c r="B107" s="30">
        <v>0.19</v>
      </c>
      <c r="C107" s="29">
        <f t="shared" si="0"/>
        <v>0.21420000000000006</v>
      </c>
      <c r="H107" s="30">
        <v>26.5</v>
      </c>
      <c r="I107" s="29">
        <f t="shared" si="1"/>
        <v>23.572399999999998</v>
      </c>
    </row>
    <row r="108" spans="1:9" ht="18" x14ac:dyDescent="0.2">
      <c r="A108" s="31">
        <v>36920</v>
      </c>
      <c r="B108" s="30">
        <v>0.18</v>
      </c>
      <c r="C108" s="29">
        <f t="shared" si="0"/>
        <v>0.21520000000000003</v>
      </c>
      <c r="H108" s="30">
        <v>26.72</v>
      </c>
      <c r="I108" s="29">
        <f t="shared" si="1"/>
        <v>23.577599999999997</v>
      </c>
    </row>
    <row r="109" spans="1:9" ht="18" x14ac:dyDescent="0.2">
      <c r="A109" s="31">
        <v>36927</v>
      </c>
      <c r="B109" s="30">
        <v>0.17</v>
      </c>
      <c r="C109" s="29">
        <f t="shared" si="0"/>
        <v>0.21620000000000006</v>
      </c>
      <c r="H109" s="30">
        <v>25.41</v>
      </c>
      <c r="I109" s="29">
        <f t="shared" si="1"/>
        <v>23.637199999999996</v>
      </c>
    </row>
    <row r="110" spans="1:9" ht="18" x14ac:dyDescent="0.2">
      <c r="A110" s="31">
        <v>36934</v>
      </c>
      <c r="B110" s="30">
        <v>0.23</v>
      </c>
      <c r="C110" s="29">
        <f t="shared" si="0"/>
        <v>0.21860000000000007</v>
      </c>
      <c r="H110" s="30">
        <v>25.43</v>
      </c>
      <c r="I110" s="29">
        <f t="shared" si="1"/>
        <v>23.663400000000003</v>
      </c>
    </row>
    <row r="111" spans="1:9" ht="18" x14ac:dyDescent="0.2">
      <c r="A111" s="31">
        <v>36941</v>
      </c>
      <c r="B111" s="30">
        <v>0.21</v>
      </c>
      <c r="C111" s="29">
        <f t="shared" si="0"/>
        <v>0.21820000000000006</v>
      </c>
      <c r="H111" s="30">
        <v>23.01</v>
      </c>
      <c r="I111" s="29">
        <f t="shared" si="1"/>
        <v>23.656800000000004</v>
      </c>
    </row>
    <row r="112" spans="1:9" ht="18" x14ac:dyDescent="0.2">
      <c r="A112" s="31">
        <v>36948</v>
      </c>
      <c r="B112" s="30">
        <v>0.17</v>
      </c>
      <c r="C112" s="29">
        <f t="shared" si="0"/>
        <v>0.21780000000000008</v>
      </c>
      <c r="H112" s="30">
        <v>22.4</v>
      </c>
      <c r="I112" s="29">
        <f t="shared" si="1"/>
        <v>23.617200000000004</v>
      </c>
    </row>
    <row r="113" spans="1:9" ht="18" x14ac:dyDescent="0.2">
      <c r="A113" s="31">
        <v>36955</v>
      </c>
      <c r="B113" s="30">
        <v>0.19</v>
      </c>
      <c r="C113" s="29">
        <f t="shared" si="0"/>
        <v>0.218</v>
      </c>
      <c r="H113" s="30">
        <v>23.94</v>
      </c>
      <c r="I113" s="29">
        <f t="shared" si="1"/>
        <v>23.487200000000001</v>
      </c>
    </row>
    <row r="114" spans="1:9" ht="18" x14ac:dyDescent="0.2">
      <c r="A114" s="31">
        <v>36962</v>
      </c>
      <c r="B114" s="30">
        <v>0.23</v>
      </c>
      <c r="C114" s="29">
        <f t="shared" si="0"/>
        <v>0.21940000000000001</v>
      </c>
      <c r="H114" s="30">
        <v>21.8</v>
      </c>
      <c r="I114" s="29">
        <f t="shared" si="1"/>
        <v>23.355000000000004</v>
      </c>
    </row>
    <row r="115" spans="1:9" ht="18" x14ac:dyDescent="0.2">
      <c r="A115" s="31">
        <v>36969</v>
      </c>
      <c r="B115" s="30">
        <v>0.26</v>
      </c>
      <c r="C115" s="29">
        <f t="shared" ref="C115:C178" si="2">AVERAGE(B66:B115)</f>
        <v>0.22060000000000002</v>
      </c>
      <c r="H115" s="30">
        <v>20.399999999999999</v>
      </c>
      <c r="I115" s="29">
        <f t="shared" si="1"/>
        <v>23.237200000000001</v>
      </c>
    </row>
    <row r="116" spans="1:9" ht="18" x14ac:dyDescent="0.2">
      <c r="A116" s="31">
        <v>36976</v>
      </c>
      <c r="B116" s="30">
        <v>0.25</v>
      </c>
      <c r="C116" s="29">
        <f t="shared" si="2"/>
        <v>0.223</v>
      </c>
      <c r="H116" s="30">
        <v>21.96</v>
      </c>
      <c r="I116" s="29">
        <f t="shared" ref="I116:I179" si="3">AVERAGE(H66:H115)</f>
        <v>23.096600000000002</v>
      </c>
    </row>
    <row r="117" spans="1:9" ht="18" x14ac:dyDescent="0.2">
      <c r="A117" s="31">
        <v>36983</v>
      </c>
      <c r="B117" s="30">
        <v>0.24</v>
      </c>
      <c r="C117" s="29">
        <f t="shared" si="2"/>
        <v>0.2248</v>
      </c>
      <c r="H117" s="30">
        <v>19.75</v>
      </c>
      <c r="I117" s="29">
        <f t="shared" si="3"/>
        <v>23.032200000000003</v>
      </c>
    </row>
    <row r="118" spans="1:9" ht="18" x14ac:dyDescent="0.2">
      <c r="A118" s="31">
        <v>36990</v>
      </c>
      <c r="B118" s="30">
        <v>0.27</v>
      </c>
      <c r="C118" s="29">
        <f t="shared" si="2"/>
        <v>0.2268</v>
      </c>
      <c r="H118" s="30">
        <v>22.37</v>
      </c>
      <c r="I118" s="29">
        <f t="shared" si="3"/>
        <v>22.933600000000002</v>
      </c>
    </row>
    <row r="119" spans="1:9" ht="18" x14ac:dyDescent="0.2">
      <c r="A119" s="31">
        <v>36997</v>
      </c>
      <c r="B119" s="30">
        <v>0.33</v>
      </c>
      <c r="C119" s="29">
        <f t="shared" si="2"/>
        <v>0.22979999999999998</v>
      </c>
      <c r="H119" s="30">
        <v>23.57</v>
      </c>
      <c r="I119" s="29">
        <f t="shared" si="3"/>
        <v>22.920399999999994</v>
      </c>
    </row>
    <row r="120" spans="1:9" ht="18" x14ac:dyDescent="0.2">
      <c r="A120" s="31">
        <v>37004</v>
      </c>
      <c r="B120" s="30">
        <v>0.3</v>
      </c>
      <c r="C120" s="29">
        <f t="shared" si="2"/>
        <v>0.23279999999999998</v>
      </c>
      <c r="H120" s="30">
        <v>24.58</v>
      </c>
      <c r="I120" s="29">
        <f t="shared" si="3"/>
        <v>22.930799999999994</v>
      </c>
    </row>
    <row r="121" spans="1:9" ht="18" x14ac:dyDescent="0.2">
      <c r="A121" s="31">
        <v>37011</v>
      </c>
      <c r="B121" s="30">
        <v>0.34</v>
      </c>
      <c r="C121" s="29">
        <f t="shared" si="2"/>
        <v>0.23559999999999998</v>
      </c>
      <c r="H121" s="30">
        <v>24.95</v>
      </c>
      <c r="I121" s="29">
        <f t="shared" si="3"/>
        <v>22.964999999999996</v>
      </c>
    </row>
    <row r="122" spans="1:9" ht="18" x14ac:dyDescent="0.2">
      <c r="A122" s="31">
        <v>37018</v>
      </c>
      <c r="B122" s="30">
        <v>0.3</v>
      </c>
      <c r="C122" s="29">
        <f t="shared" si="2"/>
        <v>0.23760000000000001</v>
      </c>
      <c r="H122" s="30">
        <v>22.9</v>
      </c>
      <c r="I122" s="29">
        <f t="shared" si="3"/>
        <v>23.000999999999994</v>
      </c>
    </row>
    <row r="123" spans="1:9" ht="18" x14ac:dyDescent="0.2">
      <c r="A123" s="31">
        <v>37025</v>
      </c>
      <c r="B123" s="30">
        <v>0.33</v>
      </c>
      <c r="C123" s="29">
        <f t="shared" si="2"/>
        <v>0.23920000000000005</v>
      </c>
      <c r="H123" s="30">
        <v>23.75</v>
      </c>
      <c r="I123" s="29">
        <f t="shared" si="3"/>
        <v>23.008799999999997</v>
      </c>
    </row>
    <row r="124" spans="1:9" ht="18" x14ac:dyDescent="0.2">
      <c r="A124" s="31">
        <v>37032</v>
      </c>
      <c r="B124" s="30">
        <v>0.35</v>
      </c>
      <c r="C124" s="29">
        <f t="shared" si="2"/>
        <v>0.24140000000000003</v>
      </c>
      <c r="H124" s="30">
        <v>24.02</v>
      </c>
      <c r="I124" s="29">
        <f t="shared" si="3"/>
        <v>22.968599999999995</v>
      </c>
    </row>
    <row r="125" spans="1:9" ht="18" x14ac:dyDescent="0.2">
      <c r="A125" s="31">
        <v>37039</v>
      </c>
      <c r="B125" s="30">
        <v>0.35</v>
      </c>
      <c r="C125" s="29">
        <f t="shared" si="2"/>
        <v>0.24259999999999998</v>
      </c>
      <c r="H125" s="30">
        <v>24.11</v>
      </c>
      <c r="I125" s="29">
        <f t="shared" si="3"/>
        <v>22.980999999999998</v>
      </c>
    </row>
    <row r="126" spans="1:9" ht="18" x14ac:dyDescent="0.2">
      <c r="A126" s="31">
        <v>37046</v>
      </c>
      <c r="B126" s="30">
        <v>0.37</v>
      </c>
      <c r="C126" s="29">
        <f t="shared" si="2"/>
        <v>0.24439999999999998</v>
      </c>
      <c r="H126" s="30">
        <v>21.8</v>
      </c>
      <c r="I126" s="29">
        <f t="shared" si="3"/>
        <v>23.028000000000002</v>
      </c>
    </row>
    <row r="127" spans="1:9" ht="18" x14ac:dyDescent="0.2">
      <c r="A127" s="31">
        <v>37053</v>
      </c>
      <c r="B127" s="30">
        <v>0.36</v>
      </c>
      <c r="C127" s="29">
        <f t="shared" si="2"/>
        <v>0.24679999999999996</v>
      </c>
      <c r="H127" s="30">
        <v>22.14</v>
      </c>
      <c r="I127" s="29">
        <f t="shared" si="3"/>
        <v>23.015000000000001</v>
      </c>
    </row>
    <row r="128" spans="1:9" ht="18" x14ac:dyDescent="0.2">
      <c r="A128" s="31">
        <v>37060</v>
      </c>
      <c r="B128" s="30">
        <v>0.35</v>
      </c>
      <c r="C128" s="29">
        <f t="shared" si="2"/>
        <v>0.24939999999999998</v>
      </c>
      <c r="H128" s="30">
        <v>22.63</v>
      </c>
      <c r="I128" s="29">
        <f t="shared" si="3"/>
        <v>23.016600000000004</v>
      </c>
    </row>
    <row r="129" spans="1:9" ht="18" x14ac:dyDescent="0.2">
      <c r="A129" s="31">
        <v>37067</v>
      </c>
      <c r="B129" s="30">
        <v>0.35</v>
      </c>
      <c r="C129" s="29">
        <f t="shared" si="2"/>
        <v>0.25079999999999997</v>
      </c>
      <c r="H129" s="30">
        <v>21.93</v>
      </c>
      <c r="I129" s="29">
        <f t="shared" si="3"/>
        <v>22.989799999999999</v>
      </c>
    </row>
    <row r="130" spans="1:9" ht="18" x14ac:dyDescent="0.2">
      <c r="A130" s="31">
        <v>37074</v>
      </c>
      <c r="B130" s="30">
        <v>0.31</v>
      </c>
      <c r="C130" s="29">
        <f t="shared" si="2"/>
        <v>0.25159999999999999</v>
      </c>
      <c r="H130" s="30">
        <v>21.95</v>
      </c>
      <c r="I130" s="29">
        <f t="shared" si="3"/>
        <v>22.922000000000004</v>
      </c>
    </row>
    <row r="131" spans="1:9" ht="18" x14ac:dyDescent="0.2">
      <c r="A131" s="31">
        <v>37081</v>
      </c>
      <c r="B131" s="30">
        <v>0.31</v>
      </c>
      <c r="C131" s="29">
        <f t="shared" si="2"/>
        <v>0.25359999999999999</v>
      </c>
      <c r="H131" s="30">
        <v>21.14</v>
      </c>
      <c r="I131" s="29">
        <f t="shared" si="3"/>
        <v>22.852400000000006</v>
      </c>
    </row>
    <row r="132" spans="1:9" ht="18" x14ac:dyDescent="0.2">
      <c r="A132" s="31">
        <v>37088</v>
      </c>
      <c r="B132" s="30">
        <v>0.28999999999999998</v>
      </c>
      <c r="C132" s="29">
        <f t="shared" si="2"/>
        <v>0.25459999999999999</v>
      </c>
      <c r="H132" s="30">
        <v>21.56</v>
      </c>
      <c r="I132" s="29">
        <f t="shared" si="3"/>
        <v>22.808600000000009</v>
      </c>
    </row>
    <row r="133" spans="1:9" ht="18" x14ac:dyDescent="0.2">
      <c r="A133" s="31">
        <v>37095</v>
      </c>
      <c r="B133" s="30">
        <v>0.31</v>
      </c>
      <c r="C133" s="29">
        <f t="shared" si="2"/>
        <v>0.25580000000000003</v>
      </c>
      <c r="H133" s="30">
        <v>21.96</v>
      </c>
      <c r="I133" s="29">
        <f t="shared" si="3"/>
        <v>22.734000000000005</v>
      </c>
    </row>
    <row r="134" spans="1:9" ht="18" x14ac:dyDescent="0.2">
      <c r="A134" s="31">
        <v>37102</v>
      </c>
      <c r="B134" s="30">
        <v>0.33</v>
      </c>
      <c r="C134" s="29">
        <f t="shared" si="2"/>
        <v>0.25659999999999999</v>
      </c>
      <c r="H134" s="30">
        <v>21.52</v>
      </c>
      <c r="I134" s="29">
        <f t="shared" si="3"/>
        <v>22.671600000000002</v>
      </c>
    </row>
    <row r="135" spans="1:9" ht="18" x14ac:dyDescent="0.2">
      <c r="A135" s="31">
        <v>37109</v>
      </c>
      <c r="B135" s="30">
        <v>0.32</v>
      </c>
      <c r="C135" s="29">
        <f t="shared" si="2"/>
        <v>0.25720000000000004</v>
      </c>
      <c r="H135" s="30">
        <v>20.99</v>
      </c>
      <c r="I135" s="29">
        <f t="shared" si="3"/>
        <v>22.6126</v>
      </c>
    </row>
    <row r="136" spans="1:9" ht="18" x14ac:dyDescent="0.2">
      <c r="A136" s="31">
        <v>37116</v>
      </c>
      <c r="B136" s="30">
        <v>0.32</v>
      </c>
      <c r="C136" s="29">
        <f t="shared" si="2"/>
        <v>0.2576</v>
      </c>
      <c r="H136" s="30">
        <v>20.61</v>
      </c>
      <c r="I136" s="29">
        <f t="shared" si="3"/>
        <v>22.530200000000001</v>
      </c>
    </row>
    <row r="137" spans="1:9" ht="18" x14ac:dyDescent="0.2">
      <c r="A137" s="31">
        <v>37123</v>
      </c>
      <c r="B137" s="30">
        <v>0.33</v>
      </c>
      <c r="C137" s="29">
        <f t="shared" si="2"/>
        <v>0.2586</v>
      </c>
      <c r="H137" s="30">
        <v>20.329999999999998</v>
      </c>
      <c r="I137" s="29">
        <f t="shared" si="3"/>
        <v>22.399399999999996</v>
      </c>
    </row>
    <row r="138" spans="1:9" ht="18" x14ac:dyDescent="0.2">
      <c r="A138" s="31">
        <v>37130</v>
      </c>
      <c r="B138" s="30">
        <v>0.32</v>
      </c>
      <c r="C138" s="29">
        <f t="shared" si="2"/>
        <v>0.2596</v>
      </c>
      <c r="H138" s="30">
        <v>19.57</v>
      </c>
      <c r="I138" s="29">
        <f t="shared" si="3"/>
        <v>22.248399999999997</v>
      </c>
    </row>
    <row r="139" spans="1:9" ht="18" x14ac:dyDescent="0.2">
      <c r="A139" s="31">
        <v>37137</v>
      </c>
      <c r="B139" s="30">
        <v>0.3</v>
      </c>
      <c r="C139" s="29">
        <f t="shared" si="2"/>
        <v>0.26020000000000004</v>
      </c>
      <c r="H139" s="30">
        <v>18.38</v>
      </c>
      <c r="I139" s="29">
        <f t="shared" si="3"/>
        <v>22.165999999999993</v>
      </c>
    </row>
    <row r="140" spans="1:9" ht="18" x14ac:dyDescent="0.2">
      <c r="A140" s="31">
        <v>37144</v>
      </c>
      <c r="B140" s="30">
        <v>0.28999999999999998</v>
      </c>
      <c r="C140" s="29">
        <f t="shared" si="2"/>
        <v>0.25980000000000003</v>
      </c>
      <c r="H140" s="30">
        <v>18.510000000000002</v>
      </c>
      <c r="I140" s="29">
        <f t="shared" si="3"/>
        <v>22.077999999999996</v>
      </c>
    </row>
    <row r="141" spans="1:9" ht="18" x14ac:dyDescent="0.2">
      <c r="A141" s="31">
        <v>37151</v>
      </c>
      <c r="B141" s="30">
        <v>0.21</v>
      </c>
      <c r="C141" s="29">
        <f t="shared" si="2"/>
        <v>0.25880000000000003</v>
      </c>
      <c r="H141" s="30">
        <v>15.31</v>
      </c>
      <c r="I141" s="29">
        <f t="shared" si="3"/>
        <v>22.002800000000001</v>
      </c>
    </row>
    <row r="142" spans="1:9" ht="18" x14ac:dyDescent="0.2">
      <c r="A142" s="31">
        <v>37158</v>
      </c>
      <c r="B142" s="30">
        <v>0.21</v>
      </c>
      <c r="C142" s="29">
        <f t="shared" si="2"/>
        <v>0.25800000000000006</v>
      </c>
      <c r="H142" s="30">
        <v>16.97</v>
      </c>
      <c r="I142" s="29">
        <f t="shared" si="3"/>
        <v>21.895600000000005</v>
      </c>
    </row>
    <row r="143" spans="1:9" ht="18" x14ac:dyDescent="0.2">
      <c r="A143" s="31">
        <v>37165</v>
      </c>
      <c r="B143" s="30">
        <v>0.25</v>
      </c>
      <c r="C143" s="29">
        <f t="shared" si="2"/>
        <v>0.25760000000000005</v>
      </c>
      <c r="H143" s="30">
        <v>16.600000000000001</v>
      </c>
      <c r="I143" s="29">
        <f t="shared" si="3"/>
        <v>21.849600000000006</v>
      </c>
    </row>
    <row r="144" spans="1:9" ht="18" x14ac:dyDescent="0.2">
      <c r="A144" s="31">
        <v>37172</v>
      </c>
      <c r="B144" s="30">
        <v>0.31</v>
      </c>
      <c r="C144" s="29">
        <f t="shared" si="2"/>
        <v>0.25920000000000004</v>
      </c>
      <c r="H144" s="30">
        <v>16.5</v>
      </c>
      <c r="I144" s="29">
        <f t="shared" si="3"/>
        <v>21.809000000000001</v>
      </c>
    </row>
    <row r="145" spans="1:9" ht="18" x14ac:dyDescent="0.2">
      <c r="A145" s="31">
        <v>37179</v>
      </c>
      <c r="B145" s="30">
        <v>0.34</v>
      </c>
      <c r="C145" s="29">
        <f t="shared" si="2"/>
        <v>0.26060000000000005</v>
      </c>
      <c r="H145" s="30">
        <v>16.989999999999998</v>
      </c>
      <c r="I145" s="29">
        <f t="shared" si="3"/>
        <v>21.724399999999999</v>
      </c>
    </row>
    <row r="146" spans="1:9" ht="18" x14ac:dyDescent="0.2">
      <c r="A146" s="31">
        <v>37186</v>
      </c>
      <c r="B146" s="30">
        <v>0.35</v>
      </c>
      <c r="C146" s="29">
        <f t="shared" si="2"/>
        <v>0.26320000000000005</v>
      </c>
      <c r="H146" s="30">
        <v>18.84</v>
      </c>
      <c r="I146" s="29">
        <f t="shared" si="3"/>
        <v>21.632599999999996</v>
      </c>
    </row>
    <row r="147" spans="1:9" ht="18" x14ac:dyDescent="0.2">
      <c r="A147" s="31">
        <v>37193</v>
      </c>
      <c r="B147" s="30">
        <v>0.36</v>
      </c>
      <c r="C147" s="29">
        <f t="shared" si="2"/>
        <v>0.2656</v>
      </c>
      <c r="H147" s="30">
        <v>18.079999999999998</v>
      </c>
      <c r="I147" s="29">
        <f t="shared" si="3"/>
        <v>21.593599999999995</v>
      </c>
    </row>
    <row r="148" spans="1:9" ht="18" x14ac:dyDescent="0.2">
      <c r="A148" s="31">
        <v>37200</v>
      </c>
      <c r="B148" s="30">
        <v>0.41</v>
      </c>
      <c r="C148" s="29">
        <f t="shared" si="2"/>
        <v>0.26939999999999997</v>
      </c>
      <c r="H148" s="30">
        <v>19.59</v>
      </c>
      <c r="I148" s="29">
        <f t="shared" si="3"/>
        <v>21.570399999999996</v>
      </c>
    </row>
    <row r="149" spans="1:9" ht="18" x14ac:dyDescent="0.2">
      <c r="A149" s="31">
        <v>37207</v>
      </c>
      <c r="B149" s="30">
        <v>0.4</v>
      </c>
      <c r="C149" s="29">
        <f t="shared" si="2"/>
        <v>0.27399999999999997</v>
      </c>
      <c r="H149" s="30">
        <v>19.77</v>
      </c>
      <c r="I149" s="29">
        <f t="shared" si="3"/>
        <v>21.582199999999993</v>
      </c>
    </row>
    <row r="150" spans="1:9" ht="18" x14ac:dyDescent="0.2">
      <c r="A150" s="31">
        <v>37214</v>
      </c>
      <c r="B150" s="30">
        <v>0.38</v>
      </c>
      <c r="C150" s="29">
        <f t="shared" si="2"/>
        <v>0.27780000000000005</v>
      </c>
      <c r="H150" s="30">
        <v>19.760000000000002</v>
      </c>
      <c r="I150" s="29">
        <f t="shared" si="3"/>
        <v>21.615199999999994</v>
      </c>
    </row>
    <row r="151" spans="1:9" ht="18" x14ac:dyDescent="0.2">
      <c r="A151" s="31">
        <v>37221</v>
      </c>
      <c r="B151" s="30">
        <v>0.42</v>
      </c>
      <c r="C151" s="29">
        <f t="shared" si="2"/>
        <v>0.28340000000000004</v>
      </c>
      <c r="H151" s="30">
        <v>18.920000000000002</v>
      </c>
      <c r="I151" s="29">
        <f t="shared" si="3"/>
        <v>21.622</v>
      </c>
    </row>
    <row r="152" spans="1:9" ht="18" x14ac:dyDescent="0.2">
      <c r="A152" s="31">
        <v>37228</v>
      </c>
      <c r="B152" s="30">
        <v>0.46</v>
      </c>
      <c r="C152" s="29">
        <f t="shared" si="2"/>
        <v>0.29000000000000004</v>
      </c>
      <c r="H152" s="30">
        <v>19.95</v>
      </c>
      <c r="I152" s="29">
        <f t="shared" si="3"/>
        <v>21.573800000000002</v>
      </c>
    </row>
    <row r="153" spans="1:9" ht="18" x14ac:dyDescent="0.2">
      <c r="A153" s="31">
        <v>37235</v>
      </c>
      <c r="B153" s="30">
        <v>0.5</v>
      </c>
      <c r="C153" s="29">
        <f t="shared" si="2"/>
        <v>0.29740000000000005</v>
      </c>
      <c r="H153" s="30">
        <v>18.079999999999998</v>
      </c>
      <c r="I153" s="29">
        <f t="shared" si="3"/>
        <v>21.529800000000005</v>
      </c>
    </row>
    <row r="154" spans="1:9" ht="18" x14ac:dyDescent="0.2">
      <c r="A154" s="31">
        <v>37242</v>
      </c>
      <c r="B154" s="30">
        <v>0.49</v>
      </c>
      <c r="C154" s="29">
        <f t="shared" si="2"/>
        <v>0.30440000000000006</v>
      </c>
      <c r="H154" s="30">
        <v>17.940000000000001</v>
      </c>
      <c r="I154" s="29">
        <f t="shared" si="3"/>
        <v>21.450199999999999</v>
      </c>
    </row>
    <row r="155" spans="1:9" ht="18" x14ac:dyDescent="0.2">
      <c r="A155" s="31">
        <v>37249</v>
      </c>
      <c r="B155" s="30">
        <v>0.52</v>
      </c>
      <c r="C155" s="29">
        <f t="shared" si="2"/>
        <v>0.31120000000000003</v>
      </c>
      <c r="H155" s="30">
        <v>18.34</v>
      </c>
      <c r="I155" s="29">
        <f t="shared" si="3"/>
        <v>21.3338</v>
      </c>
    </row>
    <row r="156" spans="1:9" ht="18" x14ac:dyDescent="0.2">
      <c r="A156" s="31">
        <v>37256</v>
      </c>
      <c r="B156" s="30">
        <v>0.53</v>
      </c>
      <c r="C156" s="29">
        <f t="shared" si="2"/>
        <v>0.31780000000000003</v>
      </c>
      <c r="H156" s="30">
        <v>19.57</v>
      </c>
      <c r="I156" s="29">
        <f t="shared" si="3"/>
        <v>21.179200000000002</v>
      </c>
    </row>
    <row r="157" spans="1:9" ht="18" x14ac:dyDescent="0.2">
      <c r="A157" s="31">
        <v>37263</v>
      </c>
      <c r="B157" s="30">
        <v>0.48</v>
      </c>
      <c r="C157" s="29">
        <f t="shared" si="2"/>
        <v>0.3236</v>
      </c>
      <c r="H157" s="30">
        <v>19.420000000000002</v>
      </c>
      <c r="I157" s="29">
        <f t="shared" si="3"/>
        <v>21.076000000000004</v>
      </c>
    </row>
    <row r="158" spans="1:9" ht="18" x14ac:dyDescent="0.2">
      <c r="A158" s="31">
        <v>37270</v>
      </c>
      <c r="B158" s="30">
        <v>0.49</v>
      </c>
      <c r="C158" s="29">
        <f t="shared" si="2"/>
        <v>0.32979999999999998</v>
      </c>
      <c r="H158" s="30">
        <v>18.190000000000001</v>
      </c>
      <c r="I158" s="29">
        <f t="shared" si="3"/>
        <v>20.934400000000004</v>
      </c>
    </row>
    <row r="159" spans="1:9" ht="18" x14ac:dyDescent="0.2">
      <c r="A159" s="31">
        <v>37277</v>
      </c>
      <c r="B159" s="30">
        <v>0.5</v>
      </c>
      <c r="C159" s="29">
        <f t="shared" si="2"/>
        <v>0.33640000000000003</v>
      </c>
      <c r="H159" s="30">
        <v>17.72</v>
      </c>
      <c r="I159" s="29">
        <f t="shared" si="3"/>
        <v>20.763800000000007</v>
      </c>
    </row>
    <row r="160" spans="1:9" ht="18" x14ac:dyDescent="0.2">
      <c r="A160" s="31">
        <v>37284</v>
      </c>
      <c r="B160" s="30">
        <v>0.49</v>
      </c>
      <c r="C160" s="29">
        <f t="shared" si="2"/>
        <v>0.34159999999999996</v>
      </c>
      <c r="H160" s="30">
        <v>16.29</v>
      </c>
      <c r="I160" s="29">
        <f t="shared" si="3"/>
        <v>20.610000000000003</v>
      </c>
    </row>
    <row r="161" spans="1:9" ht="18" x14ac:dyDescent="0.2">
      <c r="A161" s="31">
        <v>37291</v>
      </c>
      <c r="B161" s="30">
        <v>0.44</v>
      </c>
      <c r="C161" s="29">
        <f t="shared" si="2"/>
        <v>0.34620000000000006</v>
      </c>
      <c r="H161" s="30">
        <v>15.76</v>
      </c>
      <c r="I161" s="29">
        <f t="shared" si="3"/>
        <v>20.427200000000006</v>
      </c>
    </row>
    <row r="162" spans="1:9" ht="18" x14ac:dyDescent="0.2">
      <c r="A162" s="31">
        <v>37298</v>
      </c>
      <c r="B162" s="30">
        <v>0.44</v>
      </c>
      <c r="C162" s="29">
        <f t="shared" si="2"/>
        <v>0.35160000000000002</v>
      </c>
      <c r="H162" s="30">
        <v>15.22</v>
      </c>
      <c r="I162" s="29">
        <f t="shared" si="3"/>
        <v>20.282200000000007</v>
      </c>
    </row>
    <row r="163" spans="1:9" ht="18" x14ac:dyDescent="0.2">
      <c r="A163" s="31">
        <v>37305</v>
      </c>
      <c r="B163" s="30">
        <v>0.38</v>
      </c>
      <c r="C163" s="29">
        <f t="shared" si="2"/>
        <v>0.35540000000000005</v>
      </c>
      <c r="H163" s="30">
        <v>14.28</v>
      </c>
      <c r="I163" s="29">
        <f t="shared" si="3"/>
        <v>20.138600000000007</v>
      </c>
    </row>
    <row r="164" spans="1:9" ht="18" x14ac:dyDescent="0.2">
      <c r="A164" s="31">
        <v>37312</v>
      </c>
      <c r="B164" s="30">
        <v>0.43</v>
      </c>
      <c r="C164" s="29">
        <f t="shared" si="2"/>
        <v>0.35940000000000005</v>
      </c>
      <c r="H164" s="30">
        <v>15.02</v>
      </c>
      <c r="I164" s="29">
        <f t="shared" si="3"/>
        <v>19.945400000000006</v>
      </c>
    </row>
    <row r="165" spans="1:9" ht="18" x14ac:dyDescent="0.2">
      <c r="A165" s="31">
        <v>37319</v>
      </c>
      <c r="B165" s="30">
        <v>0.45</v>
      </c>
      <c r="C165" s="29">
        <f t="shared" si="2"/>
        <v>0.36320000000000008</v>
      </c>
      <c r="H165" s="30">
        <v>17.59</v>
      </c>
      <c r="I165" s="29">
        <f t="shared" si="3"/>
        <v>19.809800000000006</v>
      </c>
    </row>
    <row r="166" spans="1:9" ht="18" x14ac:dyDescent="0.2">
      <c r="A166" s="31">
        <v>37326</v>
      </c>
      <c r="B166" s="30">
        <v>0.4</v>
      </c>
      <c r="C166" s="29">
        <f t="shared" si="2"/>
        <v>0.36619999999999997</v>
      </c>
      <c r="H166" s="30">
        <v>18.239999999999998</v>
      </c>
      <c r="I166" s="29">
        <f t="shared" si="3"/>
        <v>19.753600000000006</v>
      </c>
    </row>
    <row r="167" spans="1:9" ht="18" x14ac:dyDescent="0.2">
      <c r="A167" s="31">
        <v>37333</v>
      </c>
      <c r="B167" s="30">
        <v>0.37</v>
      </c>
      <c r="C167" s="29">
        <f t="shared" si="2"/>
        <v>0.36879999999999996</v>
      </c>
      <c r="H167" s="30">
        <v>17.829999999999998</v>
      </c>
      <c r="I167" s="29">
        <f t="shared" si="3"/>
        <v>19.679200000000005</v>
      </c>
    </row>
    <row r="168" spans="1:9" ht="18" x14ac:dyDescent="0.2">
      <c r="A168" s="31">
        <v>37340</v>
      </c>
      <c r="B168" s="30">
        <v>0.34</v>
      </c>
      <c r="C168" s="29">
        <f t="shared" si="2"/>
        <v>0.37019999999999997</v>
      </c>
      <c r="H168" s="30">
        <v>18.05</v>
      </c>
      <c r="I168" s="29">
        <f t="shared" si="3"/>
        <v>19.640800000000006</v>
      </c>
    </row>
    <row r="169" spans="1:9" ht="18" x14ac:dyDescent="0.2">
      <c r="A169" s="31">
        <v>37347</v>
      </c>
      <c r="B169" s="30">
        <v>0.32</v>
      </c>
      <c r="C169" s="29">
        <f t="shared" si="2"/>
        <v>0.37</v>
      </c>
      <c r="H169" s="30">
        <v>17.649999999999999</v>
      </c>
      <c r="I169" s="29">
        <f t="shared" si="3"/>
        <v>19.554400000000005</v>
      </c>
    </row>
    <row r="170" spans="1:9" ht="18" x14ac:dyDescent="0.2">
      <c r="A170" s="31">
        <v>37354</v>
      </c>
      <c r="B170" s="30">
        <v>0.28000000000000003</v>
      </c>
      <c r="C170" s="29">
        <f t="shared" si="2"/>
        <v>0.36959999999999998</v>
      </c>
      <c r="H170" s="30">
        <v>17.53</v>
      </c>
      <c r="I170" s="29">
        <f t="shared" si="3"/>
        <v>19.436000000000003</v>
      </c>
    </row>
    <row r="171" spans="1:9" ht="18" x14ac:dyDescent="0.2">
      <c r="A171" s="31">
        <v>37361</v>
      </c>
      <c r="B171" s="30">
        <v>0.28000000000000003</v>
      </c>
      <c r="C171" s="29">
        <f t="shared" si="2"/>
        <v>0.36840000000000012</v>
      </c>
      <c r="H171" s="30">
        <v>19.309999999999999</v>
      </c>
      <c r="I171" s="29">
        <f t="shared" si="3"/>
        <v>19.295000000000005</v>
      </c>
    </row>
    <row r="172" spans="1:9" ht="18" x14ac:dyDescent="0.2">
      <c r="A172" s="31">
        <v>37368</v>
      </c>
      <c r="B172" s="30">
        <v>0.23</v>
      </c>
      <c r="C172" s="29">
        <f t="shared" si="2"/>
        <v>0.3670000000000001</v>
      </c>
      <c r="H172" s="30">
        <v>17.89</v>
      </c>
      <c r="I172" s="29">
        <f t="shared" si="3"/>
        <v>19.182200000000002</v>
      </c>
    </row>
    <row r="173" spans="1:9" ht="18" x14ac:dyDescent="0.2">
      <c r="A173" s="31">
        <v>37375</v>
      </c>
      <c r="B173" s="30">
        <v>0.25</v>
      </c>
      <c r="C173" s="29">
        <f t="shared" si="2"/>
        <v>0.36540000000000006</v>
      </c>
      <c r="H173" s="30">
        <v>18.239999999999998</v>
      </c>
      <c r="I173" s="29">
        <f t="shared" si="3"/>
        <v>19.082000000000001</v>
      </c>
    </row>
    <row r="174" spans="1:9" ht="18" x14ac:dyDescent="0.2">
      <c r="A174" s="31">
        <v>37382</v>
      </c>
      <c r="B174" s="30">
        <v>0.24</v>
      </c>
      <c r="C174" s="29">
        <f t="shared" si="2"/>
        <v>0.36320000000000002</v>
      </c>
      <c r="H174" s="30">
        <v>17.940000000000001</v>
      </c>
      <c r="I174" s="29">
        <f t="shared" si="3"/>
        <v>18.971800000000002</v>
      </c>
    </row>
    <row r="175" spans="1:9" ht="18" x14ac:dyDescent="0.2">
      <c r="A175" s="31">
        <v>37389</v>
      </c>
      <c r="B175" s="30">
        <v>0.3</v>
      </c>
      <c r="C175" s="29">
        <f t="shared" si="2"/>
        <v>0.36220000000000008</v>
      </c>
      <c r="H175" s="30">
        <v>19.48</v>
      </c>
      <c r="I175" s="29">
        <f t="shared" si="3"/>
        <v>18.850200000000001</v>
      </c>
    </row>
    <row r="176" spans="1:9" ht="18" x14ac:dyDescent="0.2">
      <c r="A176" s="31">
        <v>37396</v>
      </c>
      <c r="B176" s="30">
        <v>0.27</v>
      </c>
      <c r="C176" s="29">
        <f t="shared" si="2"/>
        <v>0.36020000000000002</v>
      </c>
      <c r="H176" s="30">
        <v>19.329999999999998</v>
      </c>
      <c r="I176" s="29">
        <f t="shared" si="3"/>
        <v>18.757600000000004</v>
      </c>
    </row>
    <row r="177" spans="1:9" ht="18" x14ac:dyDescent="0.2">
      <c r="A177" s="31">
        <v>37403</v>
      </c>
      <c r="B177" s="30">
        <v>0.26</v>
      </c>
      <c r="C177" s="29">
        <f t="shared" si="2"/>
        <v>0.35820000000000002</v>
      </c>
      <c r="H177" s="30">
        <v>18.38</v>
      </c>
      <c r="I177" s="29">
        <f t="shared" si="3"/>
        <v>18.708200000000001</v>
      </c>
    </row>
    <row r="178" spans="1:9" ht="18" x14ac:dyDescent="0.2">
      <c r="A178" s="31">
        <v>37410</v>
      </c>
      <c r="B178" s="30">
        <v>0.25</v>
      </c>
      <c r="C178" s="29">
        <f t="shared" si="2"/>
        <v>0.35619999999999996</v>
      </c>
      <c r="H178" s="30">
        <v>17.23</v>
      </c>
      <c r="I178" s="29">
        <f t="shared" si="3"/>
        <v>18.633000000000003</v>
      </c>
    </row>
    <row r="179" spans="1:9" ht="18" x14ac:dyDescent="0.2">
      <c r="A179" s="31">
        <v>37417</v>
      </c>
      <c r="B179" s="30">
        <v>0.22</v>
      </c>
      <c r="C179" s="29">
        <f t="shared" ref="C179:C242" si="4">AVERAGE(B130:B179)</f>
        <v>0.35359999999999991</v>
      </c>
      <c r="H179" s="30">
        <v>16.87</v>
      </c>
      <c r="I179" s="29">
        <f t="shared" si="3"/>
        <v>18.524999999999999</v>
      </c>
    </row>
    <row r="180" spans="1:9" ht="18" x14ac:dyDescent="0.2">
      <c r="A180" s="31">
        <v>37424</v>
      </c>
      <c r="B180" s="30">
        <v>0.17</v>
      </c>
      <c r="C180" s="29">
        <f t="shared" si="4"/>
        <v>0.3508</v>
      </c>
      <c r="H180" s="30">
        <v>16.87</v>
      </c>
      <c r="I180" s="29">
        <f t="shared" ref="I180:I243" si="5">AVERAGE(H130:H179)</f>
        <v>18.4238</v>
      </c>
    </row>
    <row r="181" spans="1:9" ht="18" x14ac:dyDescent="0.2">
      <c r="A181" s="31">
        <v>37431</v>
      </c>
      <c r="B181" s="30">
        <v>0.13</v>
      </c>
      <c r="C181" s="29">
        <f t="shared" si="4"/>
        <v>0.34720000000000001</v>
      </c>
      <c r="H181" s="30">
        <v>17.34</v>
      </c>
      <c r="I181" s="29">
        <f t="shared" si="5"/>
        <v>18.322199999999999</v>
      </c>
    </row>
    <row r="182" spans="1:9" ht="18" x14ac:dyDescent="0.2">
      <c r="A182" s="31">
        <v>37438</v>
      </c>
      <c r="B182" s="30">
        <v>0.15</v>
      </c>
      <c r="C182" s="29">
        <f t="shared" si="4"/>
        <v>0.34439999999999998</v>
      </c>
      <c r="H182" s="30">
        <v>16.66</v>
      </c>
      <c r="I182" s="29">
        <f t="shared" si="5"/>
        <v>18.246199999999998</v>
      </c>
    </row>
    <row r="183" spans="1:9" ht="18" x14ac:dyDescent="0.2">
      <c r="A183" s="31">
        <v>37445</v>
      </c>
      <c r="B183" s="30">
        <v>0.15</v>
      </c>
      <c r="C183" s="29">
        <f t="shared" si="4"/>
        <v>0.34119999999999989</v>
      </c>
      <c r="H183" s="30">
        <v>15.62</v>
      </c>
      <c r="I183" s="29">
        <f t="shared" si="5"/>
        <v>18.148199999999996</v>
      </c>
    </row>
    <row r="184" spans="1:9" ht="18" x14ac:dyDescent="0.2">
      <c r="A184" s="31">
        <v>37452</v>
      </c>
      <c r="B184" s="30">
        <v>0.14000000000000001</v>
      </c>
      <c r="C184" s="29">
        <f t="shared" si="4"/>
        <v>0.33739999999999992</v>
      </c>
      <c r="H184" s="30">
        <v>13.49</v>
      </c>
      <c r="I184" s="29">
        <f t="shared" si="5"/>
        <v>18.0214</v>
      </c>
    </row>
    <row r="185" spans="1:9" ht="18" x14ac:dyDescent="0.2">
      <c r="A185" s="31">
        <v>37459</v>
      </c>
      <c r="B185" s="30">
        <v>0.11</v>
      </c>
      <c r="C185" s="29">
        <f t="shared" si="4"/>
        <v>0.33319999999999994</v>
      </c>
      <c r="H185" s="30">
        <v>11.5</v>
      </c>
      <c r="I185" s="29">
        <f t="shared" si="5"/>
        <v>17.860799999999998</v>
      </c>
    </row>
    <row r="186" spans="1:9" ht="18" x14ac:dyDescent="0.2">
      <c r="A186" s="31">
        <v>37466</v>
      </c>
      <c r="B186" s="30">
        <v>7.0000000000000007E-2</v>
      </c>
      <c r="C186" s="29">
        <f t="shared" si="4"/>
        <v>0.32819999999999999</v>
      </c>
      <c r="H186" s="30">
        <v>12.33</v>
      </c>
      <c r="I186" s="29">
        <f t="shared" si="5"/>
        <v>17.671000000000003</v>
      </c>
    </row>
    <row r="187" spans="1:9" ht="18" x14ac:dyDescent="0.2">
      <c r="A187" s="31">
        <v>37473</v>
      </c>
      <c r="B187" s="30">
        <v>7.0000000000000007E-2</v>
      </c>
      <c r="C187" s="29">
        <f t="shared" si="4"/>
        <v>0.32300000000000006</v>
      </c>
      <c r="H187" s="30">
        <v>13.62</v>
      </c>
      <c r="I187" s="29">
        <f t="shared" si="5"/>
        <v>17.505400000000002</v>
      </c>
    </row>
    <row r="188" spans="1:9" ht="18" x14ac:dyDescent="0.2">
      <c r="A188" s="31">
        <v>37480</v>
      </c>
      <c r="B188" s="30">
        <v>0.08</v>
      </c>
      <c r="C188" s="29">
        <f t="shared" si="4"/>
        <v>0.31820000000000004</v>
      </c>
      <c r="H188" s="30">
        <v>12.85</v>
      </c>
      <c r="I188" s="29">
        <f t="shared" si="5"/>
        <v>17.371200000000002</v>
      </c>
    </row>
    <row r="189" spans="1:9" ht="18" x14ac:dyDescent="0.2">
      <c r="A189" s="31">
        <v>37487</v>
      </c>
      <c r="B189" s="30">
        <v>0.09</v>
      </c>
      <c r="C189" s="29">
        <f t="shared" si="4"/>
        <v>0.314</v>
      </c>
      <c r="H189" s="30">
        <v>13.29</v>
      </c>
      <c r="I189" s="29">
        <f t="shared" si="5"/>
        <v>17.236800000000002</v>
      </c>
    </row>
    <row r="190" spans="1:9" ht="18" x14ac:dyDescent="0.2">
      <c r="A190" s="31">
        <v>37494</v>
      </c>
      <c r="B190" s="30">
        <v>0.08</v>
      </c>
      <c r="C190" s="29">
        <f t="shared" si="4"/>
        <v>0.30980000000000002</v>
      </c>
      <c r="H190" s="30">
        <v>13.65</v>
      </c>
      <c r="I190" s="29">
        <f t="shared" si="5"/>
        <v>17.135000000000002</v>
      </c>
    </row>
    <row r="191" spans="1:9" ht="18" x14ac:dyDescent="0.2">
      <c r="A191" s="31">
        <v>37501</v>
      </c>
      <c r="B191" s="30">
        <v>7.0000000000000007E-2</v>
      </c>
      <c r="C191" s="29">
        <f t="shared" si="4"/>
        <v>0.30700000000000005</v>
      </c>
      <c r="H191" s="30">
        <v>12.36</v>
      </c>
      <c r="I191" s="29">
        <f t="shared" si="5"/>
        <v>17.037800000000001</v>
      </c>
    </row>
    <row r="192" spans="1:9" ht="18" x14ac:dyDescent="0.2">
      <c r="A192" s="31">
        <v>37508</v>
      </c>
      <c r="B192" s="30">
        <v>0.08</v>
      </c>
      <c r="C192" s="29">
        <f t="shared" si="4"/>
        <v>0.3044</v>
      </c>
      <c r="H192" s="30">
        <v>11.39</v>
      </c>
      <c r="I192" s="29">
        <f t="shared" si="5"/>
        <v>16.9788</v>
      </c>
    </row>
    <row r="193" spans="1:11" ht="18" x14ac:dyDescent="0.2">
      <c r="A193" s="31">
        <v>37515</v>
      </c>
      <c r="B193" s="30">
        <v>7.0000000000000007E-2</v>
      </c>
      <c r="C193" s="29">
        <f t="shared" si="4"/>
        <v>0.30080000000000007</v>
      </c>
      <c r="H193" s="30">
        <v>10.43</v>
      </c>
      <c r="I193" s="29">
        <f t="shared" si="5"/>
        <v>16.8672</v>
      </c>
    </row>
    <row r="194" spans="1:11" ht="18" x14ac:dyDescent="0.2">
      <c r="A194" s="31">
        <v>37522</v>
      </c>
      <c r="B194" s="30">
        <v>7.0000000000000007E-2</v>
      </c>
      <c r="C194" s="29">
        <f t="shared" si="4"/>
        <v>0.29600000000000004</v>
      </c>
      <c r="H194" s="30">
        <v>9.48</v>
      </c>
      <c r="I194" s="29">
        <f t="shared" si="5"/>
        <v>16.7438</v>
      </c>
    </row>
    <row r="195" spans="1:11" ht="18" x14ac:dyDescent="0.2">
      <c r="A195" s="31">
        <v>37529</v>
      </c>
      <c r="B195" s="30">
        <v>0.06</v>
      </c>
      <c r="C195" s="29">
        <f t="shared" si="4"/>
        <v>0.29040000000000005</v>
      </c>
      <c r="H195" s="30">
        <v>8.5500000000000007</v>
      </c>
      <c r="I195" s="29">
        <f t="shared" si="5"/>
        <v>16.603400000000001</v>
      </c>
    </row>
    <row r="196" spans="1:11" ht="18" x14ac:dyDescent="0.2">
      <c r="A196" s="31">
        <v>37536</v>
      </c>
      <c r="B196" s="30">
        <v>7.0000000000000007E-2</v>
      </c>
      <c r="C196" s="29">
        <f t="shared" si="4"/>
        <v>0.28480000000000005</v>
      </c>
      <c r="H196" s="30">
        <v>9.0399999999999991</v>
      </c>
      <c r="I196" s="29">
        <f t="shared" si="5"/>
        <v>16.4346</v>
      </c>
    </row>
    <row r="197" spans="1:11" ht="18" x14ac:dyDescent="0.2">
      <c r="A197" s="31">
        <v>37543</v>
      </c>
      <c r="B197" s="30">
        <v>7.0000000000000007E-2</v>
      </c>
      <c r="C197" s="29">
        <f t="shared" si="4"/>
        <v>0.27900000000000008</v>
      </c>
      <c r="H197" s="30">
        <v>9.98</v>
      </c>
      <c r="I197" s="29">
        <f t="shared" si="5"/>
        <v>16.238599999999998</v>
      </c>
    </row>
    <row r="198" spans="1:11" ht="18" x14ac:dyDescent="0.2">
      <c r="A198" s="31">
        <v>37550</v>
      </c>
      <c r="B198" s="30">
        <v>0.08</v>
      </c>
      <c r="C198" s="29">
        <f t="shared" si="4"/>
        <v>0.27240000000000009</v>
      </c>
      <c r="H198" s="30">
        <v>10.71</v>
      </c>
      <c r="I198" s="29">
        <f t="shared" si="5"/>
        <v>16.076599999999999</v>
      </c>
    </row>
    <row r="199" spans="1:11" ht="18" x14ac:dyDescent="0.2">
      <c r="A199" s="31">
        <v>37557</v>
      </c>
      <c r="B199" s="30">
        <v>0.11</v>
      </c>
      <c r="C199" s="29">
        <f t="shared" si="4"/>
        <v>0.26660000000000006</v>
      </c>
      <c r="H199" s="30">
        <v>11.32</v>
      </c>
      <c r="I199" s="29">
        <f t="shared" si="5"/>
        <v>15.898999999999999</v>
      </c>
    </row>
    <row r="200" spans="1:11" ht="18" x14ac:dyDescent="0.2">
      <c r="A200" s="31">
        <v>37564</v>
      </c>
      <c r="B200" s="30">
        <v>0.09</v>
      </c>
      <c r="C200" s="29">
        <f t="shared" si="4"/>
        <v>0.26080000000000009</v>
      </c>
      <c r="E200" s="29">
        <v>100000</v>
      </c>
      <c r="H200" s="30">
        <v>10.63</v>
      </c>
      <c r="I200" s="29">
        <f t="shared" si="5"/>
        <v>15.729999999999997</v>
      </c>
      <c r="K200" s="29">
        <v>100000</v>
      </c>
    </row>
    <row r="201" spans="1:11" ht="18" x14ac:dyDescent="0.2">
      <c r="A201" s="31">
        <v>37571</v>
      </c>
      <c r="B201" s="30">
        <v>0.1</v>
      </c>
      <c r="C201" s="29">
        <f t="shared" si="4"/>
        <v>0.25440000000000007</v>
      </c>
      <c r="D201" s="29">
        <f t="shared" ref="D201:D264" si="6">AVERAGE(B2:B201)</f>
        <v>0.19680000000000003</v>
      </c>
      <c r="E201" s="29">
        <f>IF( C201&gt;D201,E200*B201/B200,100000)</f>
        <v>111111.11111111111</v>
      </c>
      <c r="H201" s="30">
        <v>11.62</v>
      </c>
      <c r="I201" s="29">
        <f t="shared" si="5"/>
        <v>15.5474</v>
      </c>
      <c r="J201" s="29">
        <f t="shared" ref="J201:J264" si="7">AVERAGE(H2:H201)</f>
        <v>21.3842</v>
      </c>
      <c r="K201" s="29">
        <f>IF(I201&gt;J201,K200*H201/H200,100000)</f>
        <v>100000</v>
      </c>
    </row>
    <row r="202" spans="1:11" ht="18" x14ac:dyDescent="0.2">
      <c r="A202" s="31">
        <v>37578</v>
      </c>
      <c r="B202" s="30">
        <v>0.12</v>
      </c>
      <c r="C202" s="29">
        <f t="shared" si="4"/>
        <v>0.2476000000000001</v>
      </c>
      <c r="D202" s="29">
        <f t="shared" si="6"/>
        <v>0.19720000000000001</v>
      </c>
      <c r="E202" s="29">
        <f t="shared" ref="E202:E265" si="8">IF( C202&gt;D202,E201*B202/B201,100000)</f>
        <v>133333.33333333331</v>
      </c>
      <c r="H202" s="30">
        <v>13.15</v>
      </c>
      <c r="I202" s="29">
        <f t="shared" si="5"/>
        <v>15.401399999999999</v>
      </c>
      <c r="J202" s="29">
        <f t="shared" si="7"/>
        <v>21.338199999999997</v>
      </c>
      <c r="K202" s="29">
        <f t="shared" ref="K202:K265" si="9">IF(I202&gt;J202,K201*H202/H201,100000)</f>
        <v>100000</v>
      </c>
    </row>
    <row r="203" spans="1:11" ht="18" x14ac:dyDescent="0.2">
      <c r="A203" s="31">
        <v>37585</v>
      </c>
      <c r="B203" s="30">
        <v>0.13</v>
      </c>
      <c r="C203" s="29">
        <f t="shared" si="4"/>
        <v>0.24020000000000011</v>
      </c>
      <c r="D203" s="29">
        <f t="shared" si="6"/>
        <v>0.19765000000000005</v>
      </c>
      <c r="E203" s="29">
        <f t="shared" si="8"/>
        <v>144444.44444444444</v>
      </c>
      <c r="H203" s="30">
        <v>13.24</v>
      </c>
      <c r="I203" s="29">
        <f t="shared" si="5"/>
        <v>15.2654</v>
      </c>
      <c r="J203" s="29">
        <f t="shared" si="7"/>
        <v>21.284749999999995</v>
      </c>
      <c r="K203" s="29">
        <f t="shared" si="9"/>
        <v>100000</v>
      </c>
    </row>
    <row r="204" spans="1:11" ht="18" x14ac:dyDescent="0.2">
      <c r="A204" s="31">
        <v>37592</v>
      </c>
      <c r="B204" s="30">
        <v>0.11</v>
      </c>
      <c r="C204" s="29">
        <f t="shared" si="4"/>
        <v>0.23260000000000008</v>
      </c>
      <c r="D204" s="29">
        <f t="shared" si="6"/>
        <v>0.19800000000000004</v>
      </c>
      <c r="E204" s="29">
        <f t="shared" si="8"/>
        <v>122222.22222222222</v>
      </c>
      <c r="H204" s="30">
        <v>12.85</v>
      </c>
      <c r="I204" s="29">
        <f t="shared" si="5"/>
        <v>15.1686</v>
      </c>
      <c r="J204" s="29">
        <f t="shared" si="7"/>
        <v>21.230149999999998</v>
      </c>
      <c r="K204" s="29">
        <f t="shared" si="9"/>
        <v>100000</v>
      </c>
    </row>
    <row r="205" spans="1:11" ht="18" x14ac:dyDescent="0.2">
      <c r="A205" s="31">
        <v>37599</v>
      </c>
      <c r="B205" s="30">
        <v>0.1</v>
      </c>
      <c r="C205" s="29">
        <f t="shared" si="4"/>
        <v>0.22420000000000009</v>
      </c>
      <c r="D205" s="29">
        <f t="shared" si="6"/>
        <v>0.19830000000000006</v>
      </c>
      <c r="E205" s="29">
        <f t="shared" si="8"/>
        <v>111111.11111111111</v>
      </c>
      <c r="H205" s="30">
        <v>12.42</v>
      </c>
      <c r="I205" s="29">
        <f t="shared" si="5"/>
        <v>15.066800000000001</v>
      </c>
      <c r="J205" s="29">
        <f t="shared" si="7"/>
        <v>21.177099999999996</v>
      </c>
      <c r="K205" s="29">
        <f t="shared" si="9"/>
        <v>100000</v>
      </c>
    </row>
    <row r="206" spans="1:11" ht="18" x14ac:dyDescent="0.2">
      <c r="A206" s="31">
        <v>37606</v>
      </c>
      <c r="B206" s="30">
        <v>0.1</v>
      </c>
      <c r="C206" s="29">
        <f t="shared" si="4"/>
        <v>0.21560000000000007</v>
      </c>
      <c r="D206" s="29">
        <f t="shared" si="6"/>
        <v>0.19860000000000005</v>
      </c>
      <c r="E206" s="29">
        <f t="shared" si="8"/>
        <v>111111.11111111111</v>
      </c>
      <c r="H206" s="30">
        <v>13.08</v>
      </c>
      <c r="I206" s="29">
        <f t="shared" si="5"/>
        <v>14.948399999999999</v>
      </c>
      <c r="J206" s="29">
        <f t="shared" si="7"/>
        <v>21.124249999999996</v>
      </c>
      <c r="K206" s="29">
        <f t="shared" si="9"/>
        <v>100000</v>
      </c>
    </row>
    <row r="207" spans="1:11" ht="18" x14ac:dyDescent="0.2">
      <c r="A207" s="31">
        <v>37613</v>
      </c>
      <c r="B207" s="30">
        <v>0.09</v>
      </c>
      <c r="C207" s="29">
        <f t="shared" si="4"/>
        <v>0.20780000000000004</v>
      </c>
      <c r="D207" s="29">
        <f t="shared" si="6"/>
        <v>0.19885000000000008</v>
      </c>
      <c r="E207" s="29">
        <f t="shared" si="8"/>
        <v>100000</v>
      </c>
      <c r="H207" s="30">
        <v>12.52</v>
      </c>
      <c r="I207" s="29">
        <f t="shared" si="5"/>
        <v>14.818599999999998</v>
      </c>
      <c r="J207" s="29">
        <f t="shared" si="7"/>
        <v>21.063049999999997</v>
      </c>
      <c r="K207" s="29">
        <f t="shared" si="9"/>
        <v>100000</v>
      </c>
    </row>
    <row r="208" spans="1:11" ht="18" x14ac:dyDescent="0.2">
      <c r="A208" s="31">
        <v>37620</v>
      </c>
      <c r="B208" s="30">
        <v>0.09</v>
      </c>
      <c r="C208" s="29">
        <f t="shared" si="4"/>
        <v>0.19980000000000003</v>
      </c>
      <c r="D208" s="29">
        <f t="shared" si="6"/>
        <v>0.19910000000000011</v>
      </c>
      <c r="E208" s="29">
        <f t="shared" si="8"/>
        <v>100000</v>
      </c>
      <c r="H208" s="30">
        <v>13.64</v>
      </c>
      <c r="I208" s="29">
        <f t="shared" si="5"/>
        <v>14.6806</v>
      </c>
      <c r="J208" s="29">
        <f t="shared" si="7"/>
        <v>20.996150000000004</v>
      </c>
      <c r="K208" s="29">
        <f t="shared" si="9"/>
        <v>100000</v>
      </c>
    </row>
    <row r="209" spans="1:11" ht="18" x14ac:dyDescent="0.2">
      <c r="A209" s="31">
        <v>37627</v>
      </c>
      <c r="B209" s="30">
        <v>0.09</v>
      </c>
      <c r="C209" s="29">
        <f t="shared" si="4"/>
        <v>0.19160000000000005</v>
      </c>
      <c r="D209" s="29">
        <f t="shared" si="6"/>
        <v>0.19935000000000008</v>
      </c>
      <c r="E209" s="29">
        <f t="shared" si="8"/>
        <v>100000</v>
      </c>
      <c r="H209" s="30">
        <v>14.45</v>
      </c>
      <c r="I209" s="29">
        <f t="shared" si="5"/>
        <v>14.589600000000001</v>
      </c>
      <c r="J209" s="29">
        <f t="shared" si="7"/>
        <v>20.931550000000005</v>
      </c>
      <c r="K209" s="29">
        <f t="shared" si="9"/>
        <v>100000</v>
      </c>
    </row>
    <row r="210" spans="1:11" ht="18" x14ac:dyDescent="0.2">
      <c r="A210" s="31">
        <v>37634</v>
      </c>
      <c r="B210" s="30">
        <v>0.08</v>
      </c>
      <c r="C210" s="29">
        <f t="shared" si="4"/>
        <v>0.18340000000000001</v>
      </c>
      <c r="D210" s="29">
        <f t="shared" si="6"/>
        <v>0.19955000000000009</v>
      </c>
      <c r="E210" s="29">
        <f t="shared" si="8"/>
        <v>100000</v>
      </c>
      <c r="H210" s="30">
        <v>13.97</v>
      </c>
      <c r="I210" s="29">
        <f t="shared" si="5"/>
        <v>14.5242</v>
      </c>
      <c r="J210" s="29">
        <f t="shared" si="7"/>
        <v>20.873100000000004</v>
      </c>
      <c r="K210" s="29">
        <f t="shared" si="9"/>
        <v>100000</v>
      </c>
    </row>
    <row r="211" spans="1:11" ht="18" x14ac:dyDescent="0.2">
      <c r="A211" s="31">
        <v>37641</v>
      </c>
      <c r="B211" s="30">
        <v>0.08</v>
      </c>
      <c r="C211" s="29">
        <f t="shared" si="4"/>
        <v>0.17620000000000002</v>
      </c>
      <c r="D211" s="29">
        <f t="shared" si="6"/>
        <v>0.19975000000000009</v>
      </c>
      <c r="E211" s="29">
        <f t="shared" si="8"/>
        <v>100000</v>
      </c>
      <c r="H211" s="30">
        <v>12.7</v>
      </c>
      <c r="I211" s="29">
        <f t="shared" si="5"/>
        <v>14.477800000000002</v>
      </c>
      <c r="J211" s="29">
        <f t="shared" si="7"/>
        <v>20.811450000000004</v>
      </c>
      <c r="K211" s="29">
        <f t="shared" si="9"/>
        <v>100000</v>
      </c>
    </row>
    <row r="212" spans="1:11" ht="18" x14ac:dyDescent="0.2">
      <c r="A212" s="31">
        <v>37648</v>
      </c>
      <c r="B212" s="30">
        <v>0.08</v>
      </c>
      <c r="C212" s="29">
        <f t="shared" si="4"/>
        <v>0.16900000000000001</v>
      </c>
      <c r="D212" s="29">
        <f t="shared" si="6"/>
        <v>0.19995000000000007</v>
      </c>
      <c r="E212" s="29">
        <f t="shared" si="8"/>
        <v>100000</v>
      </c>
      <c r="H212" s="30">
        <v>12.45</v>
      </c>
      <c r="I212" s="29">
        <f t="shared" si="5"/>
        <v>14.416600000000003</v>
      </c>
      <c r="J212" s="29">
        <f t="shared" si="7"/>
        <v>20.750300000000003</v>
      </c>
      <c r="K212" s="29">
        <f t="shared" si="9"/>
        <v>100000</v>
      </c>
    </row>
    <row r="213" spans="1:11" ht="18" x14ac:dyDescent="0.2">
      <c r="A213" s="31">
        <v>37655</v>
      </c>
      <c r="B213" s="30">
        <v>7.0000000000000007E-2</v>
      </c>
      <c r="C213" s="29">
        <f t="shared" si="4"/>
        <v>0.1628</v>
      </c>
      <c r="D213" s="29">
        <f t="shared" si="6"/>
        <v>0.20010000000000008</v>
      </c>
      <c r="E213" s="29">
        <f t="shared" si="8"/>
        <v>100000</v>
      </c>
      <c r="H213" s="30">
        <v>11.73</v>
      </c>
      <c r="I213" s="29">
        <f t="shared" si="5"/>
        <v>14.361200000000006</v>
      </c>
      <c r="J213" s="29">
        <f t="shared" si="7"/>
        <v>20.675249999999995</v>
      </c>
      <c r="K213" s="29">
        <f t="shared" si="9"/>
        <v>100000</v>
      </c>
    </row>
    <row r="214" spans="1:11" ht="18" x14ac:dyDescent="0.2">
      <c r="A214" s="31">
        <v>37662</v>
      </c>
      <c r="B214" s="30">
        <v>0.09</v>
      </c>
      <c r="C214" s="29">
        <f t="shared" si="4"/>
        <v>0.15600000000000003</v>
      </c>
      <c r="D214" s="29">
        <f t="shared" si="6"/>
        <v>0.20035000000000011</v>
      </c>
      <c r="E214" s="29">
        <f t="shared" si="8"/>
        <v>100000</v>
      </c>
      <c r="H214" s="30">
        <v>11.66</v>
      </c>
      <c r="I214" s="29">
        <f t="shared" si="5"/>
        <v>14.310200000000007</v>
      </c>
      <c r="J214" s="29">
        <f t="shared" si="7"/>
        <v>20.599049999999998</v>
      </c>
      <c r="K214" s="29">
        <f t="shared" si="9"/>
        <v>100000</v>
      </c>
    </row>
    <row r="215" spans="1:11" ht="18" x14ac:dyDescent="0.2">
      <c r="A215" s="31">
        <v>37669</v>
      </c>
      <c r="B215" s="30">
        <v>0.1</v>
      </c>
      <c r="C215" s="29">
        <f t="shared" si="4"/>
        <v>0.14900000000000002</v>
      </c>
      <c r="D215" s="29">
        <f t="shared" si="6"/>
        <v>0.2007000000000001</v>
      </c>
      <c r="E215" s="29">
        <f t="shared" si="8"/>
        <v>100000</v>
      </c>
      <c r="H215" s="30">
        <v>12.21</v>
      </c>
      <c r="I215" s="29">
        <f t="shared" si="5"/>
        <v>14.243000000000004</v>
      </c>
      <c r="J215" s="29">
        <f t="shared" si="7"/>
        <v>20.527049999999996</v>
      </c>
      <c r="K215" s="29">
        <f t="shared" si="9"/>
        <v>100000</v>
      </c>
    </row>
    <row r="216" spans="1:11" ht="18" x14ac:dyDescent="0.2">
      <c r="A216" s="31">
        <v>37676</v>
      </c>
      <c r="B216" s="30">
        <v>0.1</v>
      </c>
      <c r="C216" s="29">
        <f t="shared" si="4"/>
        <v>0.14300000000000002</v>
      </c>
      <c r="D216" s="29">
        <f t="shared" si="6"/>
        <v>0.20105000000000012</v>
      </c>
      <c r="E216" s="29">
        <f t="shared" si="8"/>
        <v>100000</v>
      </c>
      <c r="H216" s="30">
        <v>12.1</v>
      </c>
      <c r="I216" s="29">
        <f t="shared" si="5"/>
        <v>14.135400000000004</v>
      </c>
      <c r="J216" s="29">
        <f t="shared" si="7"/>
        <v>20.458599999999997</v>
      </c>
      <c r="K216" s="29">
        <f t="shared" si="9"/>
        <v>100000</v>
      </c>
    </row>
    <row r="217" spans="1:11" ht="18" x14ac:dyDescent="0.2">
      <c r="A217" s="31">
        <v>37683</v>
      </c>
      <c r="B217" s="30">
        <v>0.1</v>
      </c>
      <c r="C217" s="29">
        <f t="shared" si="4"/>
        <v>0.13760000000000003</v>
      </c>
      <c r="D217" s="29">
        <f t="shared" si="6"/>
        <v>0.20140000000000013</v>
      </c>
      <c r="E217" s="29">
        <f t="shared" si="8"/>
        <v>100000</v>
      </c>
      <c r="H217" s="30">
        <v>11.89</v>
      </c>
      <c r="I217" s="29">
        <f t="shared" si="5"/>
        <v>14.012600000000006</v>
      </c>
      <c r="J217" s="29">
        <f t="shared" si="7"/>
        <v>20.395549999999997</v>
      </c>
      <c r="K217" s="29">
        <f t="shared" si="9"/>
        <v>100000</v>
      </c>
    </row>
    <row r="218" spans="1:11" ht="18" x14ac:dyDescent="0.2">
      <c r="A218" s="31">
        <v>37690</v>
      </c>
      <c r="B218" s="30">
        <v>0.1</v>
      </c>
      <c r="C218" s="29">
        <f t="shared" si="4"/>
        <v>0.13279999999999997</v>
      </c>
      <c r="D218" s="29">
        <f t="shared" si="6"/>
        <v>0.20175000000000015</v>
      </c>
      <c r="E218" s="29">
        <f t="shared" si="8"/>
        <v>100000</v>
      </c>
      <c r="H218" s="30">
        <v>11.34</v>
      </c>
      <c r="I218" s="29">
        <f t="shared" si="5"/>
        <v>13.893800000000006</v>
      </c>
      <c r="J218" s="29">
        <f t="shared" si="7"/>
        <v>20.328699999999998</v>
      </c>
      <c r="K218" s="29">
        <f t="shared" si="9"/>
        <v>100000</v>
      </c>
    </row>
    <row r="219" spans="1:11" ht="18" x14ac:dyDescent="0.2">
      <c r="A219" s="31">
        <v>37697</v>
      </c>
      <c r="B219" s="30">
        <v>0.11</v>
      </c>
      <c r="C219" s="29">
        <f t="shared" si="4"/>
        <v>0.12859999999999996</v>
      </c>
      <c r="D219" s="29">
        <f t="shared" si="6"/>
        <v>0.20215000000000014</v>
      </c>
      <c r="E219" s="29">
        <f t="shared" si="8"/>
        <v>100000</v>
      </c>
      <c r="H219" s="30">
        <v>13.15</v>
      </c>
      <c r="I219" s="29">
        <f t="shared" si="5"/>
        <v>13.759600000000004</v>
      </c>
      <c r="J219" s="29">
        <f t="shared" si="7"/>
        <v>20.271099999999997</v>
      </c>
      <c r="K219" s="29">
        <f t="shared" si="9"/>
        <v>100000</v>
      </c>
    </row>
    <row r="220" spans="1:11" ht="18" x14ac:dyDescent="0.2">
      <c r="A220" s="31">
        <v>37704</v>
      </c>
      <c r="B220" s="30">
        <v>0.1</v>
      </c>
      <c r="C220" s="29">
        <f t="shared" si="4"/>
        <v>0.12499999999999994</v>
      </c>
      <c r="D220" s="29">
        <f t="shared" si="6"/>
        <v>0.20250000000000015</v>
      </c>
      <c r="E220" s="29">
        <f t="shared" si="8"/>
        <v>100000</v>
      </c>
      <c r="H220" s="30">
        <v>13.05</v>
      </c>
      <c r="I220" s="29">
        <f t="shared" si="5"/>
        <v>13.669600000000004</v>
      </c>
      <c r="J220" s="29">
        <f t="shared" si="7"/>
        <v>20.223249999999997</v>
      </c>
      <c r="K220" s="29">
        <f t="shared" si="9"/>
        <v>100000</v>
      </c>
    </row>
    <row r="221" spans="1:11" ht="18" x14ac:dyDescent="0.2">
      <c r="A221" s="31">
        <v>37711</v>
      </c>
      <c r="B221" s="30">
        <v>0.1</v>
      </c>
      <c r="C221" s="29">
        <f t="shared" si="4"/>
        <v>0.12139999999999991</v>
      </c>
      <c r="D221" s="29">
        <f t="shared" si="6"/>
        <v>0.20285000000000014</v>
      </c>
      <c r="E221" s="29">
        <f t="shared" si="8"/>
        <v>100000</v>
      </c>
      <c r="H221" s="30">
        <v>13.65</v>
      </c>
      <c r="I221" s="29">
        <f t="shared" si="5"/>
        <v>13.580000000000005</v>
      </c>
      <c r="J221" s="29">
        <f t="shared" si="7"/>
        <v>20.175349999999995</v>
      </c>
      <c r="K221" s="29">
        <f t="shared" si="9"/>
        <v>100000</v>
      </c>
    </row>
    <row r="222" spans="1:11" ht="18" x14ac:dyDescent="0.2">
      <c r="A222" s="31">
        <v>37718</v>
      </c>
      <c r="B222" s="30">
        <v>0.1</v>
      </c>
      <c r="C222" s="29">
        <f t="shared" si="4"/>
        <v>0.11879999999999992</v>
      </c>
      <c r="D222" s="29">
        <f t="shared" si="6"/>
        <v>0.20320000000000016</v>
      </c>
      <c r="E222" s="29">
        <f t="shared" si="8"/>
        <v>100000</v>
      </c>
      <c r="H222" s="30">
        <v>13.85</v>
      </c>
      <c r="I222" s="29">
        <f t="shared" si="5"/>
        <v>13.466800000000003</v>
      </c>
      <c r="J222" s="29">
        <f t="shared" si="7"/>
        <v>20.130099999999995</v>
      </c>
      <c r="K222" s="29">
        <f t="shared" si="9"/>
        <v>100000</v>
      </c>
    </row>
    <row r="223" spans="1:11" ht="18" x14ac:dyDescent="0.2">
      <c r="A223" s="31">
        <v>37725</v>
      </c>
      <c r="B223" s="30">
        <v>0.1</v>
      </c>
      <c r="C223" s="29">
        <f t="shared" si="4"/>
        <v>0.11579999999999992</v>
      </c>
      <c r="D223" s="29">
        <f t="shared" si="6"/>
        <v>0.20355000000000018</v>
      </c>
      <c r="E223" s="29">
        <f t="shared" si="8"/>
        <v>100000</v>
      </c>
      <c r="H223" s="30">
        <v>14.78</v>
      </c>
      <c r="I223" s="29">
        <f t="shared" si="5"/>
        <v>13.386000000000003</v>
      </c>
      <c r="J223" s="29">
        <f t="shared" si="7"/>
        <v>20.078799999999998</v>
      </c>
      <c r="K223" s="29">
        <f t="shared" si="9"/>
        <v>100000</v>
      </c>
    </row>
    <row r="224" spans="1:11" ht="18" x14ac:dyDescent="0.2">
      <c r="A224" s="31">
        <v>37732</v>
      </c>
      <c r="B224" s="30">
        <v>0.1</v>
      </c>
      <c r="C224" s="29">
        <f t="shared" si="4"/>
        <v>0.11299999999999992</v>
      </c>
      <c r="D224" s="29">
        <f t="shared" si="6"/>
        <v>0.20390000000000014</v>
      </c>
      <c r="E224" s="29">
        <f t="shared" si="8"/>
        <v>100000</v>
      </c>
      <c r="H224" s="30">
        <v>15.13</v>
      </c>
      <c r="I224" s="29">
        <f t="shared" si="5"/>
        <v>13.316800000000001</v>
      </c>
      <c r="J224" s="29">
        <f t="shared" si="7"/>
        <v>20.027549999999998</v>
      </c>
      <c r="K224" s="29">
        <f t="shared" si="9"/>
        <v>100000</v>
      </c>
    </row>
    <row r="225" spans="1:11" ht="18" x14ac:dyDescent="0.2">
      <c r="A225" s="31">
        <v>37739</v>
      </c>
      <c r="B225" s="30">
        <v>0.12</v>
      </c>
      <c r="C225" s="29">
        <f t="shared" si="4"/>
        <v>0.10939999999999993</v>
      </c>
      <c r="D225" s="29">
        <f t="shared" si="6"/>
        <v>0.20430000000000015</v>
      </c>
      <c r="E225" s="29">
        <f t="shared" si="8"/>
        <v>100000</v>
      </c>
      <c r="H225" s="30">
        <v>16.16</v>
      </c>
      <c r="I225" s="29">
        <f t="shared" si="5"/>
        <v>13.2606</v>
      </c>
      <c r="J225" s="29">
        <f t="shared" si="7"/>
        <v>19.975399999999997</v>
      </c>
      <c r="K225" s="29">
        <f t="shared" si="9"/>
        <v>100000</v>
      </c>
    </row>
    <row r="226" spans="1:11" ht="18" x14ac:dyDescent="0.2">
      <c r="A226" s="31">
        <v>37746</v>
      </c>
      <c r="B226" s="30">
        <v>0.16</v>
      </c>
      <c r="C226" s="29">
        <f t="shared" si="4"/>
        <v>0.10719999999999993</v>
      </c>
      <c r="D226" s="29">
        <f t="shared" si="6"/>
        <v>0.20490000000000014</v>
      </c>
      <c r="E226" s="29">
        <f t="shared" si="8"/>
        <v>100000</v>
      </c>
      <c r="H226" s="30">
        <v>16.28</v>
      </c>
      <c r="I226" s="29">
        <f t="shared" si="5"/>
        <v>13.1942</v>
      </c>
      <c r="J226" s="29">
        <f t="shared" si="7"/>
        <v>19.92305</v>
      </c>
      <c r="K226" s="29">
        <f t="shared" si="9"/>
        <v>100000</v>
      </c>
    </row>
    <row r="227" spans="1:11" ht="18" x14ac:dyDescent="0.2">
      <c r="A227" s="31">
        <v>37753</v>
      </c>
      <c r="B227" s="30">
        <v>0.16</v>
      </c>
      <c r="C227" s="29">
        <f t="shared" si="4"/>
        <v>0.10519999999999996</v>
      </c>
      <c r="D227" s="29">
        <f t="shared" si="6"/>
        <v>0.20550000000000007</v>
      </c>
      <c r="E227" s="29">
        <f t="shared" si="8"/>
        <v>100000</v>
      </c>
      <c r="H227" s="30">
        <v>16.91</v>
      </c>
      <c r="I227" s="29">
        <f t="shared" si="5"/>
        <v>13.133199999999997</v>
      </c>
      <c r="J227" s="29">
        <f t="shared" si="7"/>
        <v>19.879149999999996</v>
      </c>
      <c r="K227" s="29">
        <f t="shared" si="9"/>
        <v>100000</v>
      </c>
    </row>
    <row r="228" spans="1:11" ht="18" x14ac:dyDescent="0.2">
      <c r="A228" s="31">
        <v>37760</v>
      </c>
      <c r="B228" s="30">
        <v>0.16</v>
      </c>
      <c r="C228" s="29">
        <f t="shared" si="4"/>
        <v>0.10339999999999998</v>
      </c>
      <c r="D228" s="29">
        <f t="shared" si="6"/>
        <v>0.20610000000000006</v>
      </c>
      <c r="E228" s="29">
        <f t="shared" si="8"/>
        <v>100000</v>
      </c>
      <c r="H228" s="30">
        <v>16.72</v>
      </c>
      <c r="I228" s="29">
        <f t="shared" si="5"/>
        <v>13.103799999999996</v>
      </c>
      <c r="J228" s="29">
        <f t="shared" si="7"/>
        <v>19.834699999999994</v>
      </c>
      <c r="K228" s="29">
        <f t="shared" si="9"/>
        <v>100000</v>
      </c>
    </row>
    <row r="229" spans="1:11" ht="18" x14ac:dyDescent="0.2">
      <c r="A229" s="31">
        <v>37767</v>
      </c>
      <c r="B229" s="30">
        <v>0.2</v>
      </c>
      <c r="C229" s="29">
        <f t="shared" si="4"/>
        <v>0.10300000000000001</v>
      </c>
      <c r="D229" s="29">
        <f t="shared" si="6"/>
        <v>0.20690000000000008</v>
      </c>
      <c r="E229" s="29">
        <f t="shared" si="8"/>
        <v>100000</v>
      </c>
      <c r="H229" s="30">
        <v>17.78</v>
      </c>
      <c r="I229" s="29">
        <f t="shared" si="5"/>
        <v>13.093599999999997</v>
      </c>
      <c r="J229" s="29">
        <f t="shared" si="7"/>
        <v>19.802599999999995</v>
      </c>
      <c r="K229" s="29">
        <f t="shared" si="9"/>
        <v>100000</v>
      </c>
    </row>
    <row r="230" spans="1:11" ht="18" x14ac:dyDescent="0.2">
      <c r="A230" s="31">
        <v>37774</v>
      </c>
      <c r="B230" s="30">
        <v>0.2</v>
      </c>
      <c r="C230" s="29">
        <f t="shared" si="4"/>
        <v>0.10360000000000003</v>
      </c>
      <c r="D230" s="29">
        <f t="shared" si="6"/>
        <v>0.20770000000000011</v>
      </c>
      <c r="E230" s="29">
        <f t="shared" si="8"/>
        <v>100000</v>
      </c>
      <c r="H230" s="30">
        <v>19.010000000000002</v>
      </c>
      <c r="I230" s="29">
        <f t="shared" si="5"/>
        <v>13.111799999999995</v>
      </c>
      <c r="J230" s="29">
        <f t="shared" si="7"/>
        <v>19.778699999999997</v>
      </c>
      <c r="K230" s="29">
        <f t="shared" si="9"/>
        <v>100000</v>
      </c>
    </row>
    <row r="231" spans="1:11" ht="18" x14ac:dyDescent="0.2">
      <c r="A231" s="31">
        <v>37781</v>
      </c>
      <c r="B231" s="30">
        <v>0.18</v>
      </c>
      <c r="C231" s="29">
        <f t="shared" si="4"/>
        <v>0.10460000000000003</v>
      </c>
      <c r="D231" s="29">
        <f t="shared" si="6"/>
        <v>0.20840000000000011</v>
      </c>
      <c r="E231" s="29">
        <f t="shared" si="8"/>
        <v>100000</v>
      </c>
      <c r="H231" s="30">
        <v>18.78</v>
      </c>
      <c r="I231" s="29">
        <f t="shared" si="5"/>
        <v>13.154599999999995</v>
      </c>
      <c r="J231" s="29">
        <f t="shared" si="7"/>
        <v>19.748349999999999</v>
      </c>
      <c r="K231" s="29">
        <f t="shared" si="9"/>
        <v>100000</v>
      </c>
    </row>
    <row r="232" spans="1:11" ht="18" x14ac:dyDescent="0.2">
      <c r="A232" s="31">
        <v>37788</v>
      </c>
      <c r="B232" s="30">
        <v>0.18</v>
      </c>
      <c r="C232" s="29">
        <f t="shared" si="4"/>
        <v>0.10520000000000002</v>
      </c>
      <c r="D232" s="29">
        <f t="shared" si="6"/>
        <v>0.20905000000000012</v>
      </c>
      <c r="E232" s="29">
        <f t="shared" si="8"/>
        <v>100000</v>
      </c>
      <c r="H232" s="30">
        <v>18.829999999999998</v>
      </c>
      <c r="I232" s="29">
        <f t="shared" si="5"/>
        <v>13.183399999999997</v>
      </c>
      <c r="J232" s="29">
        <f t="shared" si="7"/>
        <v>19.710999999999999</v>
      </c>
      <c r="K232" s="29">
        <f t="shared" si="9"/>
        <v>100000</v>
      </c>
    </row>
    <row r="233" spans="1:11" ht="18" x14ac:dyDescent="0.2">
      <c r="A233" s="31">
        <v>37795</v>
      </c>
      <c r="B233" s="30">
        <v>0.17</v>
      </c>
      <c r="C233" s="29">
        <f t="shared" si="4"/>
        <v>0.1056</v>
      </c>
      <c r="D233" s="29">
        <f t="shared" si="6"/>
        <v>0.20965000000000014</v>
      </c>
      <c r="E233" s="29">
        <f t="shared" si="8"/>
        <v>100000</v>
      </c>
      <c r="H233" s="30">
        <v>18.350000000000001</v>
      </c>
      <c r="I233" s="29">
        <f t="shared" si="5"/>
        <v>13.226799999999999</v>
      </c>
      <c r="J233" s="29">
        <f t="shared" si="7"/>
        <v>19.672199999999997</v>
      </c>
      <c r="K233" s="29">
        <f t="shared" si="9"/>
        <v>100000</v>
      </c>
    </row>
    <row r="234" spans="1:11" ht="18" x14ac:dyDescent="0.2">
      <c r="A234" s="31">
        <v>37802</v>
      </c>
      <c r="B234" s="30">
        <v>0.18</v>
      </c>
      <c r="C234" s="29">
        <f t="shared" si="4"/>
        <v>0.10640000000000002</v>
      </c>
      <c r="D234" s="29">
        <f t="shared" si="6"/>
        <v>0.21030000000000013</v>
      </c>
      <c r="E234" s="29">
        <f t="shared" si="8"/>
        <v>100000</v>
      </c>
      <c r="H234" s="30">
        <v>18.47</v>
      </c>
      <c r="I234" s="29">
        <f t="shared" si="5"/>
        <v>13.281399999999996</v>
      </c>
      <c r="J234" s="29">
        <f t="shared" si="7"/>
        <v>19.631099999999993</v>
      </c>
      <c r="K234" s="29">
        <f t="shared" si="9"/>
        <v>100000</v>
      </c>
    </row>
    <row r="235" spans="1:11" ht="18" x14ac:dyDescent="0.2">
      <c r="A235" s="31">
        <v>37809</v>
      </c>
      <c r="B235" s="30">
        <v>0.19</v>
      </c>
      <c r="C235" s="29">
        <f t="shared" si="4"/>
        <v>0.10800000000000003</v>
      </c>
      <c r="D235" s="29">
        <f t="shared" si="6"/>
        <v>0.21100000000000013</v>
      </c>
      <c r="E235" s="29">
        <f t="shared" si="8"/>
        <v>100000</v>
      </c>
      <c r="H235" s="30">
        <v>19.55</v>
      </c>
      <c r="I235" s="29">
        <f t="shared" si="5"/>
        <v>13.380999999999998</v>
      </c>
      <c r="J235" s="29">
        <f t="shared" si="7"/>
        <v>19.607249999999997</v>
      </c>
      <c r="K235" s="29">
        <f t="shared" si="9"/>
        <v>100000</v>
      </c>
    </row>
    <row r="236" spans="1:11" ht="18" x14ac:dyDescent="0.2">
      <c r="A236" s="31">
        <v>37816</v>
      </c>
      <c r="B236" s="30">
        <v>0.16</v>
      </c>
      <c r="C236" s="29">
        <f t="shared" si="4"/>
        <v>0.10980000000000004</v>
      </c>
      <c r="D236" s="29">
        <f t="shared" si="6"/>
        <v>0.21155000000000007</v>
      </c>
      <c r="E236" s="29">
        <f t="shared" si="8"/>
        <v>100000</v>
      </c>
      <c r="H236" s="30">
        <v>19.309999999999999</v>
      </c>
      <c r="I236" s="29">
        <f t="shared" si="5"/>
        <v>13.541999999999998</v>
      </c>
      <c r="J236" s="29">
        <f t="shared" si="7"/>
        <v>19.581999999999994</v>
      </c>
      <c r="K236" s="29">
        <f t="shared" si="9"/>
        <v>100000</v>
      </c>
    </row>
    <row r="237" spans="1:11" ht="18" x14ac:dyDescent="0.2">
      <c r="A237" s="31">
        <v>37823</v>
      </c>
      <c r="B237" s="30">
        <v>0.16</v>
      </c>
      <c r="C237" s="29">
        <f t="shared" si="4"/>
        <v>0.11160000000000003</v>
      </c>
      <c r="D237" s="29">
        <f t="shared" si="6"/>
        <v>0.21220000000000008</v>
      </c>
      <c r="E237" s="29">
        <f t="shared" si="8"/>
        <v>100000</v>
      </c>
      <c r="H237" s="30">
        <v>19.39</v>
      </c>
      <c r="I237" s="29">
        <f t="shared" si="5"/>
        <v>13.681599999999998</v>
      </c>
      <c r="J237" s="29">
        <f t="shared" si="7"/>
        <v>19.560599999999994</v>
      </c>
      <c r="K237" s="29">
        <f t="shared" si="9"/>
        <v>100000</v>
      </c>
    </row>
    <row r="238" spans="1:11" ht="18" x14ac:dyDescent="0.2">
      <c r="A238" s="31">
        <v>37830</v>
      </c>
      <c r="B238" s="30">
        <v>0.15</v>
      </c>
      <c r="C238" s="29">
        <f t="shared" si="4"/>
        <v>0.11300000000000004</v>
      </c>
      <c r="D238" s="29">
        <f t="shared" si="6"/>
        <v>0.21275000000000011</v>
      </c>
      <c r="E238" s="29">
        <f t="shared" si="8"/>
        <v>100000</v>
      </c>
      <c r="H238" s="30">
        <v>18.23</v>
      </c>
      <c r="I238" s="29">
        <f t="shared" si="5"/>
        <v>13.796999999999999</v>
      </c>
      <c r="J238" s="29">
        <f t="shared" si="7"/>
        <v>19.535449999999994</v>
      </c>
      <c r="K238" s="29">
        <f t="shared" si="9"/>
        <v>100000</v>
      </c>
    </row>
    <row r="239" spans="1:11" ht="18" x14ac:dyDescent="0.2">
      <c r="A239" s="31">
        <v>37837</v>
      </c>
      <c r="B239" s="30">
        <v>0.12</v>
      </c>
      <c r="C239" s="29">
        <f t="shared" si="4"/>
        <v>0.11360000000000003</v>
      </c>
      <c r="D239" s="29">
        <f t="shared" si="6"/>
        <v>0.21315000000000006</v>
      </c>
      <c r="E239" s="29">
        <f t="shared" si="8"/>
        <v>100000</v>
      </c>
      <c r="H239" s="30">
        <v>18.03</v>
      </c>
      <c r="I239" s="29">
        <f t="shared" si="5"/>
        <v>13.904599999999999</v>
      </c>
      <c r="J239" s="29">
        <f t="shared" si="7"/>
        <v>19.506949999999996</v>
      </c>
      <c r="K239" s="29">
        <f t="shared" si="9"/>
        <v>100000</v>
      </c>
    </row>
    <row r="240" spans="1:11" ht="18" x14ac:dyDescent="0.2">
      <c r="A240" s="31">
        <v>37844</v>
      </c>
      <c r="B240" s="30">
        <v>0.12</v>
      </c>
      <c r="C240" s="29">
        <f t="shared" si="4"/>
        <v>0.11440000000000004</v>
      </c>
      <c r="D240" s="29">
        <f t="shared" si="6"/>
        <v>0.21355000000000005</v>
      </c>
      <c r="E240" s="29">
        <f t="shared" si="8"/>
        <v>100000</v>
      </c>
      <c r="H240" s="30">
        <v>18.399999999999999</v>
      </c>
      <c r="I240" s="29">
        <f t="shared" si="5"/>
        <v>13.999399999999998</v>
      </c>
      <c r="J240" s="29">
        <f t="shared" si="7"/>
        <v>19.493949999999995</v>
      </c>
      <c r="K240" s="29">
        <f t="shared" si="9"/>
        <v>100000</v>
      </c>
    </row>
    <row r="241" spans="1:11" ht="18" x14ac:dyDescent="0.2">
      <c r="A241" s="31">
        <v>37851</v>
      </c>
      <c r="B241" s="30">
        <v>0.14000000000000001</v>
      </c>
      <c r="C241" s="29">
        <f t="shared" si="4"/>
        <v>0.11580000000000004</v>
      </c>
      <c r="D241" s="29">
        <f t="shared" si="6"/>
        <v>0.21405000000000005</v>
      </c>
      <c r="E241" s="29">
        <f t="shared" si="8"/>
        <v>100000</v>
      </c>
      <c r="H241" s="30">
        <v>18.54</v>
      </c>
      <c r="I241" s="29">
        <f t="shared" si="5"/>
        <v>14.094399999999998</v>
      </c>
      <c r="J241" s="29">
        <f t="shared" si="7"/>
        <v>19.459349999999993</v>
      </c>
      <c r="K241" s="29">
        <f t="shared" si="9"/>
        <v>100000</v>
      </c>
    </row>
    <row r="242" spans="1:11" ht="18" x14ac:dyDescent="0.2">
      <c r="A242" s="31">
        <v>37858</v>
      </c>
      <c r="B242" s="30">
        <v>0.14000000000000001</v>
      </c>
      <c r="C242" s="29">
        <f t="shared" si="4"/>
        <v>0.11700000000000005</v>
      </c>
      <c r="D242" s="29">
        <f t="shared" si="6"/>
        <v>0.21455000000000005</v>
      </c>
      <c r="E242" s="29">
        <f t="shared" si="8"/>
        <v>100000</v>
      </c>
      <c r="H242" s="30">
        <v>18.7</v>
      </c>
      <c r="I242" s="29">
        <f t="shared" si="5"/>
        <v>14.217999999999995</v>
      </c>
      <c r="J242" s="29">
        <f t="shared" si="7"/>
        <v>19.415099999999995</v>
      </c>
      <c r="K242" s="29">
        <f t="shared" si="9"/>
        <v>100000</v>
      </c>
    </row>
    <row r="243" spans="1:11" ht="18" x14ac:dyDescent="0.2">
      <c r="A243" s="31">
        <v>37865</v>
      </c>
      <c r="B243" s="30">
        <v>0.14000000000000001</v>
      </c>
      <c r="C243" s="29">
        <f t="shared" ref="C243:C306" si="10">AVERAGE(B194:B243)</f>
        <v>0.11840000000000003</v>
      </c>
      <c r="D243" s="29">
        <f t="shared" si="6"/>
        <v>0.21500000000000008</v>
      </c>
      <c r="E243" s="29">
        <f t="shared" si="8"/>
        <v>100000</v>
      </c>
      <c r="H243" s="30">
        <v>18.690000000000001</v>
      </c>
      <c r="I243" s="29">
        <f t="shared" si="5"/>
        <v>14.364199999999997</v>
      </c>
      <c r="J243" s="29">
        <f t="shared" si="7"/>
        <v>19.372349999999997</v>
      </c>
      <c r="K243" s="29">
        <f t="shared" si="9"/>
        <v>100000</v>
      </c>
    </row>
    <row r="244" spans="1:11" ht="18" x14ac:dyDescent="0.2">
      <c r="A244" s="31">
        <v>37872</v>
      </c>
      <c r="B244" s="30">
        <v>0.15</v>
      </c>
      <c r="C244" s="29">
        <f t="shared" si="10"/>
        <v>0.12000000000000004</v>
      </c>
      <c r="D244" s="29">
        <f t="shared" si="6"/>
        <v>0.21545000000000006</v>
      </c>
      <c r="E244" s="29">
        <f t="shared" si="8"/>
        <v>100000</v>
      </c>
      <c r="H244" s="30">
        <v>18.579999999999998</v>
      </c>
      <c r="I244" s="29">
        <f t="shared" ref="I244:I307" si="11">AVERAGE(H194:H243)</f>
        <v>14.529399999999999</v>
      </c>
      <c r="J244" s="29">
        <f t="shared" si="7"/>
        <v>19.331049999999998</v>
      </c>
      <c r="K244" s="29">
        <f t="shared" si="9"/>
        <v>100000</v>
      </c>
    </row>
    <row r="245" spans="1:11" ht="18" x14ac:dyDescent="0.2">
      <c r="A245" s="31">
        <v>37879</v>
      </c>
      <c r="B245" s="30">
        <v>0.15</v>
      </c>
      <c r="C245" s="29">
        <f t="shared" si="10"/>
        <v>0.12180000000000005</v>
      </c>
      <c r="D245" s="29">
        <f t="shared" si="6"/>
        <v>0.21580000000000005</v>
      </c>
      <c r="E245" s="29">
        <f t="shared" si="8"/>
        <v>100000</v>
      </c>
      <c r="H245" s="30">
        <v>19.399999999999999</v>
      </c>
      <c r="I245" s="29">
        <f t="shared" si="11"/>
        <v>14.711399999999996</v>
      </c>
      <c r="J245" s="29">
        <f t="shared" si="7"/>
        <v>19.296999999999997</v>
      </c>
      <c r="K245" s="29">
        <f t="shared" si="9"/>
        <v>100000</v>
      </c>
    </row>
    <row r="246" spans="1:11" ht="18" x14ac:dyDescent="0.2">
      <c r="A246" s="31">
        <v>37886</v>
      </c>
      <c r="B246" s="30">
        <v>0.13</v>
      </c>
      <c r="C246" s="29">
        <f t="shared" si="10"/>
        <v>0.12300000000000005</v>
      </c>
      <c r="D246" s="29">
        <f t="shared" si="6"/>
        <v>0.21610000000000004</v>
      </c>
      <c r="E246" s="29">
        <f t="shared" si="8"/>
        <v>100000</v>
      </c>
      <c r="H246" s="30">
        <v>18.690000000000001</v>
      </c>
      <c r="I246" s="29">
        <f t="shared" si="11"/>
        <v>14.928399999999995</v>
      </c>
      <c r="J246" s="29">
        <f t="shared" si="7"/>
        <v>19.265599999999999</v>
      </c>
      <c r="K246" s="29">
        <f t="shared" si="9"/>
        <v>100000</v>
      </c>
    </row>
    <row r="247" spans="1:11" ht="18" x14ac:dyDescent="0.2">
      <c r="A247" s="31">
        <v>37893</v>
      </c>
      <c r="B247" s="30">
        <v>0.13</v>
      </c>
      <c r="C247" s="29">
        <f t="shared" si="10"/>
        <v>0.12420000000000005</v>
      </c>
      <c r="D247" s="29">
        <f t="shared" si="6"/>
        <v>0.21640000000000004</v>
      </c>
      <c r="E247" s="29">
        <f t="shared" si="8"/>
        <v>100000</v>
      </c>
      <c r="H247" s="30">
        <v>19.22</v>
      </c>
      <c r="I247" s="29">
        <f t="shared" si="11"/>
        <v>15.121399999999996</v>
      </c>
      <c r="J247" s="29">
        <f t="shared" si="7"/>
        <v>19.232199999999999</v>
      </c>
      <c r="K247" s="29">
        <f t="shared" si="9"/>
        <v>100000</v>
      </c>
    </row>
    <row r="248" spans="1:11" ht="18" x14ac:dyDescent="0.2">
      <c r="A248" s="31">
        <v>37900</v>
      </c>
      <c r="B248" s="30">
        <v>0.13</v>
      </c>
      <c r="C248" s="29">
        <f t="shared" si="10"/>
        <v>0.12520000000000006</v>
      </c>
      <c r="D248" s="29">
        <f t="shared" si="6"/>
        <v>0.21670000000000006</v>
      </c>
      <c r="E248" s="29">
        <f t="shared" si="8"/>
        <v>100000</v>
      </c>
      <c r="H248" s="30">
        <v>19.600000000000001</v>
      </c>
      <c r="I248" s="29">
        <f t="shared" si="11"/>
        <v>15.306199999999997</v>
      </c>
      <c r="J248" s="29">
        <f t="shared" si="7"/>
        <v>19.205549999999999</v>
      </c>
      <c r="K248" s="29">
        <f t="shared" si="9"/>
        <v>100000</v>
      </c>
    </row>
    <row r="249" spans="1:11" ht="18" x14ac:dyDescent="0.2">
      <c r="A249" s="31">
        <v>37907</v>
      </c>
      <c r="B249" s="30">
        <v>0.13</v>
      </c>
      <c r="C249" s="29">
        <f t="shared" si="10"/>
        <v>0.12560000000000004</v>
      </c>
      <c r="D249" s="29">
        <f t="shared" si="6"/>
        <v>0.21700000000000005</v>
      </c>
      <c r="E249" s="29">
        <f t="shared" si="8"/>
        <v>100000</v>
      </c>
      <c r="H249" s="30">
        <v>20.059999999999999</v>
      </c>
      <c r="I249" s="29">
        <f t="shared" si="11"/>
        <v>15.483999999999998</v>
      </c>
      <c r="J249" s="29">
        <f t="shared" si="7"/>
        <v>19.190999999999999</v>
      </c>
      <c r="K249" s="29">
        <f t="shared" si="9"/>
        <v>100000</v>
      </c>
    </row>
    <row r="250" spans="1:11" ht="18" x14ac:dyDescent="0.2">
      <c r="A250" s="31">
        <v>37914</v>
      </c>
      <c r="B250" s="30">
        <v>0.13</v>
      </c>
      <c r="C250" s="29">
        <f t="shared" si="10"/>
        <v>0.12640000000000004</v>
      </c>
      <c r="D250" s="29">
        <f t="shared" si="6"/>
        <v>0.21720000000000009</v>
      </c>
      <c r="E250" s="29">
        <f t="shared" si="8"/>
        <v>100000</v>
      </c>
      <c r="H250" s="30">
        <v>19.190000000000001</v>
      </c>
      <c r="I250" s="29">
        <f t="shared" si="11"/>
        <v>15.658799999999996</v>
      </c>
      <c r="J250" s="29">
        <f t="shared" si="7"/>
        <v>19.164599999999997</v>
      </c>
      <c r="K250" s="29">
        <f t="shared" si="9"/>
        <v>100000</v>
      </c>
    </row>
    <row r="251" spans="1:11" ht="18" x14ac:dyDescent="0.2">
      <c r="A251" s="31">
        <v>37921</v>
      </c>
      <c r="B251" s="30">
        <v>0.14000000000000001</v>
      </c>
      <c r="C251" s="29">
        <f t="shared" si="10"/>
        <v>0.12720000000000004</v>
      </c>
      <c r="D251" s="29">
        <f t="shared" si="6"/>
        <v>0.21745000000000009</v>
      </c>
      <c r="E251" s="29">
        <f t="shared" si="8"/>
        <v>100000</v>
      </c>
      <c r="H251" s="30">
        <v>19.809999999999999</v>
      </c>
      <c r="I251" s="29">
        <f t="shared" si="11"/>
        <v>15.83</v>
      </c>
      <c r="J251" s="29">
        <f t="shared" si="7"/>
        <v>19.140999999999995</v>
      </c>
      <c r="K251" s="29">
        <f t="shared" si="9"/>
        <v>100000</v>
      </c>
    </row>
    <row r="252" spans="1:11" ht="18" x14ac:dyDescent="0.2">
      <c r="A252" s="31">
        <v>37928</v>
      </c>
      <c r="B252" s="30">
        <v>0.17</v>
      </c>
      <c r="C252" s="29">
        <f t="shared" si="10"/>
        <v>0.12820000000000004</v>
      </c>
      <c r="D252" s="29">
        <f t="shared" si="6"/>
        <v>0.21790000000000009</v>
      </c>
      <c r="E252" s="29">
        <f t="shared" si="8"/>
        <v>100000</v>
      </c>
      <c r="H252" s="30">
        <v>19.89</v>
      </c>
      <c r="I252" s="29">
        <f t="shared" si="11"/>
        <v>15.9938</v>
      </c>
      <c r="J252" s="29">
        <f t="shared" si="7"/>
        <v>19.125599999999995</v>
      </c>
      <c r="K252" s="29">
        <f t="shared" si="9"/>
        <v>100000</v>
      </c>
    </row>
    <row r="253" spans="1:11" ht="18" x14ac:dyDescent="0.2">
      <c r="A253" s="31">
        <v>37935</v>
      </c>
      <c r="B253" s="30">
        <v>0.15</v>
      </c>
      <c r="C253" s="29">
        <f t="shared" si="10"/>
        <v>0.12860000000000002</v>
      </c>
      <c r="D253" s="29">
        <f t="shared" si="6"/>
        <v>0.21825000000000006</v>
      </c>
      <c r="E253" s="29">
        <f t="shared" si="8"/>
        <v>100000</v>
      </c>
      <c r="H253" s="30">
        <v>19.57</v>
      </c>
      <c r="I253" s="29">
        <f t="shared" si="11"/>
        <v>16.128599999999999</v>
      </c>
      <c r="J253" s="29">
        <f t="shared" si="7"/>
        <v>19.10615</v>
      </c>
      <c r="K253" s="29">
        <f t="shared" si="9"/>
        <v>100000</v>
      </c>
    </row>
    <row r="254" spans="1:11" ht="18" x14ac:dyDescent="0.2">
      <c r="A254" s="31">
        <v>37942</v>
      </c>
      <c r="B254" s="30">
        <v>0.15</v>
      </c>
      <c r="C254" s="29">
        <f t="shared" si="10"/>
        <v>0.12940000000000004</v>
      </c>
      <c r="D254" s="29">
        <f t="shared" si="6"/>
        <v>0.21855000000000005</v>
      </c>
      <c r="E254" s="29">
        <f t="shared" si="8"/>
        <v>100000</v>
      </c>
      <c r="H254" s="30">
        <v>19.32</v>
      </c>
      <c r="I254" s="29">
        <f t="shared" si="11"/>
        <v>16.255200000000002</v>
      </c>
      <c r="J254" s="29">
        <f t="shared" si="7"/>
        <v>19.086949999999998</v>
      </c>
      <c r="K254" s="29">
        <f t="shared" si="9"/>
        <v>100000</v>
      </c>
    </row>
    <row r="255" spans="1:11" ht="18" x14ac:dyDescent="0.2">
      <c r="A255" s="31">
        <v>37949</v>
      </c>
      <c r="B255" s="30">
        <v>0.16</v>
      </c>
      <c r="C255" s="29">
        <f t="shared" si="10"/>
        <v>0.13060000000000005</v>
      </c>
      <c r="D255" s="29">
        <f t="shared" si="6"/>
        <v>0.21900000000000006</v>
      </c>
      <c r="E255" s="29">
        <f t="shared" si="8"/>
        <v>100000</v>
      </c>
      <c r="H255" s="30">
        <v>19.54</v>
      </c>
      <c r="I255" s="29">
        <f t="shared" si="11"/>
        <v>16.384600000000002</v>
      </c>
      <c r="J255" s="29">
        <f t="shared" si="7"/>
        <v>19.062899999999999</v>
      </c>
      <c r="K255" s="29">
        <f t="shared" si="9"/>
        <v>100000</v>
      </c>
    </row>
    <row r="256" spans="1:11" ht="18" x14ac:dyDescent="0.2">
      <c r="A256" s="31">
        <v>37956</v>
      </c>
      <c r="B256" s="30">
        <v>0.16</v>
      </c>
      <c r="C256" s="29">
        <f t="shared" si="10"/>
        <v>0.13180000000000003</v>
      </c>
      <c r="D256" s="29">
        <f t="shared" si="6"/>
        <v>0.21940000000000001</v>
      </c>
      <c r="E256" s="29">
        <f t="shared" si="8"/>
        <v>100000</v>
      </c>
      <c r="H256" s="30">
        <v>19.29</v>
      </c>
      <c r="I256" s="29">
        <f t="shared" si="11"/>
        <v>16.527000000000001</v>
      </c>
      <c r="J256" s="29">
        <f t="shared" si="7"/>
        <v>19.029549999999997</v>
      </c>
      <c r="K256" s="29">
        <f t="shared" si="9"/>
        <v>100000</v>
      </c>
    </row>
    <row r="257" spans="1:11" ht="18" x14ac:dyDescent="0.2">
      <c r="A257" s="31">
        <v>37963</v>
      </c>
      <c r="B257" s="30">
        <v>0.16</v>
      </c>
      <c r="C257" s="29">
        <f t="shared" si="10"/>
        <v>0.13320000000000001</v>
      </c>
      <c r="D257" s="29">
        <f t="shared" si="6"/>
        <v>0.21970000000000003</v>
      </c>
      <c r="E257" s="29">
        <f t="shared" si="8"/>
        <v>100000</v>
      </c>
      <c r="H257" s="30">
        <v>19.37</v>
      </c>
      <c r="I257" s="29">
        <f t="shared" si="11"/>
        <v>16.651200000000003</v>
      </c>
      <c r="J257" s="29">
        <f t="shared" si="7"/>
        <v>18.995199999999997</v>
      </c>
      <c r="K257" s="29">
        <f t="shared" si="9"/>
        <v>100000</v>
      </c>
    </row>
    <row r="258" spans="1:11" ht="18" x14ac:dyDescent="0.2">
      <c r="A258" s="31">
        <v>37970</v>
      </c>
      <c r="B258" s="30">
        <v>0.16</v>
      </c>
      <c r="C258" s="29">
        <f t="shared" si="10"/>
        <v>0.13460000000000003</v>
      </c>
      <c r="D258" s="29">
        <f t="shared" si="6"/>
        <v>0.21984999999999999</v>
      </c>
      <c r="E258" s="29">
        <f t="shared" si="8"/>
        <v>100000</v>
      </c>
      <c r="H258" s="30">
        <v>19.75</v>
      </c>
      <c r="I258" s="29">
        <f t="shared" si="11"/>
        <v>16.788200000000003</v>
      </c>
      <c r="J258" s="29">
        <f t="shared" si="7"/>
        <v>18.975249999999996</v>
      </c>
      <c r="K258" s="29">
        <f t="shared" si="9"/>
        <v>100000</v>
      </c>
    </row>
    <row r="259" spans="1:11" ht="18" x14ac:dyDescent="0.2">
      <c r="A259" s="31">
        <v>37977</v>
      </c>
      <c r="B259" s="30">
        <v>0.17</v>
      </c>
      <c r="C259" s="29">
        <f t="shared" si="10"/>
        <v>0.13620000000000002</v>
      </c>
      <c r="D259" s="29">
        <f t="shared" si="6"/>
        <v>0.22009999999999999</v>
      </c>
      <c r="E259" s="29">
        <f t="shared" si="8"/>
        <v>100000</v>
      </c>
      <c r="H259" s="30">
        <v>19.989999999999998</v>
      </c>
      <c r="I259" s="29">
        <f t="shared" si="11"/>
        <v>16.910400000000003</v>
      </c>
      <c r="J259" s="29">
        <f t="shared" si="7"/>
        <v>18.954699999999992</v>
      </c>
      <c r="K259" s="29">
        <f t="shared" si="9"/>
        <v>100000</v>
      </c>
    </row>
    <row r="260" spans="1:11" ht="18" x14ac:dyDescent="0.2">
      <c r="A260" s="31">
        <v>37984</v>
      </c>
      <c r="B260" s="30">
        <v>0.18</v>
      </c>
      <c r="C260" s="29">
        <f t="shared" si="10"/>
        <v>0.13820000000000002</v>
      </c>
      <c r="D260" s="29">
        <f t="shared" si="6"/>
        <v>0.22044999999999998</v>
      </c>
      <c r="E260" s="29">
        <f t="shared" si="8"/>
        <v>100000</v>
      </c>
      <c r="H260" s="30">
        <v>20.21</v>
      </c>
      <c r="I260" s="29">
        <f t="shared" si="11"/>
        <v>17.0212</v>
      </c>
      <c r="J260" s="29">
        <f t="shared" si="7"/>
        <v>18.926949999999994</v>
      </c>
      <c r="K260" s="29">
        <f t="shared" si="9"/>
        <v>100000</v>
      </c>
    </row>
    <row r="261" spans="1:11" ht="18" x14ac:dyDescent="0.2">
      <c r="A261" s="31">
        <v>37991</v>
      </c>
      <c r="B261" s="30">
        <v>0.19</v>
      </c>
      <c r="C261" s="29">
        <f t="shared" si="10"/>
        <v>0.14040000000000002</v>
      </c>
      <c r="D261" s="29">
        <f t="shared" si="6"/>
        <v>0.22024999999999997</v>
      </c>
      <c r="E261" s="29">
        <f t="shared" si="8"/>
        <v>100000</v>
      </c>
      <c r="H261" s="30">
        <v>21.59</v>
      </c>
      <c r="I261" s="29">
        <f t="shared" si="11"/>
        <v>17.146000000000001</v>
      </c>
      <c r="J261" s="29">
        <f t="shared" si="7"/>
        <v>18.909949999999995</v>
      </c>
      <c r="K261" s="29">
        <f t="shared" si="9"/>
        <v>100000</v>
      </c>
    </row>
    <row r="262" spans="1:11" ht="18" x14ac:dyDescent="0.2">
      <c r="A262" s="31">
        <v>37998</v>
      </c>
      <c r="B262" s="30">
        <v>0.19</v>
      </c>
      <c r="C262" s="29">
        <f t="shared" si="10"/>
        <v>0.14260000000000003</v>
      </c>
      <c r="D262" s="29">
        <f t="shared" si="6"/>
        <v>0.22024999999999997</v>
      </c>
      <c r="E262" s="29">
        <f t="shared" si="8"/>
        <v>100000</v>
      </c>
      <c r="H262" s="30">
        <v>21.88</v>
      </c>
      <c r="I262" s="29">
        <f t="shared" si="11"/>
        <v>17.323800000000002</v>
      </c>
      <c r="J262" s="29">
        <f t="shared" si="7"/>
        <v>18.874849999999995</v>
      </c>
      <c r="K262" s="29">
        <f t="shared" si="9"/>
        <v>100000</v>
      </c>
    </row>
    <row r="263" spans="1:11" ht="18" x14ac:dyDescent="0.2">
      <c r="A263" s="31">
        <v>38005</v>
      </c>
      <c r="B263" s="30">
        <v>0.18</v>
      </c>
      <c r="C263" s="29">
        <f t="shared" si="10"/>
        <v>0.14480000000000004</v>
      </c>
      <c r="D263" s="29">
        <f t="shared" si="6"/>
        <v>0.22024999999999997</v>
      </c>
      <c r="E263" s="29">
        <f t="shared" si="8"/>
        <v>100000</v>
      </c>
      <c r="H263" s="3">
        <v>22.06</v>
      </c>
      <c r="I263" s="29">
        <f t="shared" si="11"/>
        <v>17.5124</v>
      </c>
      <c r="J263" s="29">
        <f t="shared" si="7"/>
        <v>18.832399999999993</v>
      </c>
      <c r="K263" s="29">
        <f t="shared" si="9"/>
        <v>100000</v>
      </c>
    </row>
    <row r="264" spans="1:11" ht="18" x14ac:dyDescent="0.2">
      <c r="A264" s="31">
        <v>38012</v>
      </c>
      <c r="B264" s="30">
        <v>0.17</v>
      </c>
      <c r="C264" s="29">
        <f t="shared" si="10"/>
        <v>0.14640000000000003</v>
      </c>
      <c r="D264" s="29">
        <f t="shared" si="6"/>
        <v>0.22029999999999997</v>
      </c>
      <c r="E264" s="29">
        <f t="shared" si="8"/>
        <v>100000</v>
      </c>
      <c r="H264" s="3">
        <v>21.66</v>
      </c>
      <c r="I264" s="29">
        <f t="shared" si="11"/>
        <v>17.719000000000001</v>
      </c>
      <c r="J264" s="29">
        <f t="shared" si="7"/>
        <v>18.802249999999994</v>
      </c>
      <c r="K264" s="29">
        <f t="shared" si="9"/>
        <v>100000</v>
      </c>
    </row>
    <row r="265" spans="1:11" ht="18" x14ac:dyDescent="0.2">
      <c r="A265" s="31">
        <v>38019</v>
      </c>
      <c r="B265" s="30">
        <v>0.17</v>
      </c>
      <c r="C265" s="29">
        <f t="shared" si="10"/>
        <v>0.14780000000000004</v>
      </c>
      <c r="D265" s="29">
        <f t="shared" ref="D265:D328" si="12">AVERAGE(B66:B265)</f>
        <v>0.22015000000000001</v>
      </c>
      <c r="E265" s="29">
        <f t="shared" si="8"/>
        <v>100000</v>
      </c>
      <c r="H265" s="3">
        <v>22.13</v>
      </c>
      <c r="I265" s="29">
        <f t="shared" si="11"/>
        <v>17.919</v>
      </c>
      <c r="J265" s="29">
        <f t="shared" ref="J265:J328" si="13">AVERAGE(H66:H265)</f>
        <v>18.775749999999995</v>
      </c>
      <c r="K265" s="29">
        <f t="shared" si="9"/>
        <v>100000</v>
      </c>
    </row>
    <row r="266" spans="1:11" ht="18" x14ac:dyDescent="0.2">
      <c r="A266" s="31">
        <v>38026</v>
      </c>
      <c r="B266" s="30">
        <v>0.18</v>
      </c>
      <c r="C266" s="29">
        <f t="shared" si="10"/>
        <v>0.14940000000000001</v>
      </c>
      <c r="D266" s="29">
        <f t="shared" si="12"/>
        <v>0.22039999999999998</v>
      </c>
      <c r="E266" s="29">
        <f t="shared" ref="E266:E329" si="14">IF( C266&gt;D266,E265*B266/B265,100000)</f>
        <v>100000</v>
      </c>
      <c r="H266" s="3">
        <v>22.37</v>
      </c>
      <c r="I266" s="29">
        <f t="shared" si="11"/>
        <v>18.1174</v>
      </c>
      <c r="J266" s="29">
        <f t="shared" si="13"/>
        <v>18.76169999999999</v>
      </c>
      <c r="K266" s="29">
        <f t="shared" ref="K266:K329" si="15">IF(I266&gt;J266,K265*H266/H265,100000)</f>
        <v>100000</v>
      </c>
    </row>
    <row r="267" spans="1:11" ht="18" x14ac:dyDescent="0.2">
      <c r="A267" s="31">
        <v>38033</v>
      </c>
      <c r="B267" s="30">
        <v>0.18</v>
      </c>
      <c r="C267" s="29">
        <f t="shared" si="10"/>
        <v>0.15100000000000002</v>
      </c>
      <c r="D267" s="29">
        <f t="shared" si="12"/>
        <v>0.22055</v>
      </c>
      <c r="E267" s="29">
        <f t="shared" si="14"/>
        <v>100000</v>
      </c>
      <c r="H267" s="3">
        <v>22.6</v>
      </c>
      <c r="I267" s="29">
        <f t="shared" si="11"/>
        <v>18.322799999999997</v>
      </c>
      <c r="J267" s="29">
        <f t="shared" si="13"/>
        <v>18.751299999999993</v>
      </c>
      <c r="K267" s="29">
        <f t="shared" si="15"/>
        <v>100000</v>
      </c>
    </row>
    <row r="268" spans="1:11" ht="18" x14ac:dyDescent="0.2">
      <c r="A268" s="31">
        <v>38040</v>
      </c>
      <c r="B268" s="30">
        <v>0.17</v>
      </c>
      <c r="C268" s="29">
        <f t="shared" si="10"/>
        <v>0.15240000000000001</v>
      </c>
      <c r="D268" s="29">
        <f t="shared" si="12"/>
        <v>0.22055</v>
      </c>
      <c r="E268" s="29">
        <f t="shared" si="14"/>
        <v>100000</v>
      </c>
      <c r="H268" s="3">
        <v>22.85</v>
      </c>
      <c r="I268" s="29">
        <f t="shared" si="11"/>
        <v>18.536999999999999</v>
      </c>
      <c r="J268" s="29">
        <f t="shared" si="13"/>
        <v>18.750399999999992</v>
      </c>
      <c r="K268" s="29">
        <f t="shared" si="15"/>
        <v>100000</v>
      </c>
    </row>
    <row r="269" spans="1:11" ht="18" x14ac:dyDescent="0.2">
      <c r="A269" s="31">
        <v>38047</v>
      </c>
      <c r="B269" s="30">
        <v>0.17</v>
      </c>
      <c r="C269" s="29">
        <f t="shared" si="10"/>
        <v>0.15360000000000001</v>
      </c>
      <c r="D269" s="29">
        <f t="shared" si="12"/>
        <v>0.2205</v>
      </c>
      <c r="E269" s="29">
        <f t="shared" si="14"/>
        <v>100000</v>
      </c>
      <c r="H269" s="3">
        <v>23.96</v>
      </c>
      <c r="I269" s="29">
        <f t="shared" si="11"/>
        <v>18.767199999999999</v>
      </c>
      <c r="J269" s="29">
        <f t="shared" si="13"/>
        <v>18.75494999999999</v>
      </c>
      <c r="K269" s="29">
        <f t="shared" si="15"/>
        <v>104857.7680525164</v>
      </c>
    </row>
    <row r="270" spans="1:11" ht="18" x14ac:dyDescent="0.2">
      <c r="A270" s="31">
        <v>38054</v>
      </c>
      <c r="B270" s="30">
        <v>0.16</v>
      </c>
      <c r="C270" s="29">
        <f t="shared" si="10"/>
        <v>0.15479999999999999</v>
      </c>
      <c r="D270" s="29">
        <f t="shared" si="12"/>
        <v>0.22055</v>
      </c>
      <c r="E270" s="29">
        <f t="shared" si="14"/>
        <v>100000</v>
      </c>
      <c r="H270" s="3">
        <v>23.13</v>
      </c>
      <c r="I270" s="29">
        <f t="shared" si="11"/>
        <v>18.9834</v>
      </c>
      <c r="J270" s="29">
        <f t="shared" si="13"/>
        <v>18.756249999999991</v>
      </c>
      <c r="K270" s="29">
        <f t="shared" si="15"/>
        <v>101225.38293216629</v>
      </c>
    </row>
    <row r="271" spans="1:11" ht="18" x14ac:dyDescent="0.2">
      <c r="A271" s="31">
        <v>38061</v>
      </c>
      <c r="B271" s="30">
        <v>0.17</v>
      </c>
      <c r="C271" s="29">
        <f t="shared" si="10"/>
        <v>0.15620000000000001</v>
      </c>
      <c r="D271" s="29">
        <f t="shared" si="12"/>
        <v>0.22040000000000004</v>
      </c>
      <c r="E271" s="29">
        <f t="shared" si="14"/>
        <v>100000</v>
      </c>
      <c r="H271" s="3">
        <v>23.02</v>
      </c>
      <c r="I271" s="29">
        <f t="shared" si="11"/>
        <v>19.184999999999999</v>
      </c>
      <c r="J271" s="29">
        <f t="shared" si="13"/>
        <v>18.755599999999991</v>
      </c>
      <c r="K271" s="29">
        <f t="shared" si="15"/>
        <v>100743.98249452954</v>
      </c>
    </row>
    <row r="272" spans="1:11" ht="18" x14ac:dyDescent="0.2">
      <c r="A272" s="31">
        <v>38068</v>
      </c>
      <c r="B272" s="30">
        <v>0.19</v>
      </c>
      <c r="C272" s="29">
        <f t="shared" si="10"/>
        <v>0.158</v>
      </c>
      <c r="D272" s="29">
        <f t="shared" si="12"/>
        <v>0.22034999999999999</v>
      </c>
      <c r="E272" s="29">
        <f t="shared" si="14"/>
        <v>100000</v>
      </c>
      <c r="H272" s="3">
        <v>22.98</v>
      </c>
      <c r="I272" s="29">
        <f t="shared" si="11"/>
        <v>19.372399999999999</v>
      </c>
      <c r="J272" s="29">
        <f t="shared" si="13"/>
        <v>18.75794999999999</v>
      </c>
      <c r="K272" s="29">
        <f t="shared" si="15"/>
        <v>100568.92778993436</v>
      </c>
    </row>
    <row r="273" spans="1:11" ht="18" x14ac:dyDescent="0.2">
      <c r="A273" s="31">
        <v>38075</v>
      </c>
      <c r="B273" s="30">
        <v>0.2</v>
      </c>
      <c r="C273" s="29">
        <f t="shared" si="10"/>
        <v>0.16</v>
      </c>
      <c r="D273" s="29">
        <f t="shared" si="12"/>
        <v>0.22010000000000002</v>
      </c>
      <c r="E273" s="29">
        <f t="shared" si="14"/>
        <v>100000</v>
      </c>
      <c r="H273" s="3">
        <v>23.13</v>
      </c>
      <c r="I273" s="29">
        <f t="shared" si="11"/>
        <v>19.555</v>
      </c>
      <c r="J273" s="29">
        <f t="shared" si="13"/>
        <v>18.744799999999987</v>
      </c>
      <c r="K273" s="29">
        <f t="shared" si="15"/>
        <v>101225.38293216629</v>
      </c>
    </row>
    <row r="274" spans="1:11" ht="18" x14ac:dyDescent="0.2">
      <c r="A274" s="31">
        <v>38082</v>
      </c>
      <c r="B274" s="30">
        <v>0.2</v>
      </c>
      <c r="C274" s="29">
        <f t="shared" si="10"/>
        <v>0.16200000000000001</v>
      </c>
      <c r="D274" s="29">
        <f t="shared" si="12"/>
        <v>0.21990000000000001</v>
      </c>
      <c r="E274" s="29">
        <f t="shared" si="14"/>
        <v>100000</v>
      </c>
      <c r="H274" s="3">
        <v>23.11</v>
      </c>
      <c r="I274" s="29">
        <f t="shared" si="11"/>
        <v>19.722000000000001</v>
      </c>
      <c r="J274" s="29">
        <f t="shared" si="13"/>
        <v>18.743349999999992</v>
      </c>
      <c r="K274" s="29">
        <f t="shared" si="15"/>
        <v>101137.85557986869</v>
      </c>
    </row>
    <row r="275" spans="1:11" ht="18" x14ac:dyDescent="0.2">
      <c r="A275" s="31">
        <v>38089</v>
      </c>
      <c r="B275" s="30">
        <v>0.18</v>
      </c>
      <c r="C275" s="29">
        <f t="shared" si="10"/>
        <v>0.16320000000000004</v>
      </c>
      <c r="D275" s="29">
        <f t="shared" si="12"/>
        <v>0.21935000000000002</v>
      </c>
      <c r="E275" s="29">
        <f t="shared" si="14"/>
        <v>100000</v>
      </c>
      <c r="H275" s="3">
        <v>22.05</v>
      </c>
      <c r="I275" s="29">
        <f t="shared" si="11"/>
        <v>19.881600000000002</v>
      </c>
      <c r="J275" s="29">
        <f t="shared" si="13"/>
        <v>18.744799999999994</v>
      </c>
      <c r="K275" s="29">
        <f t="shared" si="15"/>
        <v>96498.905908096262</v>
      </c>
    </row>
    <row r="276" spans="1:11" ht="18" x14ac:dyDescent="0.2">
      <c r="A276" s="31">
        <v>38096</v>
      </c>
      <c r="B276" s="30">
        <v>0.18</v>
      </c>
      <c r="C276" s="29">
        <f t="shared" si="10"/>
        <v>0.16360000000000002</v>
      </c>
      <c r="D276" s="29">
        <f t="shared" si="12"/>
        <v>0.21885000000000002</v>
      </c>
      <c r="E276" s="29">
        <f t="shared" si="14"/>
        <v>100000</v>
      </c>
      <c r="H276" s="3">
        <v>21.51</v>
      </c>
      <c r="I276" s="29">
        <f t="shared" si="11"/>
        <v>19.999399999999998</v>
      </c>
      <c r="J276" s="29">
        <f t="shared" si="13"/>
        <v>18.740099999999995</v>
      </c>
      <c r="K276" s="29">
        <f t="shared" si="15"/>
        <v>94135.667396061253</v>
      </c>
    </row>
    <row r="277" spans="1:11" ht="18" x14ac:dyDescent="0.2">
      <c r="A277" s="31">
        <v>38103</v>
      </c>
      <c r="B277" s="30">
        <v>0.16</v>
      </c>
      <c r="C277" s="29">
        <f t="shared" si="10"/>
        <v>0.1636</v>
      </c>
      <c r="D277" s="29">
        <f t="shared" si="12"/>
        <v>0.21844999999999998</v>
      </c>
      <c r="E277" s="29">
        <f t="shared" si="14"/>
        <v>100000</v>
      </c>
      <c r="H277" s="3">
        <v>21.12</v>
      </c>
      <c r="I277" s="29">
        <f t="shared" si="11"/>
        <v>20.103999999999999</v>
      </c>
      <c r="J277" s="29">
        <f t="shared" si="13"/>
        <v>18.735399999999995</v>
      </c>
      <c r="K277" s="29">
        <f t="shared" si="15"/>
        <v>92428.88402625818</v>
      </c>
    </row>
    <row r="278" spans="1:11" ht="18" x14ac:dyDescent="0.2">
      <c r="A278" s="31">
        <v>38110</v>
      </c>
      <c r="B278" s="30">
        <v>0.17</v>
      </c>
      <c r="C278" s="29">
        <f t="shared" si="10"/>
        <v>0.1638</v>
      </c>
      <c r="D278" s="29">
        <f t="shared" si="12"/>
        <v>0.21820000000000001</v>
      </c>
      <c r="E278" s="29">
        <f t="shared" si="14"/>
        <v>100000</v>
      </c>
      <c r="H278" s="3">
        <v>20.49</v>
      </c>
      <c r="I278" s="29">
        <f t="shared" si="11"/>
        <v>20.188199999999998</v>
      </c>
      <c r="J278" s="29">
        <f t="shared" si="13"/>
        <v>18.717999999999993</v>
      </c>
      <c r="K278" s="29">
        <f t="shared" si="15"/>
        <v>89671.772428883982</v>
      </c>
    </row>
    <row r="279" spans="1:11" ht="18" x14ac:dyDescent="0.2">
      <c r="A279" s="31">
        <v>38117</v>
      </c>
      <c r="B279" s="30">
        <v>0.16</v>
      </c>
      <c r="C279" s="29">
        <f t="shared" si="10"/>
        <v>0.16299999999999998</v>
      </c>
      <c r="D279" s="29">
        <f t="shared" si="12"/>
        <v>0.21759999999999999</v>
      </c>
      <c r="E279" s="29">
        <f t="shared" si="14"/>
        <v>100000</v>
      </c>
      <c r="H279" s="3">
        <v>20.03</v>
      </c>
      <c r="I279" s="29">
        <f t="shared" si="11"/>
        <v>20.2636</v>
      </c>
      <c r="J279" s="29">
        <f t="shared" si="13"/>
        <v>18.691549999999992</v>
      </c>
      <c r="K279" s="29">
        <f t="shared" si="15"/>
        <v>87658.643326039368</v>
      </c>
    </row>
    <row r="280" spans="1:11" ht="18" x14ac:dyDescent="0.2">
      <c r="A280" s="31">
        <v>38124</v>
      </c>
      <c r="B280" s="30">
        <v>0.16</v>
      </c>
      <c r="C280" s="29">
        <f t="shared" si="10"/>
        <v>0.16219999999999998</v>
      </c>
      <c r="D280" s="29">
        <f t="shared" si="12"/>
        <v>0.21704999999999991</v>
      </c>
      <c r="E280" s="29">
        <f t="shared" si="14"/>
        <v>100000</v>
      </c>
      <c r="H280" s="3">
        <v>20.260000000000002</v>
      </c>
      <c r="I280" s="29">
        <f t="shared" si="11"/>
        <v>20.308599999999998</v>
      </c>
      <c r="J280" s="29">
        <f t="shared" si="13"/>
        <v>18.665699999999998</v>
      </c>
      <c r="K280" s="29">
        <f t="shared" si="15"/>
        <v>88665.207877461682</v>
      </c>
    </row>
    <row r="281" spans="1:11" ht="18" x14ac:dyDescent="0.2">
      <c r="A281" s="31">
        <v>38131</v>
      </c>
      <c r="B281" s="30">
        <v>0.18</v>
      </c>
      <c r="C281" s="29">
        <f t="shared" si="10"/>
        <v>0.16219999999999998</v>
      </c>
      <c r="D281" s="29">
        <f t="shared" si="12"/>
        <v>0.21689999999999995</v>
      </c>
      <c r="E281" s="29">
        <f t="shared" si="14"/>
        <v>100000</v>
      </c>
      <c r="H281" s="3">
        <v>20.69</v>
      </c>
      <c r="I281" s="29">
        <f t="shared" si="11"/>
        <v>20.333600000000001</v>
      </c>
      <c r="J281" s="29">
        <f t="shared" si="13"/>
        <v>18.652499999999996</v>
      </c>
      <c r="K281" s="29">
        <f t="shared" si="15"/>
        <v>90547.045951859938</v>
      </c>
    </row>
    <row r="282" spans="1:11" ht="18" x14ac:dyDescent="0.2">
      <c r="A282" s="31">
        <v>38138</v>
      </c>
      <c r="B282" s="30">
        <v>0.17</v>
      </c>
      <c r="C282" s="29">
        <f t="shared" si="10"/>
        <v>0.16200000000000001</v>
      </c>
      <c r="D282" s="29">
        <f t="shared" si="12"/>
        <v>0.21654999999999994</v>
      </c>
      <c r="E282" s="29">
        <f t="shared" si="14"/>
        <v>100000</v>
      </c>
      <c r="H282" s="3">
        <v>20.94</v>
      </c>
      <c r="I282" s="29">
        <f t="shared" si="11"/>
        <v>20.3718</v>
      </c>
      <c r="J282" s="29">
        <f t="shared" si="13"/>
        <v>18.630749999999995</v>
      </c>
      <c r="K282" s="29">
        <f t="shared" si="15"/>
        <v>91641.137855579858</v>
      </c>
    </row>
    <row r="283" spans="1:11" ht="18" x14ac:dyDescent="0.2">
      <c r="A283" s="31">
        <v>38145</v>
      </c>
      <c r="B283" s="30">
        <v>0.16</v>
      </c>
      <c r="C283" s="29">
        <f t="shared" si="10"/>
        <v>0.1618</v>
      </c>
      <c r="D283" s="29">
        <f t="shared" si="12"/>
        <v>0.21609999999999993</v>
      </c>
      <c r="E283" s="29">
        <f t="shared" si="14"/>
        <v>100000</v>
      </c>
      <c r="H283" s="3">
        <v>21.23</v>
      </c>
      <c r="I283" s="29">
        <f t="shared" si="11"/>
        <v>20.414000000000001</v>
      </c>
      <c r="J283" s="29">
        <f t="shared" si="13"/>
        <v>18.611499999999996</v>
      </c>
      <c r="K283" s="29">
        <f t="shared" si="15"/>
        <v>92910.284463894946</v>
      </c>
    </row>
    <row r="284" spans="1:11" ht="18" x14ac:dyDescent="0.2">
      <c r="A284" s="31">
        <v>38152</v>
      </c>
      <c r="B284" s="30">
        <v>0.15</v>
      </c>
      <c r="C284" s="29">
        <f t="shared" si="10"/>
        <v>0.16120000000000001</v>
      </c>
      <c r="D284" s="29">
        <f t="shared" si="12"/>
        <v>0.2153999999999999</v>
      </c>
      <c r="E284" s="29">
        <f t="shared" si="14"/>
        <v>100000</v>
      </c>
      <c r="H284" s="3">
        <v>20.91</v>
      </c>
      <c r="I284" s="29">
        <f t="shared" si="11"/>
        <v>20.471600000000002</v>
      </c>
      <c r="J284" s="29">
        <f t="shared" si="13"/>
        <v>18.593699999999998</v>
      </c>
      <c r="K284" s="29">
        <f t="shared" si="15"/>
        <v>91509.846827133457</v>
      </c>
    </row>
    <row r="285" spans="1:11" ht="18" x14ac:dyDescent="0.2">
      <c r="A285" s="31">
        <v>38159</v>
      </c>
      <c r="B285" s="30">
        <v>0.15</v>
      </c>
      <c r="C285" s="29">
        <f t="shared" si="10"/>
        <v>0.16039999999999999</v>
      </c>
      <c r="D285" s="29">
        <f t="shared" si="12"/>
        <v>0.21469999999999984</v>
      </c>
      <c r="E285" s="29">
        <f t="shared" si="14"/>
        <v>100000</v>
      </c>
      <c r="H285" s="3">
        <v>21.33</v>
      </c>
      <c r="I285" s="29">
        <f t="shared" si="11"/>
        <v>20.520399999999999</v>
      </c>
      <c r="J285" s="29">
        <f t="shared" si="13"/>
        <v>18.574799999999996</v>
      </c>
      <c r="K285" s="29">
        <f t="shared" si="15"/>
        <v>93347.921225382903</v>
      </c>
    </row>
    <row r="286" spans="1:11" ht="18" x14ac:dyDescent="0.2">
      <c r="A286" s="31">
        <v>38166</v>
      </c>
      <c r="B286" s="30">
        <v>0.15</v>
      </c>
      <c r="C286" s="29">
        <f t="shared" si="10"/>
        <v>0.16020000000000001</v>
      </c>
      <c r="D286" s="29">
        <f t="shared" si="12"/>
        <v>0.21394999999999981</v>
      </c>
      <c r="E286" s="29">
        <f t="shared" si="14"/>
        <v>100000</v>
      </c>
      <c r="H286" s="3">
        <v>21.39</v>
      </c>
      <c r="I286" s="29">
        <f t="shared" si="11"/>
        <v>20.555999999999997</v>
      </c>
      <c r="J286" s="29">
        <f t="shared" si="13"/>
        <v>18.545999999999992</v>
      </c>
      <c r="K286" s="29">
        <f t="shared" si="15"/>
        <v>93610.503282275691</v>
      </c>
    </row>
    <row r="287" spans="1:11" ht="18" x14ac:dyDescent="0.2">
      <c r="A287" s="31">
        <v>38173</v>
      </c>
      <c r="B287" s="30">
        <v>0.13</v>
      </c>
      <c r="C287" s="29">
        <f t="shared" si="10"/>
        <v>0.15960000000000002</v>
      </c>
      <c r="D287" s="29">
        <f t="shared" si="12"/>
        <v>0.21319999999999983</v>
      </c>
      <c r="E287" s="29">
        <f t="shared" si="14"/>
        <v>100000</v>
      </c>
      <c r="H287" s="3">
        <v>20.87</v>
      </c>
      <c r="I287" s="29">
        <f t="shared" si="11"/>
        <v>20.597600000000003</v>
      </c>
      <c r="J287" s="29">
        <f t="shared" si="13"/>
        <v>18.510949999999994</v>
      </c>
      <c r="K287" s="29">
        <f t="shared" si="15"/>
        <v>91334.792122538274</v>
      </c>
    </row>
    <row r="288" spans="1:11" ht="18" x14ac:dyDescent="0.2">
      <c r="A288" s="31">
        <v>38180</v>
      </c>
      <c r="B288" s="30">
        <v>0.12</v>
      </c>
      <c r="C288" s="29">
        <f t="shared" si="10"/>
        <v>0.15900000000000003</v>
      </c>
      <c r="D288" s="29">
        <f t="shared" si="12"/>
        <v>0.21244999999999983</v>
      </c>
      <c r="E288" s="29">
        <f t="shared" si="14"/>
        <v>100000</v>
      </c>
      <c r="H288" s="3">
        <v>20.32</v>
      </c>
      <c r="I288" s="29">
        <f t="shared" si="11"/>
        <v>20.627200000000002</v>
      </c>
      <c r="J288" s="29">
        <f t="shared" si="13"/>
        <v>18.494099999999992</v>
      </c>
      <c r="K288" s="29">
        <f t="shared" si="15"/>
        <v>88927.78993435447</v>
      </c>
    </row>
    <row r="289" spans="1:11" ht="18" x14ac:dyDescent="0.2">
      <c r="A289" s="31">
        <v>38187</v>
      </c>
      <c r="B289" s="30">
        <v>0.11</v>
      </c>
      <c r="C289" s="29">
        <f t="shared" si="10"/>
        <v>0.15880000000000002</v>
      </c>
      <c r="D289" s="29">
        <f t="shared" si="12"/>
        <v>0.21164999999999984</v>
      </c>
      <c r="E289" s="29">
        <f t="shared" si="14"/>
        <v>100000</v>
      </c>
      <c r="H289" s="3">
        <v>20.7</v>
      </c>
      <c r="I289" s="29">
        <f t="shared" si="11"/>
        <v>20.669000000000004</v>
      </c>
      <c r="J289" s="29">
        <f t="shared" si="13"/>
        <v>18.483699999999992</v>
      </c>
      <c r="K289" s="29">
        <f t="shared" si="15"/>
        <v>90590.809628008734</v>
      </c>
    </row>
    <row r="290" spans="1:11" ht="18" x14ac:dyDescent="0.2">
      <c r="A290" s="31">
        <v>38194</v>
      </c>
      <c r="B290" s="30">
        <v>0.12</v>
      </c>
      <c r="C290" s="29">
        <f t="shared" si="10"/>
        <v>0.15880000000000005</v>
      </c>
      <c r="D290" s="29">
        <f t="shared" si="12"/>
        <v>0.21069999999999986</v>
      </c>
      <c r="E290" s="29">
        <f t="shared" si="14"/>
        <v>100000</v>
      </c>
      <c r="H290" s="3">
        <v>21.15</v>
      </c>
      <c r="I290" s="29">
        <f t="shared" si="11"/>
        <v>20.722400000000004</v>
      </c>
      <c r="J290" s="29">
        <f t="shared" si="13"/>
        <v>18.478099999999994</v>
      </c>
      <c r="K290" s="29">
        <f t="shared" si="15"/>
        <v>92560.175054704581</v>
      </c>
    </row>
    <row r="291" spans="1:11" ht="18" x14ac:dyDescent="0.2">
      <c r="A291" s="31">
        <v>38201</v>
      </c>
      <c r="B291" s="30">
        <v>7.0000000000000007E-2</v>
      </c>
      <c r="C291" s="29">
        <f t="shared" si="10"/>
        <v>0.15740000000000004</v>
      </c>
      <c r="D291" s="29">
        <f t="shared" si="12"/>
        <v>0.20974999999999991</v>
      </c>
      <c r="E291" s="29">
        <f t="shared" si="14"/>
        <v>100000</v>
      </c>
      <c r="H291" s="3">
        <v>20.45</v>
      </c>
      <c r="I291" s="29">
        <f t="shared" si="11"/>
        <v>20.777400000000007</v>
      </c>
      <c r="J291" s="29">
        <f t="shared" si="13"/>
        <v>18.476999999999993</v>
      </c>
      <c r="K291" s="29">
        <f t="shared" si="15"/>
        <v>89496.717724288828</v>
      </c>
    </row>
    <row r="292" spans="1:11" ht="18" x14ac:dyDescent="0.2">
      <c r="A292" s="31">
        <v>38208</v>
      </c>
      <c r="B292" s="30">
        <v>0.08</v>
      </c>
      <c r="C292" s="29">
        <f t="shared" si="10"/>
        <v>0.15620000000000003</v>
      </c>
      <c r="D292" s="29">
        <f t="shared" si="12"/>
        <v>0.20889999999999986</v>
      </c>
      <c r="E292" s="29">
        <f t="shared" si="14"/>
        <v>100000</v>
      </c>
      <c r="H292" s="3">
        <v>20.89</v>
      </c>
      <c r="I292" s="29">
        <f t="shared" si="11"/>
        <v>20.815600000000003</v>
      </c>
      <c r="J292" s="29">
        <f t="shared" si="13"/>
        <v>18.485099999999992</v>
      </c>
      <c r="K292" s="29">
        <f t="shared" si="15"/>
        <v>91422.31947483588</v>
      </c>
    </row>
    <row r="293" spans="1:11" ht="18" x14ac:dyDescent="0.2">
      <c r="A293" s="31">
        <v>38215</v>
      </c>
      <c r="B293" s="30">
        <v>0.09</v>
      </c>
      <c r="C293" s="29">
        <f t="shared" si="10"/>
        <v>0.15520000000000006</v>
      </c>
      <c r="D293" s="29">
        <f t="shared" si="12"/>
        <v>0.20799999999999985</v>
      </c>
      <c r="E293" s="29">
        <f t="shared" si="14"/>
        <v>100000</v>
      </c>
      <c r="H293" s="3">
        <v>21.9</v>
      </c>
      <c r="I293" s="29">
        <f t="shared" si="11"/>
        <v>20.859400000000004</v>
      </c>
      <c r="J293" s="29">
        <f t="shared" si="13"/>
        <v>18.501449999999995</v>
      </c>
      <c r="K293" s="29">
        <f t="shared" si="15"/>
        <v>95842.450765864312</v>
      </c>
    </row>
    <row r="294" spans="1:11" ht="18" x14ac:dyDescent="0.2">
      <c r="A294" s="31">
        <v>38222</v>
      </c>
      <c r="B294" s="30">
        <v>0.1</v>
      </c>
      <c r="C294" s="29">
        <f t="shared" si="10"/>
        <v>0.15420000000000003</v>
      </c>
      <c r="D294" s="29">
        <f t="shared" si="12"/>
        <v>0.20734999999999984</v>
      </c>
      <c r="E294" s="29">
        <f t="shared" si="14"/>
        <v>100000</v>
      </c>
      <c r="H294" s="3">
        <v>22.5</v>
      </c>
      <c r="I294" s="29">
        <f t="shared" si="11"/>
        <v>20.923600000000008</v>
      </c>
      <c r="J294" s="29">
        <f t="shared" si="13"/>
        <v>18.510299999999994</v>
      </c>
      <c r="K294" s="29">
        <f t="shared" si="15"/>
        <v>98468.271334792094</v>
      </c>
    </row>
    <row r="295" spans="1:11" ht="18" x14ac:dyDescent="0.2">
      <c r="A295" s="31">
        <v>38229</v>
      </c>
      <c r="B295" s="30">
        <v>0.1</v>
      </c>
      <c r="C295" s="29">
        <f t="shared" si="10"/>
        <v>0.15320000000000003</v>
      </c>
      <c r="D295" s="29">
        <f t="shared" si="12"/>
        <v>0.20649999999999988</v>
      </c>
      <c r="E295" s="29">
        <f t="shared" si="14"/>
        <v>100000</v>
      </c>
      <c r="H295" s="3">
        <v>22.58</v>
      </c>
      <c r="I295" s="29">
        <f t="shared" si="11"/>
        <v>21.002000000000002</v>
      </c>
      <c r="J295" s="29">
        <f t="shared" si="13"/>
        <v>18.515299999999993</v>
      </c>
      <c r="K295" s="29">
        <f t="shared" si="15"/>
        <v>98818.38074398246</v>
      </c>
    </row>
    <row r="296" spans="1:11" ht="18" x14ac:dyDescent="0.2">
      <c r="A296" s="31">
        <v>38236</v>
      </c>
      <c r="B296" s="30">
        <v>0.11</v>
      </c>
      <c r="C296" s="29">
        <f t="shared" si="10"/>
        <v>0.15280000000000002</v>
      </c>
      <c r="D296" s="29">
        <f t="shared" si="12"/>
        <v>0.20594999999999991</v>
      </c>
      <c r="E296" s="29">
        <f t="shared" si="14"/>
        <v>100000</v>
      </c>
      <c r="H296" s="3">
        <v>22.55</v>
      </c>
      <c r="I296" s="29">
        <f t="shared" si="11"/>
        <v>21.065600000000003</v>
      </c>
      <c r="J296" s="29">
        <f t="shared" si="13"/>
        <v>18.524099999999997</v>
      </c>
      <c r="K296" s="29">
        <f t="shared" si="15"/>
        <v>98687.089715536073</v>
      </c>
    </row>
    <row r="297" spans="1:11" ht="18" x14ac:dyDescent="0.2">
      <c r="A297" s="31">
        <v>38243</v>
      </c>
      <c r="B297" s="30">
        <v>0.11</v>
      </c>
      <c r="C297" s="29">
        <f t="shared" si="10"/>
        <v>0.15240000000000004</v>
      </c>
      <c r="D297" s="29">
        <f t="shared" si="12"/>
        <v>0.20529999999999993</v>
      </c>
      <c r="E297" s="29">
        <f t="shared" si="14"/>
        <v>100000</v>
      </c>
      <c r="H297" s="3">
        <v>22.46</v>
      </c>
      <c r="I297" s="29">
        <f t="shared" si="11"/>
        <v>21.142800000000001</v>
      </c>
      <c r="J297" s="29">
        <f t="shared" si="13"/>
        <v>18.540199999999999</v>
      </c>
      <c r="K297" s="29">
        <f t="shared" si="15"/>
        <v>98293.216630196912</v>
      </c>
    </row>
    <row r="298" spans="1:11" ht="18" x14ac:dyDescent="0.2">
      <c r="A298" s="31">
        <v>38250</v>
      </c>
      <c r="B298" s="30">
        <v>0.11</v>
      </c>
      <c r="C298" s="29">
        <f t="shared" si="10"/>
        <v>0.15200000000000002</v>
      </c>
      <c r="D298" s="29">
        <f t="shared" si="12"/>
        <v>0.20474999999999993</v>
      </c>
      <c r="E298" s="29">
        <f t="shared" si="14"/>
        <v>100000</v>
      </c>
      <c r="H298" s="3">
        <v>22.52</v>
      </c>
      <c r="I298" s="29">
        <f t="shared" si="11"/>
        <v>21.207600000000006</v>
      </c>
      <c r="J298" s="29">
        <f t="shared" si="13"/>
        <v>18.5578</v>
      </c>
      <c r="K298" s="29">
        <f t="shared" si="15"/>
        <v>98555.798687089686</v>
      </c>
    </row>
    <row r="299" spans="1:11" ht="18" x14ac:dyDescent="0.2">
      <c r="A299" s="31">
        <v>38257</v>
      </c>
      <c r="B299" s="30">
        <v>0.12</v>
      </c>
      <c r="C299" s="29">
        <f t="shared" si="10"/>
        <v>0.15180000000000005</v>
      </c>
      <c r="D299" s="29">
        <f t="shared" si="12"/>
        <v>0.20449999999999996</v>
      </c>
      <c r="E299" s="29">
        <f t="shared" si="14"/>
        <v>100000</v>
      </c>
      <c r="H299" s="3">
        <v>22.85</v>
      </c>
      <c r="I299" s="29">
        <f t="shared" si="11"/>
        <v>21.266000000000005</v>
      </c>
      <c r="J299" s="29">
        <f t="shared" si="13"/>
        <v>18.58145</v>
      </c>
      <c r="K299" s="29">
        <f t="shared" si="15"/>
        <v>99999.999999999985</v>
      </c>
    </row>
    <row r="300" spans="1:11" ht="18" x14ac:dyDescent="0.2">
      <c r="A300" s="31">
        <v>38264</v>
      </c>
      <c r="B300" s="30">
        <v>0.11</v>
      </c>
      <c r="C300" s="29">
        <f t="shared" si="10"/>
        <v>0.15140000000000003</v>
      </c>
      <c r="D300" s="29">
        <f t="shared" si="12"/>
        <v>0.20409999999999998</v>
      </c>
      <c r="E300" s="29">
        <f t="shared" si="14"/>
        <v>100000</v>
      </c>
      <c r="H300" s="3">
        <v>22.46</v>
      </c>
      <c r="I300" s="29">
        <f t="shared" si="11"/>
        <v>21.321800000000003</v>
      </c>
      <c r="J300" s="29">
        <f t="shared" si="13"/>
        <v>18.59665</v>
      </c>
      <c r="K300" s="29">
        <f t="shared" si="15"/>
        <v>98293.216630196912</v>
      </c>
    </row>
    <row r="301" spans="1:11" ht="18" x14ac:dyDescent="0.2">
      <c r="A301" s="31">
        <v>38271</v>
      </c>
      <c r="B301" s="30">
        <v>0.1</v>
      </c>
      <c r="C301" s="29">
        <f t="shared" si="10"/>
        <v>0.15060000000000004</v>
      </c>
      <c r="D301" s="29">
        <f t="shared" si="12"/>
        <v>0.20389999999999997</v>
      </c>
      <c r="E301" s="29">
        <f t="shared" si="14"/>
        <v>100000</v>
      </c>
      <c r="H301" s="3">
        <v>22.13</v>
      </c>
      <c r="I301" s="29">
        <f t="shared" si="11"/>
        <v>21.387200000000004</v>
      </c>
      <c r="J301" s="29">
        <f t="shared" si="13"/>
        <v>18.600650000000002</v>
      </c>
      <c r="K301" s="29">
        <f t="shared" si="15"/>
        <v>96849.015317286627</v>
      </c>
    </row>
    <row r="302" spans="1:11" ht="18" x14ac:dyDescent="0.2">
      <c r="A302" s="31">
        <v>38278</v>
      </c>
      <c r="B302" s="30">
        <v>0.1</v>
      </c>
      <c r="C302" s="29">
        <f t="shared" si="10"/>
        <v>0.14920000000000005</v>
      </c>
      <c r="D302" s="29">
        <f t="shared" si="12"/>
        <v>0.20374999999999996</v>
      </c>
      <c r="E302" s="29">
        <f t="shared" si="14"/>
        <v>100000</v>
      </c>
      <c r="H302" s="3">
        <v>21.41</v>
      </c>
      <c r="I302" s="29">
        <f t="shared" si="11"/>
        <v>21.433600000000006</v>
      </c>
      <c r="J302" s="29">
        <f t="shared" si="13"/>
        <v>18.596950000000003</v>
      </c>
      <c r="K302" s="29">
        <f t="shared" si="15"/>
        <v>93698.030634573282</v>
      </c>
    </row>
    <row r="303" spans="1:11" ht="18" x14ac:dyDescent="0.2">
      <c r="A303" s="31">
        <v>38285</v>
      </c>
      <c r="B303" s="30">
        <v>0.11</v>
      </c>
      <c r="C303" s="29">
        <f t="shared" si="10"/>
        <v>0.14840000000000006</v>
      </c>
      <c r="D303" s="29">
        <f t="shared" si="12"/>
        <v>0.20365</v>
      </c>
      <c r="E303" s="29">
        <f t="shared" si="14"/>
        <v>100000</v>
      </c>
      <c r="H303" s="3">
        <v>22.05</v>
      </c>
      <c r="I303" s="29">
        <f t="shared" si="11"/>
        <v>21.464000000000009</v>
      </c>
      <c r="J303" s="29">
        <f t="shared" si="13"/>
        <v>18.596900000000002</v>
      </c>
      <c r="K303" s="29">
        <f t="shared" si="15"/>
        <v>96498.905908096262</v>
      </c>
    </row>
    <row r="304" spans="1:11" ht="18" x14ac:dyDescent="0.2">
      <c r="A304" s="31">
        <v>38292</v>
      </c>
      <c r="B304" s="30">
        <v>0.13</v>
      </c>
      <c r="C304" s="29">
        <f t="shared" si="10"/>
        <v>0.14800000000000005</v>
      </c>
      <c r="D304" s="29">
        <f t="shared" si="12"/>
        <v>0.2036</v>
      </c>
      <c r="E304" s="29">
        <f t="shared" si="14"/>
        <v>100000</v>
      </c>
      <c r="H304" s="3">
        <v>22.48</v>
      </c>
      <c r="I304" s="29">
        <f t="shared" si="11"/>
        <v>21.513600000000007</v>
      </c>
      <c r="J304" s="29">
        <f t="shared" si="13"/>
        <v>18.590500000000002</v>
      </c>
      <c r="K304" s="29">
        <f t="shared" si="15"/>
        <v>98380.743982494503</v>
      </c>
    </row>
    <row r="305" spans="1:11" ht="18" x14ac:dyDescent="0.2">
      <c r="A305" s="31">
        <v>38299</v>
      </c>
      <c r="B305" s="30">
        <v>0.14000000000000001</v>
      </c>
      <c r="C305" s="29">
        <f t="shared" si="10"/>
        <v>0.14760000000000006</v>
      </c>
      <c r="D305" s="29">
        <f t="shared" si="12"/>
        <v>0.20339999999999997</v>
      </c>
      <c r="E305" s="29">
        <f t="shared" si="14"/>
        <v>100000</v>
      </c>
      <c r="H305" s="3">
        <v>22.38</v>
      </c>
      <c r="I305" s="29">
        <f t="shared" si="11"/>
        <v>21.576800000000002</v>
      </c>
      <c r="J305" s="29">
        <f t="shared" si="13"/>
        <v>18.572050000000001</v>
      </c>
      <c r="K305" s="29">
        <f t="shared" si="15"/>
        <v>97943.107221006532</v>
      </c>
    </row>
    <row r="306" spans="1:11" ht="18" x14ac:dyDescent="0.2">
      <c r="A306" s="31">
        <v>38306</v>
      </c>
      <c r="B306" s="30">
        <v>0.14000000000000001</v>
      </c>
      <c r="C306" s="29">
        <f t="shared" si="10"/>
        <v>0.14720000000000003</v>
      </c>
      <c r="D306" s="29">
        <f t="shared" si="12"/>
        <v>0.20309999999999992</v>
      </c>
      <c r="E306" s="29">
        <f t="shared" si="14"/>
        <v>100000</v>
      </c>
      <c r="H306" s="3">
        <v>21.38</v>
      </c>
      <c r="I306" s="29">
        <f t="shared" si="11"/>
        <v>21.633600000000005</v>
      </c>
      <c r="J306" s="29">
        <f t="shared" si="13"/>
        <v>18.555300000000003</v>
      </c>
      <c r="K306" s="29">
        <f t="shared" si="15"/>
        <v>93566.739606126881</v>
      </c>
    </row>
    <row r="307" spans="1:11" ht="18" x14ac:dyDescent="0.2">
      <c r="A307" s="31">
        <v>38313</v>
      </c>
      <c r="B307" s="30">
        <v>0.15</v>
      </c>
      <c r="C307" s="29">
        <f t="shared" ref="C307:C370" si="16">AVERAGE(B258:B307)</f>
        <v>0.14700000000000002</v>
      </c>
      <c r="D307" s="29">
        <f t="shared" si="12"/>
        <v>0.20289999999999989</v>
      </c>
      <c r="E307" s="29">
        <f t="shared" si="14"/>
        <v>100000</v>
      </c>
      <c r="H307" s="3">
        <v>21.53</v>
      </c>
      <c r="I307" s="29">
        <f t="shared" si="11"/>
        <v>21.67540000000001</v>
      </c>
      <c r="J307" s="29">
        <f t="shared" si="13"/>
        <v>18.530450000000005</v>
      </c>
      <c r="K307" s="29">
        <f t="shared" si="15"/>
        <v>94223.19474835883</v>
      </c>
    </row>
    <row r="308" spans="1:11" ht="18" x14ac:dyDescent="0.2">
      <c r="A308" s="31">
        <v>38320</v>
      </c>
      <c r="B308" s="30">
        <v>0.16</v>
      </c>
      <c r="C308" s="29">
        <f t="shared" si="16"/>
        <v>0.14700000000000005</v>
      </c>
      <c r="D308" s="29">
        <f t="shared" si="12"/>
        <v>0.20279999999999984</v>
      </c>
      <c r="E308" s="29">
        <f t="shared" si="14"/>
        <v>100000</v>
      </c>
      <c r="H308" s="3">
        <v>21.75</v>
      </c>
      <c r="I308" s="29">
        <f t="shared" ref="I308:I371" si="17">AVERAGE(H258:H307)</f>
        <v>21.718600000000006</v>
      </c>
      <c r="J308" s="29">
        <f t="shared" si="13"/>
        <v>18.505600000000005</v>
      </c>
      <c r="K308" s="29">
        <f t="shared" si="15"/>
        <v>95185.995623632349</v>
      </c>
    </row>
    <row r="309" spans="1:11" ht="18" x14ac:dyDescent="0.2">
      <c r="A309" s="31">
        <v>38327</v>
      </c>
      <c r="B309" s="30">
        <v>0.18</v>
      </c>
      <c r="C309" s="29">
        <f t="shared" si="16"/>
        <v>0.14720000000000005</v>
      </c>
      <c r="D309" s="29">
        <f t="shared" si="12"/>
        <v>0.20284999999999986</v>
      </c>
      <c r="E309" s="29">
        <f t="shared" si="14"/>
        <v>100000</v>
      </c>
      <c r="H309" s="3">
        <v>21.5</v>
      </c>
      <c r="I309" s="29">
        <f t="shared" si="17"/>
        <v>21.758600000000001</v>
      </c>
      <c r="J309" s="29">
        <f t="shared" si="13"/>
        <v>18.486050000000006</v>
      </c>
      <c r="K309" s="29">
        <f t="shared" si="15"/>
        <v>94091.903719912429</v>
      </c>
    </row>
    <row r="310" spans="1:11" ht="18" x14ac:dyDescent="0.2">
      <c r="A310" s="31">
        <v>38334</v>
      </c>
      <c r="B310" s="30">
        <v>0.18</v>
      </c>
      <c r="C310" s="29">
        <f t="shared" si="16"/>
        <v>0.14720000000000005</v>
      </c>
      <c r="D310" s="29">
        <f t="shared" si="12"/>
        <v>0.20259999999999986</v>
      </c>
      <c r="E310" s="29">
        <f t="shared" si="14"/>
        <v>100000</v>
      </c>
      <c r="H310" s="3">
        <v>22.01</v>
      </c>
      <c r="I310" s="29">
        <f t="shared" si="17"/>
        <v>21.788800000000002</v>
      </c>
      <c r="J310" s="29">
        <f t="shared" si="13"/>
        <v>18.468950000000003</v>
      </c>
      <c r="K310" s="29">
        <f t="shared" si="15"/>
        <v>96323.85120350105</v>
      </c>
    </row>
    <row r="311" spans="1:11" ht="18" x14ac:dyDescent="0.2">
      <c r="A311" s="31">
        <v>38341</v>
      </c>
      <c r="B311" s="30">
        <v>0.18</v>
      </c>
      <c r="C311" s="29">
        <f t="shared" si="16"/>
        <v>0.14700000000000002</v>
      </c>
      <c r="D311" s="29">
        <f t="shared" si="12"/>
        <v>0.20244999999999988</v>
      </c>
      <c r="E311" s="29">
        <f t="shared" si="14"/>
        <v>100000</v>
      </c>
      <c r="H311" s="3">
        <v>22.37</v>
      </c>
      <c r="I311" s="29">
        <f t="shared" si="17"/>
        <v>21.824800000000003</v>
      </c>
      <c r="J311" s="29">
        <f t="shared" si="13"/>
        <v>18.465750000000003</v>
      </c>
      <c r="K311" s="29">
        <f t="shared" si="15"/>
        <v>97899.343544857707</v>
      </c>
    </row>
    <row r="312" spans="1:11" ht="18" x14ac:dyDescent="0.2">
      <c r="A312" s="31">
        <v>38348</v>
      </c>
      <c r="B312" s="30">
        <v>0.18</v>
      </c>
      <c r="C312" s="29">
        <f t="shared" si="16"/>
        <v>0.14679999999999999</v>
      </c>
      <c r="D312" s="29">
        <f t="shared" si="12"/>
        <v>0.2024999999999999</v>
      </c>
      <c r="E312" s="29">
        <f t="shared" si="14"/>
        <v>100000</v>
      </c>
      <c r="H312" s="3">
        <v>22.29</v>
      </c>
      <c r="I312" s="29">
        <f t="shared" si="17"/>
        <v>21.840399999999999</v>
      </c>
      <c r="J312" s="29">
        <f t="shared" si="13"/>
        <v>18.465200000000003</v>
      </c>
      <c r="K312" s="29">
        <f t="shared" si="15"/>
        <v>97549.234135667328</v>
      </c>
    </row>
    <row r="313" spans="1:11" ht="18" x14ac:dyDescent="0.2">
      <c r="A313" s="31">
        <v>38355</v>
      </c>
      <c r="B313" s="30">
        <v>0.17</v>
      </c>
      <c r="C313" s="29">
        <f t="shared" si="16"/>
        <v>0.14660000000000001</v>
      </c>
      <c r="D313" s="29">
        <f t="shared" si="12"/>
        <v>0.20239999999999991</v>
      </c>
      <c r="E313" s="29">
        <f t="shared" si="14"/>
        <v>100000</v>
      </c>
      <c r="H313" s="30">
        <v>21.94</v>
      </c>
      <c r="I313" s="29">
        <f t="shared" si="17"/>
        <v>21.848600000000001</v>
      </c>
      <c r="J313" s="29">
        <f t="shared" si="13"/>
        <v>18.455200000000005</v>
      </c>
      <c r="K313" s="29">
        <f t="shared" si="15"/>
        <v>96017.505470459451</v>
      </c>
    </row>
    <row r="314" spans="1:11" ht="18" x14ac:dyDescent="0.2">
      <c r="A314" s="31">
        <v>38362</v>
      </c>
      <c r="B314" s="30">
        <v>0.16</v>
      </c>
      <c r="C314" s="29">
        <f t="shared" si="16"/>
        <v>0.14639999999999997</v>
      </c>
      <c r="D314" s="29">
        <f t="shared" si="12"/>
        <v>0.20204999999999992</v>
      </c>
      <c r="E314" s="29">
        <f t="shared" si="14"/>
        <v>100000</v>
      </c>
      <c r="H314" s="30">
        <v>21.79</v>
      </c>
      <c r="I314" s="29">
        <f t="shared" si="17"/>
        <v>21.8462</v>
      </c>
      <c r="J314" s="29">
        <f t="shared" si="13"/>
        <v>18.455150000000003</v>
      </c>
      <c r="K314" s="29">
        <f t="shared" si="15"/>
        <v>95361.050328227488</v>
      </c>
    </row>
    <row r="315" spans="1:11" ht="18" x14ac:dyDescent="0.2">
      <c r="A315" s="31">
        <v>38369</v>
      </c>
      <c r="B315" s="30">
        <v>0.16</v>
      </c>
      <c r="C315" s="29">
        <f t="shared" si="16"/>
        <v>0.14619999999999997</v>
      </c>
      <c r="D315" s="29">
        <f t="shared" si="12"/>
        <v>0.20154999999999995</v>
      </c>
      <c r="E315" s="29">
        <f t="shared" si="14"/>
        <v>100000</v>
      </c>
      <c r="H315" s="30">
        <v>21.24</v>
      </c>
      <c r="I315" s="29">
        <f t="shared" si="17"/>
        <v>21.848800000000001</v>
      </c>
      <c r="J315" s="29">
        <f t="shared" si="13"/>
        <v>18.459350000000004</v>
      </c>
      <c r="K315" s="29">
        <f t="shared" si="15"/>
        <v>92954.048140043669</v>
      </c>
    </row>
    <row r="316" spans="1:11" ht="18" x14ac:dyDescent="0.2">
      <c r="A316" s="31">
        <v>38376</v>
      </c>
      <c r="B316" s="30">
        <v>0.17</v>
      </c>
      <c r="C316" s="29">
        <f t="shared" si="16"/>
        <v>0.14599999999999999</v>
      </c>
      <c r="D316" s="29">
        <f t="shared" si="12"/>
        <v>0.20114999999999991</v>
      </c>
      <c r="E316" s="29">
        <f t="shared" si="14"/>
        <v>100000</v>
      </c>
      <c r="H316" s="30">
        <v>21.33</v>
      </c>
      <c r="I316" s="29">
        <f t="shared" si="17"/>
        <v>21.831</v>
      </c>
      <c r="J316" s="29">
        <f t="shared" si="13"/>
        <v>18.456200000000003</v>
      </c>
      <c r="K316" s="29">
        <f t="shared" si="15"/>
        <v>93347.92122538283</v>
      </c>
    </row>
    <row r="317" spans="1:11" ht="18" x14ac:dyDescent="0.2">
      <c r="A317" s="31">
        <v>38383</v>
      </c>
      <c r="B317" s="30">
        <v>0.2</v>
      </c>
      <c r="C317" s="29">
        <f t="shared" si="16"/>
        <v>0.14639999999999997</v>
      </c>
      <c r="D317" s="29">
        <f t="shared" si="12"/>
        <v>0.20094999999999996</v>
      </c>
      <c r="E317" s="29">
        <f t="shared" si="14"/>
        <v>100000</v>
      </c>
      <c r="H317" s="30">
        <v>21.72</v>
      </c>
      <c r="I317" s="29">
        <f t="shared" si="17"/>
        <v>21.810199999999995</v>
      </c>
      <c r="J317" s="29">
        <f t="shared" si="13"/>
        <v>18.466049999999999</v>
      </c>
      <c r="K317" s="29">
        <f t="shared" si="15"/>
        <v>95054.704595185904</v>
      </c>
    </row>
    <row r="318" spans="1:11" ht="18" x14ac:dyDescent="0.2">
      <c r="A318" s="31">
        <v>38390</v>
      </c>
      <c r="B318" s="30">
        <v>0.2</v>
      </c>
      <c r="C318" s="29">
        <f t="shared" si="16"/>
        <v>0.14699999999999999</v>
      </c>
      <c r="D318" s="29">
        <f t="shared" si="12"/>
        <v>0.20059999999999995</v>
      </c>
      <c r="E318" s="29">
        <f t="shared" si="14"/>
        <v>100000</v>
      </c>
      <c r="H318" s="30">
        <v>21.6</v>
      </c>
      <c r="I318" s="29">
        <f t="shared" si="17"/>
        <v>21.792599999999997</v>
      </c>
      <c r="J318" s="29">
        <f t="shared" si="13"/>
        <v>18.462200000000003</v>
      </c>
      <c r="K318" s="29">
        <f t="shared" si="15"/>
        <v>94529.540481400356</v>
      </c>
    </row>
    <row r="319" spans="1:11" ht="18" x14ac:dyDescent="0.2">
      <c r="A319" s="31">
        <v>38397</v>
      </c>
      <c r="B319" s="30">
        <v>0.22</v>
      </c>
      <c r="C319" s="29">
        <f t="shared" si="16"/>
        <v>0.14799999999999996</v>
      </c>
      <c r="D319" s="29">
        <f t="shared" si="12"/>
        <v>0.20004999999999998</v>
      </c>
      <c r="E319" s="29">
        <f t="shared" si="14"/>
        <v>100000</v>
      </c>
      <c r="H319" s="30">
        <v>21.04</v>
      </c>
      <c r="I319" s="29">
        <f t="shared" si="17"/>
        <v>21.767599999999998</v>
      </c>
      <c r="J319" s="29">
        <f t="shared" si="13"/>
        <v>18.449550000000002</v>
      </c>
      <c r="K319" s="29">
        <f t="shared" si="15"/>
        <v>92078.774617067742</v>
      </c>
    </row>
    <row r="320" spans="1:11" ht="18" x14ac:dyDescent="0.2">
      <c r="A320" s="31">
        <v>38404</v>
      </c>
      <c r="B320" s="30">
        <v>0.22</v>
      </c>
      <c r="C320" s="29">
        <f t="shared" si="16"/>
        <v>0.14919999999999994</v>
      </c>
      <c r="D320" s="29">
        <f t="shared" si="12"/>
        <v>0.19964999999999997</v>
      </c>
      <c r="E320" s="29">
        <f t="shared" si="14"/>
        <v>100000</v>
      </c>
      <c r="H320" s="30">
        <v>21.31</v>
      </c>
      <c r="I320" s="29">
        <f t="shared" si="17"/>
        <v>21.709199999999996</v>
      </c>
      <c r="J320" s="29">
        <f t="shared" si="13"/>
        <v>18.433200000000003</v>
      </c>
      <c r="K320" s="29">
        <f t="shared" si="15"/>
        <v>93260.393873085253</v>
      </c>
    </row>
    <row r="321" spans="1:11" ht="18" x14ac:dyDescent="0.2">
      <c r="A321" s="31">
        <v>38411</v>
      </c>
      <c r="B321" s="30">
        <v>0.21</v>
      </c>
      <c r="C321" s="29">
        <f t="shared" si="16"/>
        <v>0.14999999999999994</v>
      </c>
      <c r="D321" s="29">
        <f t="shared" si="12"/>
        <v>0.19899999999999998</v>
      </c>
      <c r="E321" s="29">
        <f t="shared" si="14"/>
        <v>100000</v>
      </c>
      <c r="H321" s="30">
        <v>21.62</v>
      </c>
      <c r="I321" s="29">
        <f t="shared" si="17"/>
        <v>21.672799999999999</v>
      </c>
      <c r="J321" s="29">
        <f t="shared" si="13"/>
        <v>18.416550000000001</v>
      </c>
      <c r="K321" s="29">
        <f t="shared" si="15"/>
        <v>94617.067833697962</v>
      </c>
    </row>
    <row r="322" spans="1:11" ht="18" x14ac:dyDescent="0.2">
      <c r="A322" s="31">
        <v>38418</v>
      </c>
      <c r="B322" s="30">
        <v>0.19</v>
      </c>
      <c r="C322" s="29">
        <f t="shared" si="16"/>
        <v>0.14999999999999997</v>
      </c>
      <c r="D322" s="29">
        <f t="shared" si="12"/>
        <v>0.19844999999999999</v>
      </c>
      <c r="E322" s="29">
        <f t="shared" si="14"/>
        <v>100000</v>
      </c>
      <c r="H322" s="30">
        <v>20.81</v>
      </c>
      <c r="I322" s="29">
        <f t="shared" si="17"/>
        <v>21.644799999999996</v>
      </c>
      <c r="J322" s="29">
        <f t="shared" si="13"/>
        <v>18.406099999999999</v>
      </c>
      <c r="K322" s="29">
        <f t="shared" si="15"/>
        <v>91072.210065645442</v>
      </c>
    </row>
    <row r="323" spans="1:11" ht="18" x14ac:dyDescent="0.2">
      <c r="A323" s="31">
        <v>38425</v>
      </c>
      <c r="B323" s="30">
        <v>0.18</v>
      </c>
      <c r="C323" s="29">
        <f t="shared" si="16"/>
        <v>0.14959999999999996</v>
      </c>
      <c r="D323" s="29">
        <f t="shared" si="12"/>
        <v>0.19769999999999999</v>
      </c>
      <c r="E323" s="29">
        <f t="shared" si="14"/>
        <v>100000</v>
      </c>
      <c r="H323" s="30">
        <v>20.76</v>
      </c>
      <c r="I323" s="29">
        <f t="shared" si="17"/>
        <v>21.601399999999995</v>
      </c>
      <c r="J323" s="29">
        <f t="shared" si="13"/>
        <v>18.39115</v>
      </c>
      <c r="K323" s="29">
        <f t="shared" si="15"/>
        <v>90853.391684901464</v>
      </c>
    </row>
    <row r="324" spans="1:11" ht="18" x14ac:dyDescent="0.2">
      <c r="A324" s="31">
        <v>38432</v>
      </c>
      <c r="B324" s="30">
        <v>0.19</v>
      </c>
      <c r="C324" s="29">
        <f t="shared" si="16"/>
        <v>0.14939999999999998</v>
      </c>
      <c r="D324" s="29">
        <f t="shared" si="12"/>
        <v>0.19689999999999994</v>
      </c>
      <c r="E324" s="29">
        <f t="shared" si="14"/>
        <v>100000</v>
      </c>
      <c r="H324" s="30">
        <v>20.13</v>
      </c>
      <c r="I324" s="29">
        <f t="shared" si="17"/>
        <v>21.553999999999991</v>
      </c>
      <c r="J324" s="29">
        <f t="shared" si="13"/>
        <v>18.371700000000004</v>
      </c>
      <c r="K324" s="29">
        <f t="shared" si="15"/>
        <v>88096.280087527281</v>
      </c>
    </row>
    <row r="325" spans="1:11" ht="18" x14ac:dyDescent="0.2">
      <c r="A325" s="31">
        <v>38439</v>
      </c>
      <c r="B325" s="30">
        <v>0.18</v>
      </c>
      <c r="C325" s="29">
        <f t="shared" si="16"/>
        <v>0.14939999999999998</v>
      </c>
      <c r="D325" s="29">
        <f t="shared" si="12"/>
        <v>0.19604999999999997</v>
      </c>
      <c r="E325" s="29">
        <f t="shared" si="14"/>
        <v>100000</v>
      </c>
      <c r="H325" s="30">
        <v>19.739999999999998</v>
      </c>
      <c r="I325" s="29">
        <f t="shared" si="17"/>
        <v>21.494399999999995</v>
      </c>
      <c r="J325" s="29">
        <f t="shared" si="13"/>
        <v>18.34985</v>
      </c>
      <c r="K325" s="29">
        <f t="shared" si="15"/>
        <v>86389.496717724222</v>
      </c>
    </row>
    <row r="326" spans="1:11" ht="18" x14ac:dyDescent="0.2">
      <c r="A326" s="31">
        <v>38446</v>
      </c>
      <c r="B326" s="30">
        <v>0.18</v>
      </c>
      <c r="C326" s="29">
        <f t="shared" si="16"/>
        <v>0.14939999999999995</v>
      </c>
      <c r="D326" s="29">
        <f t="shared" si="12"/>
        <v>0.19509999999999997</v>
      </c>
      <c r="E326" s="29">
        <f t="shared" si="14"/>
        <v>100000</v>
      </c>
      <c r="H326" s="30">
        <v>19.88</v>
      </c>
      <c r="I326" s="29">
        <f t="shared" si="17"/>
        <v>21.448199999999996</v>
      </c>
      <c r="J326" s="29">
        <f t="shared" si="13"/>
        <v>18.340250000000005</v>
      </c>
      <c r="K326" s="29">
        <f t="shared" si="15"/>
        <v>87002.188183807375</v>
      </c>
    </row>
    <row r="327" spans="1:11" ht="18" x14ac:dyDescent="0.2">
      <c r="A327" s="31">
        <v>38453</v>
      </c>
      <c r="B327" s="30">
        <v>0.16</v>
      </c>
      <c r="C327" s="29">
        <f t="shared" si="16"/>
        <v>0.14939999999999998</v>
      </c>
      <c r="D327" s="29">
        <f t="shared" si="12"/>
        <v>0.19409999999999997</v>
      </c>
      <c r="E327" s="29">
        <f t="shared" si="14"/>
        <v>100000</v>
      </c>
      <c r="H327" s="30">
        <v>19.75</v>
      </c>
      <c r="I327" s="29">
        <f t="shared" si="17"/>
        <v>21.415599999999998</v>
      </c>
      <c r="J327" s="29">
        <f t="shared" si="13"/>
        <v>18.328300000000002</v>
      </c>
      <c r="K327" s="29">
        <f t="shared" si="15"/>
        <v>86433.260393873032</v>
      </c>
    </row>
    <row r="328" spans="1:11" ht="18" x14ac:dyDescent="0.2">
      <c r="A328" s="31">
        <v>38460</v>
      </c>
      <c r="B328" s="30">
        <v>0.17</v>
      </c>
      <c r="C328" s="29">
        <f t="shared" si="16"/>
        <v>0.14940000000000001</v>
      </c>
      <c r="D328" s="29">
        <f t="shared" si="12"/>
        <v>0.19319999999999996</v>
      </c>
      <c r="E328" s="29">
        <f t="shared" si="14"/>
        <v>100000</v>
      </c>
      <c r="H328" s="30">
        <v>20.3</v>
      </c>
      <c r="I328" s="29">
        <f t="shared" si="17"/>
        <v>21.388199999999998</v>
      </c>
      <c r="J328" s="29">
        <f t="shared" si="13"/>
        <v>18.316650000000003</v>
      </c>
      <c r="K328" s="29">
        <f t="shared" si="15"/>
        <v>88840.262582056836</v>
      </c>
    </row>
    <row r="329" spans="1:11" ht="18" x14ac:dyDescent="0.2">
      <c r="A329" s="31">
        <v>38467</v>
      </c>
      <c r="B329" s="30">
        <v>0.17</v>
      </c>
      <c r="C329" s="29">
        <f t="shared" si="16"/>
        <v>0.14960000000000001</v>
      </c>
      <c r="D329" s="29">
        <f t="shared" ref="D329:D392" si="18">AVERAGE(B130:B329)</f>
        <v>0.1923</v>
      </c>
      <c r="E329" s="29">
        <f t="shared" si="14"/>
        <v>100000</v>
      </c>
      <c r="H329" s="30">
        <v>20.66</v>
      </c>
      <c r="I329" s="29">
        <f t="shared" si="17"/>
        <v>21.384399999999996</v>
      </c>
      <c r="J329" s="29">
        <f t="shared" ref="J329:J392" si="19">AVERAGE(H130:H329)</f>
        <v>18.310300000000002</v>
      </c>
      <c r="K329" s="29">
        <f t="shared" si="15"/>
        <v>90415.754923413508</v>
      </c>
    </row>
    <row r="330" spans="1:11" ht="18" x14ac:dyDescent="0.2">
      <c r="A330" s="31">
        <v>38474</v>
      </c>
      <c r="B330" s="30">
        <v>0.18</v>
      </c>
      <c r="C330" s="29">
        <f t="shared" si="16"/>
        <v>0.15</v>
      </c>
      <c r="D330" s="29">
        <f t="shared" si="18"/>
        <v>0.19164999999999999</v>
      </c>
      <c r="E330" s="29">
        <f t="shared" ref="E330:E393" si="20">IF( C330&gt;D330,E329*B330/B329,100000)</f>
        <v>100000</v>
      </c>
      <c r="H330" s="30">
        <v>20.73</v>
      </c>
      <c r="I330" s="29">
        <f t="shared" si="17"/>
        <v>21.396999999999998</v>
      </c>
      <c r="J330" s="29">
        <f t="shared" si="19"/>
        <v>18.304200000000002</v>
      </c>
      <c r="K330" s="29">
        <f t="shared" ref="K330:K393" si="21">IF(I330&gt;J330,K329*H330/H329,100000)</f>
        <v>90722.100656455092</v>
      </c>
    </row>
    <row r="331" spans="1:11" ht="18" x14ac:dyDescent="0.2">
      <c r="A331" s="31">
        <v>38481</v>
      </c>
      <c r="B331" s="30">
        <v>0.19</v>
      </c>
      <c r="C331" s="29">
        <f t="shared" si="16"/>
        <v>0.15020000000000003</v>
      </c>
      <c r="D331" s="29">
        <f t="shared" si="18"/>
        <v>0.19105</v>
      </c>
      <c r="E331" s="29">
        <f t="shared" si="20"/>
        <v>100000</v>
      </c>
      <c r="H331" s="30">
        <v>20.059999999999999</v>
      </c>
      <c r="I331" s="29">
        <f t="shared" si="17"/>
        <v>21.406399999999998</v>
      </c>
      <c r="J331" s="29">
        <f t="shared" si="19"/>
        <v>18.298800000000004</v>
      </c>
      <c r="K331" s="29">
        <f t="shared" si="21"/>
        <v>87789.934354485726</v>
      </c>
    </row>
    <row r="332" spans="1:11" ht="18" x14ac:dyDescent="0.2">
      <c r="A332" s="31">
        <v>38488</v>
      </c>
      <c r="B332" s="30">
        <v>0.2</v>
      </c>
      <c r="C332" s="29">
        <f t="shared" si="16"/>
        <v>0.15080000000000005</v>
      </c>
      <c r="D332" s="29">
        <f t="shared" si="18"/>
        <v>0.19059999999999999</v>
      </c>
      <c r="E332" s="29">
        <f t="shared" si="20"/>
        <v>100000</v>
      </c>
      <c r="H332" s="30">
        <v>20.99</v>
      </c>
      <c r="I332" s="29">
        <f t="shared" si="17"/>
        <v>21.393799999999995</v>
      </c>
      <c r="J332" s="29">
        <f t="shared" si="19"/>
        <v>18.295950000000001</v>
      </c>
      <c r="K332" s="29">
        <f t="shared" si="21"/>
        <v>91859.956236323807</v>
      </c>
    </row>
    <row r="333" spans="1:11" ht="18" x14ac:dyDescent="0.2">
      <c r="A333" s="31">
        <v>38495</v>
      </c>
      <c r="B333" s="30">
        <v>0.21</v>
      </c>
      <c r="C333" s="29">
        <f t="shared" si="16"/>
        <v>0.15180000000000005</v>
      </c>
      <c r="D333" s="29">
        <f t="shared" si="18"/>
        <v>0.19010000000000002</v>
      </c>
      <c r="E333" s="29">
        <f t="shared" si="20"/>
        <v>100000</v>
      </c>
      <c r="H333" s="30">
        <v>20.84</v>
      </c>
      <c r="I333" s="29">
        <f t="shared" si="17"/>
        <v>21.394799999999996</v>
      </c>
      <c r="J333" s="29">
        <f t="shared" si="19"/>
        <v>18.290350000000004</v>
      </c>
      <c r="K333" s="29">
        <f t="shared" si="21"/>
        <v>91203.501094091873</v>
      </c>
    </row>
    <row r="334" spans="1:11" ht="18" x14ac:dyDescent="0.2">
      <c r="A334" s="31">
        <v>38502</v>
      </c>
      <c r="B334" s="30">
        <v>0.22</v>
      </c>
      <c r="C334" s="29">
        <f t="shared" si="16"/>
        <v>0.15320000000000003</v>
      </c>
      <c r="D334" s="29">
        <f t="shared" si="18"/>
        <v>0.18955000000000002</v>
      </c>
      <c r="E334" s="29">
        <f t="shared" si="20"/>
        <v>100000</v>
      </c>
      <c r="H334" s="30">
        <v>20.7</v>
      </c>
      <c r="I334" s="29">
        <f t="shared" si="17"/>
        <v>21.386999999999997</v>
      </c>
      <c r="J334" s="29">
        <f t="shared" si="19"/>
        <v>18.286250000000003</v>
      </c>
      <c r="K334" s="29">
        <f t="shared" si="21"/>
        <v>90590.809628008719</v>
      </c>
    </row>
    <row r="335" spans="1:11" ht="18" x14ac:dyDescent="0.2">
      <c r="A335" s="31">
        <v>38509</v>
      </c>
      <c r="B335" s="30">
        <v>0.21</v>
      </c>
      <c r="C335" s="29">
        <f t="shared" si="16"/>
        <v>0.15440000000000004</v>
      </c>
      <c r="D335" s="29">
        <f t="shared" si="18"/>
        <v>0.18900000000000003</v>
      </c>
      <c r="E335" s="29">
        <f t="shared" si="20"/>
        <v>100000</v>
      </c>
      <c r="H335" s="30">
        <v>20.63</v>
      </c>
      <c r="I335" s="29">
        <f t="shared" si="17"/>
        <v>21.382799999999992</v>
      </c>
      <c r="J335" s="29">
        <f t="shared" si="19"/>
        <v>18.284450000000003</v>
      </c>
      <c r="K335" s="29">
        <f t="shared" si="21"/>
        <v>90284.46389496715</v>
      </c>
    </row>
    <row r="336" spans="1:11" ht="18" x14ac:dyDescent="0.2">
      <c r="A336" s="31">
        <v>38516</v>
      </c>
      <c r="B336" s="30">
        <v>0.21</v>
      </c>
      <c r="C336" s="29">
        <f t="shared" si="16"/>
        <v>0.15560000000000002</v>
      </c>
      <c r="D336" s="29">
        <f t="shared" si="18"/>
        <v>0.18845000000000003</v>
      </c>
      <c r="E336" s="29">
        <f t="shared" si="20"/>
        <v>100000</v>
      </c>
      <c r="H336" s="30">
        <v>21</v>
      </c>
      <c r="I336" s="29">
        <f t="shared" si="17"/>
        <v>21.3688</v>
      </c>
      <c r="J336" s="29">
        <f t="shared" si="19"/>
        <v>18.2864</v>
      </c>
      <c r="K336" s="29">
        <f t="shared" si="21"/>
        <v>91903.719912472618</v>
      </c>
    </row>
    <row r="337" spans="1:11" ht="18" x14ac:dyDescent="0.2">
      <c r="A337" s="31">
        <v>38523</v>
      </c>
      <c r="B337" s="30">
        <v>0.21</v>
      </c>
      <c r="C337" s="29">
        <f t="shared" si="16"/>
        <v>0.15720000000000003</v>
      </c>
      <c r="D337" s="29">
        <f t="shared" si="18"/>
        <v>0.18785000000000004</v>
      </c>
      <c r="E337" s="29">
        <f t="shared" si="20"/>
        <v>100000</v>
      </c>
      <c r="H337" s="30">
        <v>20.71</v>
      </c>
      <c r="I337" s="29">
        <f t="shared" si="17"/>
        <v>21.361000000000001</v>
      </c>
      <c r="J337" s="29">
        <f t="shared" si="19"/>
        <v>18.288300000000003</v>
      </c>
      <c r="K337" s="29">
        <f t="shared" si="21"/>
        <v>90634.573304157529</v>
      </c>
    </row>
    <row r="338" spans="1:11" ht="18" x14ac:dyDescent="0.2">
      <c r="A338" s="31">
        <v>38530</v>
      </c>
      <c r="B338" s="30">
        <v>0.21</v>
      </c>
      <c r="C338" s="29">
        <f t="shared" si="16"/>
        <v>0.15900000000000003</v>
      </c>
      <c r="D338" s="29">
        <f t="shared" si="18"/>
        <v>0.18730000000000008</v>
      </c>
      <c r="E338" s="29">
        <f t="shared" si="20"/>
        <v>100000</v>
      </c>
      <c r="H338" s="30">
        <v>20.41</v>
      </c>
      <c r="I338" s="29">
        <f t="shared" si="17"/>
        <v>21.357800000000001</v>
      </c>
      <c r="J338" s="29">
        <f t="shared" si="19"/>
        <v>18.2925</v>
      </c>
      <c r="K338" s="29">
        <f t="shared" si="21"/>
        <v>89321.663019693631</v>
      </c>
    </row>
    <row r="339" spans="1:11" ht="18" x14ac:dyDescent="0.2">
      <c r="A339" s="31">
        <v>38537</v>
      </c>
      <c r="B339" s="30">
        <v>0.22</v>
      </c>
      <c r="C339" s="29">
        <f t="shared" si="16"/>
        <v>0.16120000000000001</v>
      </c>
      <c r="D339" s="29">
        <f t="shared" si="18"/>
        <v>0.18690000000000009</v>
      </c>
      <c r="E339" s="29">
        <f t="shared" si="20"/>
        <v>100000</v>
      </c>
      <c r="H339" s="30">
        <v>20.46</v>
      </c>
      <c r="I339" s="29">
        <f t="shared" si="17"/>
        <v>21.359600000000004</v>
      </c>
      <c r="J339" s="29">
        <f t="shared" si="19"/>
        <v>18.302900000000001</v>
      </c>
      <c r="K339" s="29">
        <f t="shared" si="21"/>
        <v>89540.481400437609</v>
      </c>
    </row>
    <row r="340" spans="1:11" ht="18" x14ac:dyDescent="0.2">
      <c r="A340" s="31">
        <v>38544</v>
      </c>
      <c r="B340" s="30">
        <v>0.21</v>
      </c>
      <c r="C340" s="29">
        <f t="shared" si="16"/>
        <v>0.16300000000000003</v>
      </c>
      <c r="D340" s="29">
        <f t="shared" si="18"/>
        <v>0.18650000000000008</v>
      </c>
      <c r="E340" s="29">
        <f t="shared" si="20"/>
        <v>100000</v>
      </c>
      <c r="H340" s="30">
        <v>21.08</v>
      </c>
      <c r="I340" s="29">
        <f t="shared" si="17"/>
        <v>21.354800000000001</v>
      </c>
      <c r="J340" s="29">
        <f t="shared" si="19"/>
        <v>18.315750000000001</v>
      </c>
      <c r="K340" s="29">
        <f t="shared" si="21"/>
        <v>92253.829321662968</v>
      </c>
    </row>
    <row r="341" spans="1:11" ht="18" x14ac:dyDescent="0.2">
      <c r="A341" s="31">
        <v>38551</v>
      </c>
      <c r="B341" s="30">
        <v>0.2</v>
      </c>
      <c r="C341" s="29">
        <f t="shared" si="16"/>
        <v>0.16560000000000002</v>
      </c>
      <c r="D341" s="29">
        <f t="shared" si="18"/>
        <v>0.18645000000000014</v>
      </c>
      <c r="E341" s="29">
        <f t="shared" si="20"/>
        <v>100000</v>
      </c>
      <c r="H341" s="30">
        <v>20.93</v>
      </c>
      <c r="I341" s="29">
        <f t="shared" si="17"/>
        <v>21.353400000000001</v>
      </c>
      <c r="J341" s="29">
        <f t="shared" si="19"/>
        <v>18.343850000000003</v>
      </c>
      <c r="K341" s="29">
        <f t="shared" si="21"/>
        <v>91597.374179431034</v>
      </c>
    </row>
    <row r="342" spans="1:11" ht="18" x14ac:dyDescent="0.2">
      <c r="A342" s="31">
        <v>38558</v>
      </c>
      <c r="B342" s="30">
        <v>0.21</v>
      </c>
      <c r="C342" s="29">
        <f t="shared" si="16"/>
        <v>0.16820000000000004</v>
      </c>
      <c r="D342" s="29">
        <f t="shared" si="18"/>
        <v>0.18645000000000014</v>
      </c>
      <c r="E342" s="29">
        <f t="shared" si="20"/>
        <v>100000</v>
      </c>
      <c r="H342" s="30">
        <v>20.66</v>
      </c>
      <c r="I342" s="29">
        <f t="shared" si="17"/>
        <v>21.362999999999996</v>
      </c>
      <c r="J342" s="29">
        <f t="shared" si="19"/>
        <v>18.362300000000001</v>
      </c>
      <c r="K342" s="29">
        <f t="shared" si="21"/>
        <v>90415.754923413522</v>
      </c>
    </row>
    <row r="343" spans="1:11" ht="18" x14ac:dyDescent="0.2">
      <c r="A343" s="31">
        <v>38565</v>
      </c>
      <c r="B343" s="30">
        <v>0.22</v>
      </c>
      <c r="C343" s="29">
        <f t="shared" si="16"/>
        <v>0.17080000000000006</v>
      </c>
      <c r="D343" s="29">
        <f t="shared" si="18"/>
        <v>0.18630000000000013</v>
      </c>
      <c r="E343" s="29">
        <f t="shared" si="20"/>
        <v>100000</v>
      </c>
      <c r="H343" s="30">
        <v>20.72</v>
      </c>
      <c r="I343" s="29">
        <f t="shared" si="17"/>
        <v>21.358400000000003</v>
      </c>
      <c r="J343" s="29">
        <f t="shared" si="19"/>
        <v>18.382899999999999</v>
      </c>
      <c r="K343" s="29">
        <f t="shared" si="21"/>
        <v>90678.336980306296</v>
      </c>
    </row>
    <row r="344" spans="1:11" ht="18" x14ac:dyDescent="0.2">
      <c r="A344" s="31">
        <v>38572</v>
      </c>
      <c r="B344" s="30">
        <v>0.23</v>
      </c>
      <c r="C344" s="29">
        <f t="shared" si="16"/>
        <v>0.17340000000000008</v>
      </c>
      <c r="D344" s="29">
        <f t="shared" si="18"/>
        <v>0.18590000000000007</v>
      </c>
      <c r="E344" s="29">
        <f t="shared" si="20"/>
        <v>100000</v>
      </c>
      <c r="H344" s="30">
        <v>20.170000000000002</v>
      </c>
      <c r="I344" s="29">
        <f t="shared" si="17"/>
        <v>21.334800000000001</v>
      </c>
      <c r="J344" s="29">
        <f t="shared" si="19"/>
        <v>18.401250000000001</v>
      </c>
      <c r="K344" s="29">
        <f t="shared" si="21"/>
        <v>88271.334792122507</v>
      </c>
    </row>
    <row r="345" spans="1:11" ht="18" x14ac:dyDescent="0.2">
      <c r="A345" s="31">
        <v>38579</v>
      </c>
      <c r="B345" s="30">
        <v>0.22</v>
      </c>
      <c r="C345" s="29">
        <f t="shared" si="16"/>
        <v>0.17580000000000007</v>
      </c>
      <c r="D345" s="29">
        <f t="shared" si="18"/>
        <v>0.18530000000000008</v>
      </c>
      <c r="E345" s="29">
        <f t="shared" si="20"/>
        <v>100000</v>
      </c>
      <c r="H345" s="30">
        <v>20.3</v>
      </c>
      <c r="I345" s="29">
        <f t="shared" si="17"/>
        <v>21.288199999999996</v>
      </c>
      <c r="J345" s="29">
        <f t="shared" si="19"/>
        <v>18.4178</v>
      </c>
      <c r="K345" s="29">
        <f t="shared" si="21"/>
        <v>88840.262582056865</v>
      </c>
    </row>
    <row r="346" spans="1:11" ht="18" x14ac:dyDescent="0.2">
      <c r="A346" s="31">
        <v>38586</v>
      </c>
      <c r="B346" s="30">
        <v>0.22</v>
      </c>
      <c r="C346" s="29">
        <f t="shared" si="16"/>
        <v>0.17800000000000005</v>
      </c>
      <c r="D346" s="29">
        <f t="shared" si="18"/>
        <v>0.18465000000000009</v>
      </c>
      <c r="E346" s="29">
        <f t="shared" si="20"/>
        <v>100000</v>
      </c>
      <c r="H346" s="30">
        <v>19.78</v>
      </c>
      <c r="I346" s="29">
        <f t="shared" si="17"/>
        <v>21.242599999999996</v>
      </c>
      <c r="J346" s="29">
        <f t="shared" si="19"/>
        <v>18.422499999999999</v>
      </c>
      <c r="K346" s="29">
        <f t="shared" si="21"/>
        <v>86564.551422319448</v>
      </c>
    </row>
    <row r="347" spans="1:11" ht="18" x14ac:dyDescent="0.2">
      <c r="A347" s="31">
        <v>38593</v>
      </c>
      <c r="B347" s="30">
        <v>0.23</v>
      </c>
      <c r="C347" s="29">
        <f t="shared" si="16"/>
        <v>0.18040000000000006</v>
      </c>
      <c r="D347" s="29">
        <f t="shared" si="18"/>
        <v>0.18400000000000005</v>
      </c>
      <c r="E347" s="29">
        <f t="shared" si="20"/>
        <v>100000</v>
      </c>
      <c r="H347" s="30">
        <v>20.05</v>
      </c>
      <c r="I347" s="29">
        <f t="shared" si="17"/>
        <v>21.187199999999997</v>
      </c>
      <c r="J347" s="29">
        <f t="shared" si="19"/>
        <v>18.43235</v>
      </c>
      <c r="K347" s="29">
        <f t="shared" si="21"/>
        <v>87746.170678336945</v>
      </c>
    </row>
    <row r="348" spans="1:11" ht="18" x14ac:dyDescent="0.2">
      <c r="A348" s="31">
        <v>38600</v>
      </c>
      <c r="B348" s="30">
        <v>0.25</v>
      </c>
      <c r="C348" s="29">
        <f t="shared" si="16"/>
        <v>0.18320000000000003</v>
      </c>
      <c r="D348" s="29">
        <f t="shared" si="18"/>
        <v>0.18320000000000003</v>
      </c>
      <c r="E348" s="29">
        <f t="shared" si="20"/>
        <v>100000</v>
      </c>
      <c r="H348" s="30">
        <v>20.47</v>
      </c>
      <c r="I348" s="29">
        <f t="shared" si="17"/>
        <v>21.138999999999996</v>
      </c>
      <c r="J348" s="29">
        <f t="shared" si="19"/>
        <v>18.436750000000004</v>
      </c>
      <c r="K348" s="29">
        <f t="shared" si="21"/>
        <v>89584.24507658639</v>
      </c>
    </row>
    <row r="349" spans="1:11" ht="18" x14ac:dyDescent="0.2">
      <c r="A349" s="31">
        <v>38607</v>
      </c>
      <c r="B349" s="30">
        <v>0.25</v>
      </c>
      <c r="C349" s="29">
        <f t="shared" si="16"/>
        <v>0.18580000000000002</v>
      </c>
      <c r="D349" s="29">
        <f t="shared" si="18"/>
        <v>0.18245</v>
      </c>
      <c r="E349" s="29">
        <f t="shared" si="20"/>
        <v>100000</v>
      </c>
      <c r="H349" s="30">
        <v>20.57</v>
      </c>
      <c r="I349" s="29">
        <f t="shared" si="17"/>
        <v>21.097999999999999</v>
      </c>
      <c r="J349" s="29">
        <f t="shared" si="19"/>
        <v>18.440750000000001</v>
      </c>
      <c r="K349" s="29">
        <f t="shared" si="21"/>
        <v>90021.881838074361</v>
      </c>
    </row>
    <row r="350" spans="1:11" ht="18" x14ac:dyDescent="0.2">
      <c r="A350" s="31">
        <v>38614</v>
      </c>
      <c r="B350" s="30">
        <v>0.25</v>
      </c>
      <c r="C350" s="29">
        <f t="shared" si="16"/>
        <v>0.18860000000000002</v>
      </c>
      <c r="D350" s="29">
        <f t="shared" si="18"/>
        <v>0.18180000000000007</v>
      </c>
      <c r="E350" s="29">
        <f t="shared" si="20"/>
        <v>100000</v>
      </c>
      <c r="H350" s="30">
        <v>20.03</v>
      </c>
      <c r="I350" s="29">
        <f t="shared" si="17"/>
        <v>21.052399999999999</v>
      </c>
      <c r="J350" s="29">
        <f t="shared" si="19"/>
        <v>18.442100000000003</v>
      </c>
      <c r="K350" s="29">
        <f t="shared" si="21"/>
        <v>87658.643326039353</v>
      </c>
    </row>
    <row r="351" spans="1:11" ht="18" x14ac:dyDescent="0.2">
      <c r="A351" s="31">
        <v>38621</v>
      </c>
      <c r="B351" s="30">
        <v>0.26</v>
      </c>
      <c r="C351" s="29">
        <f t="shared" si="16"/>
        <v>0.19180000000000003</v>
      </c>
      <c r="D351" s="29">
        <f t="shared" si="18"/>
        <v>0.18100000000000002</v>
      </c>
      <c r="E351" s="29">
        <f t="shared" si="20"/>
        <v>104000</v>
      </c>
      <c r="H351" s="30">
        <v>19.940000000000001</v>
      </c>
      <c r="I351" s="29">
        <f t="shared" si="17"/>
        <v>21.003800000000002</v>
      </c>
      <c r="J351" s="29">
        <f t="shared" si="19"/>
        <v>18.447200000000002</v>
      </c>
      <c r="K351" s="29">
        <f t="shared" si="21"/>
        <v>87264.770240700178</v>
      </c>
    </row>
    <row r="352" spans="1:11" ht="18" x14ac:dyDescent="0.2">
      <c r="A352" s="31">
        <v>38628</v>
      </c>
      <c r="B352" s="30">
        <v>0.25</v>
      </c>
      <c r="C352" s="29">
        <f t="shared" si="16"/>
        <v>0.1948</v>
      </c>
      <c r="D352" s="29">
        <f t="shared" si="18"/>
        <v>0.17995</v>
      </c>
      <c r="E352" s="29">
        <f t="shared" si="20"/>
        <v>100000</v>
      </c>
      <c r="H352" s="30">
        <v>19.93</v>
      </c>
      <c r="I352" s="29">
        <f t="shared" si="17"/>
        <v>20.96</v>
      </c>
      <c r="J352" s="29">
        <f t="shared" si="19"/>
        <v>18.447099999999999</v>
      </c>
      <c r="K352" s="29">
        <f t="shared" si="21"/>
        <v>87221.006564551382</v>
      </c>
    </row>
    <row r="353" spans="1:11" ht="18" x14ac:dyDescent="0.2">
      <c r="A353" s="31">
        <v>38635</v>
      </c>
      <c r="B353" s="30">
        <v>0.24</v>
      </c>
      <c r="C353" s="29">
        <f t="shared" si="16"/>
        <v>0.19740000000000002</v>
      </c>
      <c r="D353" s="29">
        <f t="shared" si="18"/>
        <v>0.17865000000000003</v>
      </c>
      <c r="E353" s="29">
        <f t="shared" si="20"/>
        <v>96000</v>
      </c>
      <c r="H353" s="30">
        <v>20.23</v>
      </c>
      <c r="I353" s="29">
        <f t="shared" si="17"/>
        <v>20.930399999999999</v>
      </c>
      <c r="J353" s="29">
        <f t="shared" si="19"/>
        <v>18.457849999999997</v>
      </c>
      <c r="K353" s="29">
        <f t="shared" si="21"/>
        <v>88533.916849015281</v>
      </c>
    </row>
    <row r="354" spans="1:11" ht="18" x14ac:dyDescent="0.2">
      <c r="A354" s="31">
        <v>38642</v>
      </c>
      <c r="B354" s="30">
        <v>0.24</v>
      </c>
      <c r="C354" s="29">
        <f t="shared" si="16"/>
        <v>0.1996</v>
      </c>
      <c r="D354" s="29">
        <f t="shared" si="18"/>
        <v>0.17740000000000006</v>
      </c>
      <c r="E354" s="29">
        <f t="shared" si="20"/>
        <v>96000</v>
      </c>
      <c r="H354" s="30">
        <v>20.86</v>
      </c>
      <c r="I354" s="29">
        <f t="shared" si="17"/>
        <v>20.893999999999995</v>
      </c>
      <c r="J354" s="29">
        <f t="shared" si="19"/>
        <v>18.472449999999998</v>
      </c>
      <c r="K354" s="29">
        <f t="shared" si="21"/>
        <v>91291.02844638945</v>
      </c>
    </row>
    <row r="355" spans="1:11" ht="18" x14ac:dyDescent="0.2">
      <c r="A355" s="31">
        <v>38649</v>
      </c>
      <c r="B355" s="30">
        <v>0.25</v>
      </c>
      <c r="C355" s="29">
        <f t="shared" si="16"/>
        <v>0.20180000000000001</v>
      </c>
      <c r="D355" s="29">
        <f t="shared" si="18"/>
        <v>0.17605000000000001</v>
      </c>
      <c r="E355" s="29">
        <f t="shared" si="20"/>
        <v>100000</v>
      </c>
      <c r="H355" s="30">
        <v>21.64</v>
      </c>
      <c r="I355" s="29">
        <f t="shared" si="17"/>
        <v>20.861599999999999</v>
      </c>
      <c r="J355" s="29">
        <f t="shared" si="19"/>
        <v>18.488949999999999</v>
      </c>
      <c r="K355" s="29">
        <f t="shared" si="21"/>
        <v>94704.595185995582</v>
      </c>
    </row>
    <row r="356" spans="1:11" ht="18" x14ac:dyDescent="0.2">
      <c r="A356" s="31">
        <v>38656</v>
      </c>
      <c r="B356" s="30">
        <v>0.26</v>
      </c>
      <c r="C356" s="29">
        <f t="shared" si="16"/>
        <v>0.20420000000000002</v>
      </c>
      <c r="D356" s="29">
        <f t="shared" si="18"/>
        <v>0.17470000000000002</v>
      </c>
      <c r="E356" s="29">
        <f t="shared" si="20"/>
        <v>104000</v>
      </c>
      <c r="H356" s="30">
        <v>22.15</v>
      </c>
      <c r="I356" s="29">
        <f t="shared" si="17"/>
        <v>20.846800000000002</v>
      </c>
      <c r="J356" s="29">
        <f t="shared" si="19"/>
        <v>18.501849999999997</v>
      </c>
      <c r="K356" s="29">
        <f t="shared" si="21"/>
        <v>96936.542669584189</v>
      </c>
    </row>
    <row r="357" spans="1:11" ht="18" x14ac:dyDescent="0.2">
      <c r="A357" s="31">
        <v>38663</v>
      </c>
      <c r="B357" s="30">
        <v>0.26</v>
      </c>
      <c r="C357" s="29">
        <f t="shared" si="16"/>
        <v>0.2064</v>
      </c>
      <c r="D357" s="29">
        <f t="shared" si="18"/>
        <v>0.17360000000000006</v>
      </c>
      <c r="E357" s="29">
        <f t="shared" si="20"/>
        <v>104000</v>
      </c>
      <c r="H357" s="30">
        <v>22.72</v>
      </c>
      <c r="I357" s="29">
        <f t="shared" si="17"/>
        <v>20.862200000000001</v>
      </c>
      <c r="J357" s="29">
        <f t="shared" si="19"/>
        <v>18.518349999999998</v>
      </c>
      <c r="K357" s="29">
        <f t="shared" si="21"/>
        <v>99431.072210065598</v>
      </c>
    </row>
    <row r="358" spans="1:11" ht="18" x14ac:dyDescent="0.2">
      <c r="A358" s="31">
        <v>38670</v>
      </c>
      <c r="B358" s="30">
        <v>0.28000000000000003</v>
      </c>
      <c r="C358" s="29">
        <f t="shared" si="16"/>
        <v>0.20879999999999999</v>
      </c>
      <c r="D358" s="29">
        <f t="shared" si="18"/>
        <v>0.17255000000000009</v>
      </c>
      <c r="E358" s="29">
        <f t="shared" si="20"/>
        <v>112000.00000000001</v>
      </c>
      <c r="H358" s="30">
        <v>22.58</v>
      </c>
      <c r="I358" s="29">
        <f t="shared" si="17"/>
        <v>20.885999999999999</v>
      </c>
      <c r="J358" s="29">
        <f t="shared" si="19"/>
        <v>18.540299999999995</v>
      </c>
      <c r="K358" s="29">
        <f t="shared" si="21"/>
        <v>98818.380743982445</v>
      </c>
    </row>
    <row r="359" spans="1:11" ht="18" x14ac:dyDescent="0.2">
      <c r="A359" s="31">
        <v>38677</v>
      </c>
      <c r="B359" s="30">
        <v>0.28999999999999998</v>
      </c>
      <c r="C359" s="29">
        <f t="shared" si="16"/>
        <v>0.21099999999999997</v>
      </c>
      <c r="D359" s="29">
        <f t="shared" si="18"/>
        <v>0.1715000000000001</v>
      </c>
      <c r="E359" s="29">
        <f t="shared" si="20"/>
        <v>116000</v>
      </c>
      <c r="H359" s="30">
        <v>23.07</v>
      </c>
      <c r="I359" s="29">
        <f t="shared" si="17"/>
        <v>20.902600000000003</v>
      </c>
      <c r="J359" s="29">
        <f t="shared" si="19"/>
        <v>18.567049999999995</v>
      </c>
      <c r="K359" s="29">
        <f t="shared" si="21"/>
        <v>100962.80087527349</v>
      </c>
    </row>
    <row r="360" spans="1:11" ht="18" x14ac:dyDescent="0.2">
      <c r="A360" s="31">
        <v>38684</v>
      </c>
      <c r="B360" s="30">
        <v>0.28000000000000003</v>
      </c>
      <c r="C360" s="29">
        <f t="shared" si="16"/>
        <v>0.21299999999999994</v>
      </c>
      <c r="D360" s="29">
        <f t="shared" si="18"/>
        <v>0.1704500000000001</v>
      </c>
      <c r="E360" s="29">
        <f t="shared" si="20"/>
        <v>112000.00000000001</v>
      </c>
      <c r="H360" s="30">
        <v>23.15</v>
      </c>
      <c r="I360" s="29">
        <f t="shared" si="17"/>
        <v>20.934000000000001</v>
      </c>
      <c r="J360" s="29">
        <f t="shared" si="19"/>
        <v>18.601349999999996</v>
      </c>
      <c r="K360" s="29">
        <f t="shared" si="21"/>
        <v>101312.91028446385</v>
      </c>
    </row>
    <row r="361" spans="1:11" ht="18" x14ac:dyDescent="0.2">
      <c r="A361" s="31">
        <v>38691</v>
      </c>
      <c r="B361" s="30">
        <v>0.28000000000000003</v>
      </c>
      <c r="C361" s="29">
        <f t="shared" si="16"/>
        <v>0.21499999999999997</v>
      </c>
      <c r="D361" s="29">
        <f t="shared" si="18"/>
        <v>0.16965000000000008</v>
      </c>
      <c r="E361" s="29">
        <f t="shared" si="20"/>
        <v>112000.00000000001</v>
      </c>
      <c r="H361" s="30">
        <v>23.23</v>
      </c>
      <c r="I361" s="29">
        <f t="shared" si="17"/>
        <v>20.956800000000001</v>
      </c>
      <c r="J361" s="29">
        <f t="shared" si="19"/>
        <v>18.638699999999996</v>
      </c>
      <c r="K361" s="29">
        <f t="shared" si="21"/>
        <v>101663.01969365422</v>
      </c>
    </row>
    <row r="362" spans="1:11" ht="18" x14ac:dyDescent="0.2">
      <c r="A362" s="31">
        <v>38698</v>
      </c>
      <c r="B362" s="30">
        <v>0.28000000000000003</v>
      </c>
      <c r="C362" s="29">
        <f t="shared" si="16"/>
        <v>0.21699999999999997</v>
      </c>
      <c r="D362" s="29">
        <f t="shared" si="18"/>
        <v>0.16885000000000006</v>
      </c>
      <c r="E362" s="29">
        <f t="shared" si="20"/>
        <v>112000.00000000001</v>
      </c>
      <c r="H362" s="30">
        <v>23.62</v>
      </c>
      <c r="I362" s="29">
        <f t="shared" si="17"/>
        <v>20.974</v>
      </c>
      <c r="J362" s="29">
        <f t="shared" si="19"/>
        <v>18.680699999999998</v>
      </c>
      <c r="K362" s="29">
        <f t="shared" si="21"/>
        <v>103369.80306345729</v>
      </c>
    </row>
    <row r="363" spans="1:11" ht="18" x14ac:dyDescent="0.2">
      <c r="A363" s="31">
        <v>38705</v>
      </c>
      <c r="B363" s="30">
        <v>0.28999999999999998</v>
      </c>
      <c r="C363" s="29">
        <f t="shared" si="16"/>
        <v>0.2193999999999999</v>
      </c>
      <c r="D363" s="29">
        <f t="shared" si="18"/>
        <v>0.16840000000000008</v>
      </c>
      <c r="E363" s="29">
        <f t="shared" si="20"/>
        <v>116000</v>
      </c>
      <c r="H363" s="30">
        <v>23.87</v>
      </c>
      <c r="I363" s="29">
        <f t="shared" si="17"/>
        <v>21.000599999999995</v>
      </c>
      <c r="J363" s="29">
        <f t="shared" si="19"/>
        <v>18.728649999999998</v>
      </c>
      <c r="K363" s="29">
        <f t="shared" si="21"/>
        <v>104463.8949671772</v>
      </c>
    </row>
    <row r="364" spans="1:11" ht="18" x14ac:dyDescent="0.2">
      <c r="A364" s="31">
        <v>38712</v>
      </c>
      <c r="B364" s="30">
        <v>0.28000000000000003</v>
      </c>
      <c r="C364" s="29">
        <f t="shared" si="16"/>
        <v>0.22179999999999989</v>
      </c>
      <c r="D364" s="29">
        <f t="shared" si="18"/>
        <v>0.16765000000000008</v>
      </c>
      <c r="E364" s="29">
        <f t="shared" si="20"/>
        <v>112000.00000000001</v>
      </c>
      <c r="H364" s="30">
        <v>23.56</v>
      </c>
      <c r="I364" s="29">
        <f t="shared" si="17"/>
        <v>21.039199999999997</v>
      </c>
      <c r="J364" s="29">
        <f t="shared" si="19"/>
        <v>18.771349999999998</v>
      </c>
      <c r="K364" s="29">
        <f t="shared" si="21"/>
        <v>103107.22100656449</v>
      </c>
    </row>
    <row r="365" spans="1:11" ht="18" x14ac:dyDescent="0.2">
      <c r="A365" s="31">
        <v>38719</v>
      </c>
      <c r="B365" s="30">
        <v>0.31</v>
      </c>
      <c r="C365" s="29">
        <f t="shared" si="16"/>
        <v>0.22479999999999989</v>
      </c>
      <c r="D365" s="29">
        <f t="shared" si="18"/>
        <v>0.16695000000000007</v>
      </c>
      <c r="E365" s="29">
        <f t="shared" si="20"/>
        <v>124000.00000000001</v>
      </c>
      <c r="H365" s="30">
        <v>23.76</v>
      </c>
      <c r="I365" s="29">
        <f t="shared" si="17"/>
        <v>21.074599999999997</v>
      </c>
      <c r="J365" s="29">
        <f t="shared" si="19"/>
        <v>18.802199999999999</v>
      </c>
      <c r="K365" s="29">
        <f t="shared" si="21"/>
        <v>103982.49452954043</v>
      </c>
    </row>
    <row r="366" spans="1:11" ht="18" x14ac:dyDescent="0.2">
      <c r="A366" s="31">
        <v>38726</v>
      </c>
      <c r="B366" s="30">
        <v>0.32</v>
      </c>
      <c r="C366" s="29">
        <f t="shared" si="16"/>
        <v>0.22779999999999989</v>
      </c>
      <c r="D366" s="29">
        <f t="shared" si="18"/>
        <v>0.16655000000000006</v>
      </c>
      <c r="E366" s="29">
        <f t="shared" si="20"/>
        <v>128000.00000000003</v>
      </c>
      <c r="H366" s="30">
        <v>23.9</v>
      </c>
      <c r="I366" s="29">
        <f t="shared" si="17"/>
        <v>21.125</v>
      </c>
      <c r="J366" s="29">
        <f t="shared" si="19"/>
        <v>18.830500000000001</v>
      </c>
      <c r="K366" s="29">
        <f t="shared" si="21"/>
        <v>104595.18599562357</v>
      </c>
    </row>
    <row r="367" spans="1:11" ht="18" x14ac:dyDescent="0.2">
      <c r="A367" s="31">
        <v>38733</v>
      </c>
      <c r="B367" s="30">
        <v>0.33</v>
      </c>
      <c r="C367" s="29">
        <f t="shared" si="16"/>
        <v>0.23039999999999991</v>
      </c>
      <c r="D367" s="29">
        <f t="shared" si="18"/>
        <v>0.16635000000000008</v>
      </c>
      <c r="E367" s="29">
        <f t="shared" si="20"/>
        <v>132000.00000000003</v>
      </c>
      <c r="H367" s="3">
        <v>21.94</v>
      </c>
      <c r="I367" s="29">
        <f t="shared" si="17"/>
        <v>21.176399999999997</v>
      </c>
      <c r="J367" s="29">
        <f t="shared" si="19"/>
        <v>18.851050000000001</v>
      </c>
      <c r="K367" s="29">
        <f t="shared" si="21"/>
        <v>96017.50547045948</v>
      </c>
    </row>
    <row r="368" spans="1:11" ht="18" x14ac:dyDescent="0.2">
      <c r="A368" s="31">
        <v>38740</v>
      </c>
      <c r="B368" s="30">
        <v>0.35</v>
      </c>
      <c r="C368" s="29">
        <f t="shared" si="16"/>
        <v>0.23339999999999994</v>
      </c>
      <c r="D368" s="29">
        <f t="shared" si="18"/>
        <v>0.16640000000000005</v>
      </c>
      <c r="E368" s="29">
        <f t="shared" si="20"/>
        <v>140000.00000000003</v>
      </c>
      <c r="H368" s="3">
        <v>21.79</v>
      </c>
      <c r="I368" s="29">
        <f t="shared" si="17"/>
        <v>21.180799999999998</v>
      </c>
      <c r="J368" s="29">
        <f t="shared" si="19"/>
        <v>18.86975</v>
      </c>
      <c r="K368" s="29">
        <f t="shared" si="21"/>
        <v>95361.050328227531</v>
      </c>
    </row>
    <row r="369" spans="1:11" ht="18" x14ac:dyDescent="0.2">
      <c r="A369" s="31">
        <v>38747</v>
      </c>
      <c r="B369" s="30">
        <v>0.34</v>
      </c>
      <c r="C369" s="29">
        <f t="shared" si="16"/>
        <v>0.2357999999999999</v>
      </c>
      <c r="D369" s="29">
        <f t="shared" si="18"/>
        <v>0.16650000000000006</v>
      </c>
      <c r="E369" s="29">
        <f t="shared" si="20"/>
        <v>136000.00000000006</v>
      </c>
      <c r="H369" s="3">
        <v>21.24</v>
      </c>
      <c r="I369" s="29">
        <f t="shared" si="17"/>
        <v>21.184599999999996</v>
      </c>
      <c r="J369" s="29">
        <f t="shared" si="19"/>
        <v>18.887699999999999</v>
      </c>
      <c r="K369" s="29">
        <f t="shared" si="21"/>
        <v>92954.048140043713</v>
      </c>
    </row>
    <row r="370" spans="1:11" ht="18" x14ac:dyDescent="0.2">
      <c r="A370" s="31">
        <v>38754</v>
      </c>
      <c r="B370" s="30">
        <v>0.34</v>
      </c>
      <c r="C370" s="29">
        <f t="shared" si="16"/>
        <v>0.23819999999999988</v>
      </c>
      <c r="D370" s="29">
        <f t="shared" si="18"/>
        <v>0.16680000000000006</v>
      </c>
      <c r="E370" s="29">
        <f t="shared" si="20"/>
        <v>136000.00000000006</v>
      </c>
      <c r="H370" s="3">
        <v>21.33</v>
      </c>
      <c r="I370" s="29">
        <f t="shared" si="17"/>
        <v>21.188600000000001</v>
      </c>
      <c r="J370" s="29">
        <f t="shared" si="19"/>
        <v>18.906699999999997</v>
      </c>
      <c r="K370" s="29">
        <f t="shared" si="21"/>
        <v>93347.921225382874</v>
      </c>
    </row>
    <row r="371" spans="1:11" ht="18" x14ac:dyDescent="0.2">
      <c r="A371" s="31">
        <v>38761</v>
      </c>
      <c r="B371" s="30">
        <v>0.36</v>
      </c>
      <c r="C371" s="29">
        <f t="shared" ref="C371:C434" si="22">AVERAGE(B322:B371)</f>
        <v>0.24119999999999991</v>
      </c>
      <c r="D371" s="29">
        <f t="shared" si="18"/>
        <v>0.16720000000000007</v>
      </c>
      <c r="E371" s="29">
        <f t="shared" si="20"/>
        <v>144000.00000000006</v>
      </c>
      <c r="H371" s="3">
        <v>21.72</v>
      </c>
      <c r="I371" s="29">
        <f t="shared" si="17"/>
        <v>21.188999999999997</v>
      </c>
      <c r="J371" s="29">
        <f t="shared" si="19"/>
        <v>18.918749999999999</v>
      </c>
      <c r="K371" s="29">
        <f t="shared" si="21"/>
        <v>95054.704595185947</v>
      </c>
    </row>
    <row r="372" spans="1:11" ht="18" x14ac:dyDescent="0.2">
      <c r="A372" s="31">
        <v>38768</v>
      </c>
      <c r="B372" s="30">
        <v>0.35</v>
      </c>
      <c r="C372" s="29">
        <f t="shared" si="22"/>
        <v>0.2443999999999999</v>
      </c>
      <c r="D372" s="29">
        <f t="shared" si="18"/>
        <v>0.16780000000000009</v>
      </c>
      <c r="E372" s="29">
        <f t="shared" si="20"/>
        <v>140000.00000000006</v>
      </c>
      <c r="H372" s="3">
        <v>21.6</v>
      </c>
      <c r="I372" s="29">
        <f t="shared" ref="I372:I435" si="23">AVERAGE(H322:H371)</f>
        <v>21.191000000000003</v>
      </c>
      <c r="J372" s="29">
        <f t="shared" si="19"/>
        <v>18.937299999999997</v>
      </c>
      <c r="K372" s="29">
        <f t="shared" si="21"/>
        <v>94529.5404814004</v>
      </c>
    </row>
    <row r="373" spans="1:11" ht="18" x14ac:dyDescent="0.2">
      <c r="A373" s="31">
        <v>38775</v>
      </c>
      <c r="B373" s="30">
        <v>0.38</v>
      </c>
      <c r="C373" s="29">
        <f t="shared" si="22"/>
        <v>0.24839999999999995</v>
      </c>
      <c r="D373" s="29">
        <f t="shared" si="18"/>
        <v>0.1684500000000001</v>
      </c>
      <c r="E373" s="29">
        <f t="shared" si="20"/>
        <v>152000.00000000006</v>
      </c>
      <c r="H373" s="3">
        <v>21.04</v>
      </c>
      <c r="I373" s="29">
        <f t="shared" si="23"/>
        <v>21.206799999999998</v>
      </c>
      <c r="J373" s="29">
        <f t="shared" si="19"/>
        <v>18.951299999999996</v>
      </c>
      <c r="K373" s="29">
        <f t="shared" si="21"/>
        <v>92078.774617067786</v>
      </c>
    </row>
    <row r="374" spans="1:11" ht="18" x14ac:dyDescent="0.2">
      <c r="A374" s="31">
        <v>38782</v>
      </c>
      <c r="B374" s="30">
        <v>0.36</v>
      </c>
      <c r="C374" s="29">
        <f t="shared" si="22"/>
        <v>0.25179999999999991</v>
      </c>
      <c r="D374" s="29">
        <f t="shared" si="18"/>
        <v>0.16905000000000009</v>
      </c>
      <c r="E374" s="29">
        <f t="shared" si="20"/>
        <v>144000.00000000006</v>
      </c>
      <c r="H374" s="3">
        <v>21.31</v>
      </c>
      <c r="I374" s="29">
        <f t="shared" si="23"/>
        <v>21.212400000000002</v>
      </c>
      <c r="J374" s="29">
        <f t="shared" si="19"/>
        <v>18.968149999999994</v>
      </c>
      <c r="K374" s="29">
        <f t="shared" si="21"/>
        <v>93260.393873085297</v>
      </c>
    </row>
    <row r="375" spans="1:11" ht="18" x14ac:dyDescent="0.2">
      <c r="A375" s="31">
        <v>38789</v>
      </c>
      <c r="B375" s="30">
        <v>0.37</v>
      </c>
      <c r="C375" s="29">
        <f t="shared" si="22"/>
        <v>0.25559999999999994</v>
      </c>
      <c r="D375" s="29">
        <f t="shared" si="18"/>
        <v>0.16940000000000008</v>
      </c>
      <c r="E375" s="29">
        <f t="shared" si="20"/>
        <v>148000.00000000006</v>
      </c>
      <c r="H375" s="3">
        <v>21.62</v>
      </c>
      <c r="I375" s="29">
        <f t="shared" si="23"/>
        <v>21.236000000000004</v>
      </c>
      <c r="J375" s="29">
        <f t="shared" si="19"/>
        <v>18.978849999999998</v>
      </c>
      <c r="K375" s="29">
        <f t="shared" si="21"/>
        <v>94617.067833698005</v>
      </c>
    </row>
    <row r="376" spans="1:11" ht="18" x14ac:dyDescent="0.2">
      <c r="A376" s="31">
        <v>38796</v>
      </c>
      <c r="B376" s="30">
        <v>0.4</v>
      </c>
      <c r="C376" s="29">
        <f t="shared" si="22"/>
        <v>0.25999999999999995</v>
      </c>
      <c r="D376" s="29">
        <f t="shared" si="18"/>
        <v>0.17005000000000006</v>
      </c>
      <c r="E376" s="29">
        <f t="shared" si="20"/>
        <v>160000.00000000009</v>
      </c>
      <c r="H376" s="3">
        <v>20.81</v>
      </c>
      <c r="I376" s="29">
        <f t="shared" si="23"/>
        <v>21.273600000000002</v>
      </c>
      <c r="J376" s="29">
        <f t="shared" si="19"/>
        <v>18.986249999999995</v>
      </c>
      <c r="K376" s="29">
        <f t="shared" si="21"/>
        <v>91072.210065645471</v>
      </c>
    </row>
    <row r="377" spans="1:11" ht="18" x14ac:dyDescent="0.2">
      <c r="A377" s="31">
        <v>38803</v>
      </c>
      <c r="B377" s="30">
        <v>0.44</v>
      </c>
      <c r="C377" s="29">
        <f t="shared" si="22"/>
        <v>0.26559999999999995</v>
      </c>
      <c r="D377" s="29">
        <f t="shared" si="18"/>
        <v>0.17095000000000002</v>
      </c>
      <c r="E377" s="29">
        <f t="shared" si="20"/>
        <v>176000.00000000009</v>
      </c>
      <c r="H377" s="3">
        <v>20.76</v>
      </c>
      <c r="I377" s="29">
        <f t="shared" si="23"/>
        <v>21.292199999999998</v>
      </c>
      <c r="J377" s="29">
        <f t="shared" si="19"/>
        <v>18.998149999999995</v>
      </c>
      <c r="K377" s="29">
        <f t="shared" si="21"/>
        <v>90853.391684901508</v>
      </c>
    </row>
    <row r="378" spans="1:11" ht="18" x14ac:dyDescent="0.2">
      <c r="A378" s="31">
        <v>38810</v>
      </c>
      <c r="B378" s="30">
        <v>0.47</v>
      </c>
      <c r="C378" s="29">
        <f t="shared" si="22"/>
        <v>0.27160000000000001</v>
      </c>
      <c r="D378" s="29">
        <f t="shared" si="18"/>
        <v>0.17205000000000001</v>
      </c>
      <c r="E378" s="29">
        <f t="shared" si="20"/>
        <v>188000.00000000006</v>
      </c>
      <c r="H378" s="3">
        <v>20.13</v>
      </c>
      <c r="I378" s="29">
        <f t="shared" si="23"/>
        <v>21.312399999999997</v>
      </c>
      <c r="J378" s="29">
        <f t="shared" si="19"/>
        <v>19.012649999999997</v>
      </c>
      <c r="K378" s="29">
        <f t="shared" si="21"/>
        <v>88096.280087527324</v>
      </c>
    </row>
    <row r="379" spans="1:11" ht="18" x14ac:dyDescent="0.2">
      <c r="A379" s="31">
        <v>38817</v>
      </c>
      <c r="B379" s="30">
        <v>0.45</v>
      </c>
      <c r="C379" s="29">
        <f t="shared" si="22"/>
        <v>0.2772</v>
      </c>
      <c r="D379" s="29">
        <f t="shared" si="18"/>
        <v>0.17319999999999999</v>
      </c>
      <c r="E379" s="29">
        <f t="shared" si="20"/>
        <v>180000.00000000006</v>
      </c>
      <c r="H379" s="3">
        <v>19.739999999999998</v>
      </c>
      <c r="I379" s="29">
        <f t="shared" si="23"/>
        <v>21.309000000000005</v>
      </c>
      <c r="J379" s="29">
        <f t="shared" si="19"/>
        <v>19.026999999999997</v>
      </c>
      <c r="K379" s="29">
        <f t="shared" si="21"/>
        <v>86389.496717724265</v>
      </c>
    </row>
    <row r="380" spans="1:11" ht="18" x14ac:dyDescent="0.2">
      <c r="A380" s="31">
        <v>38824</v>
      </c>
      <c r="B380" s="30">
        <v>0.43</v>
      </c>
      <c r="C380" s="29">
        <f t="shared" si="22"/>
        <v>0.28220000000000001</v>
      </c>
      <c r="D380" s="29">
        <f t="shared" si="18"/>
        <v>0.17449999999999999</v>
      </c>
      <c r="E380" s="29">
        <f t="shared" si="20"/>
        <v>172000.00000000006</v>
      </c>
      <c r="H380" s="3">
        <v>19.88</v>
      </c>
      <c r="I380" s="29">
        <f t="shared" si="23"/>
        <v>21.290600000000005</v>
      </c>
      <c r="J380" s="29">
        <f t="shared" si="19"/>
        <v>19.042049999999996</v>
      </c>
      <c r="K380" s="29">
        <f t="shared" si="21"/>
        <v>87002.188183807419</v>
      </c>
    </row>
    <row r="381" spans="1:11" ht="18" x14ac:dyDescent="0.2">
      <c r="A381" s="31">
        <v>38831</v>
      </c>
      <c r="B381" s="30">
        <v>0.45</v>
      </c>
      <c r="C381" s="29">
        <f t="shared" si="22"/>
        <v>0.28739999999999999</v>
      </c>
      <c r="D381" s="29">
        <f t="shared" si="18"/>
        <v>0.17610000000000001</v>
      </c>
      <c r="E381" s="29">
        <f t="shared" si="20"/>
        <v>180000.00000000006</v>
      </c>
      <c r="H381" s="3">
        <v>19.75</v>
      </c>
      <c r="I381" s="29">
        <f t="shared" si="23"/>
        <v>21.273600000000005</v>
      </c>
      <c r="J381" s="29">
        <f t="shared" si="19"/>
        <v>19.054099999999998</v>
      </c>
      <c r="K381" s="29">
        <f t="shared" si="21"/>
        <v>86433.260393873061</v>
      </c>
    </row>
    <row r="382" spans="1:11" ht="18" x14ac:dyDescent="0.2">
      <c r="A382" s="31">
        <v>38838</v>
      </c>
      <c r="B382" s="30">
        <v>0.48</v>
      </c>
      <c r="C382" s="29">
        <f t="shared" si="22"/>
        <v>0.29299999999999998</v>
      </c>
      <c r="D382" s="29">
        <f t="shared" si="18"/>
        <v>0.17774999999999999</v>
      </c>
      <c r="E382" s="29">
        <f t="shared" si="20"/>
        <v>192000.00000000006</v>
      </c>
      <c r="H382" s="3">
        <v>20.3</v>
      </c>
      <c r="I382" s="29">
        <f t="shared" si="23"/>
        <v>21.267400000000002</v>
      </c>
      <c r="J382" s="29">
        <f t="shared" si="19"/>
        <v>19.072299999999998</v>
      </c>
      <c r="K382" s="29">
        <f t="shared" si="21"/>
        <v>88840.262582056879</v>
      </c>
    </row>
    <row r="383" spans="1:11" ht="18" x14ac:dyDescent="0.2">
      <c r="A383" s="31">
        <v>38845</v>
      </c>
      <c r="B383" s="30">
        <v>0.4</v>
      </c>
      <c r="C383" s="29">
        <f t="shared" si="22"/>
        <v>0.29679999999999995</v>
      </c>
      <c r="D383" s="29">
        <f t="shared" si="18"/>
        <v>0.17899999999999999</v>
      </c>
      <c r="E383" s="29">
        <f t="shared" si="20"/>
        <v>160000.00000000006</v>
      </c>
      <c r="H383" s="3">
        <v>20.66</v>
      </c>
      <c r="I383" s="29">
        <f t="shared" si="23"/>
        <v>21.253600000000002</v>
      </c>
      <c r="J383" s="29">
        <f t="shared" si="19"/>
        <v>19.097499999999997</v>
      </c>
      <c r="K383" s="29">
        <f t="shared" si="21"/>
        <v>90415.754923413551</v>
      </c>
    </row>
    <row r="384" spans="1:11" ht="18" x14ac:dyDescent="0.2">
      <c r="A384" s="31">
        <v>38852</v>
      </c>
      <c r="B384" s="30">
        <v>0.37</v>
      </c>
      <c r="C384" s="29">
        <f t="shared" si="22"/>
        <v>0.29979999999999996</v>
      </c>
      <c r="D384" s="29">
        <f t="shared" si="18"/>
        <v>0.18014999999999998</v>
      </c>
      <c r="E384" s="29">
        <f t="shared" si="20"/>
        <v>148000.00000000006</v>
      </c>
      <c r="H384" s="3">
        <v>20.73</v>
      </c>
      <c r="I384" s="29">
        <f t="shared" si="23"/>
        <v>21.250000000000004</v>
      </c>
      <c r="J384" s="29">
        <f t="shared" si="19"/>
        <v>19.133699999999997</v>
      </c>
      <c r="K384" s="29">
        <f t="shared" si="21"/>
        <v>90722.100656455135</v>
      </c>
    </row>
    <row r="385" spans="1:11" ht="18" x14ac:dyDescent="0.2">
      <c r="A385" s="31">
        <v>38859</v>
      </c>
      <c r="B385" s="30">
        <v>0.37</v>
      </c>
      <c r="C385" s="29">
        <f t="shared" si="22"/>
        <v>0.30299999999999994</v>
      </c>
      <c r="D385" s="29">
        <f t="shared" si="18"/>
        <v>0.18144999999999997</v>
      </c>
      <c r="E385" s="29">
        <f t="shared" si="20"/>
        <v>148000.00000000006</v>
      </c>
      <c r="H385" s="3">
        <v>20.059999999999999</v>
      </c>
      <c r="I385" s="29">
        <f t="shared" si="23"/>
        <v>21.250599999999999</v>
      </c>
      <c r="J385" s="29">
        <f t="shared" si="19"/>
        <v>19.176499999999997</v>
      </c>
      <c r="K385" s="29">
        <f t="shared" si="21"/>
        <v>87789.934354485769</v>
      </c>
    </row>
    <row r="386" spans="1:11" ht="18" x14ac:dyDescent="0.2">
      <c r="A386" s="31">
        <v>38866</v>
      </c>
      <c r="B386" s="30">
        <v>0.36</v>
      </c>
      <c r="C386" s="29">
        <f t="shared" si="22"/>
        <v>0.30599999999999994</v>
      </c>
      <c r="D386" s="29">
        <f t="shared" si="18"/>
        <v>0.18289999999999998</v>
      </c>
      <c r="E386" s="29">
        <f t="shared" si="20"/>
        <v>144000.00000000006</v>
      </c>
      <c r="H386" s="3">
        <v>20.99</v>
      </c>
      <c r="I386" s="29">
        <f t="shared" si="23"/>
        <v>21.239199999999997</v>
      </c>
      <c r="J386" s="29">
        <f t="shared" si="19"/>
        <v>19.219799999999999</v>
      </c>
      <c r="K386" s="29">
        <f t="shared" si="21"/>
        <v>91859.956236323851</v>
      </c>
    </row>
    <row r="387" spans="1:11" ht="18" x14ac:dyDescent="0.2">
      <c r="A387" s="31">
        <v>38873</v>
      </c>
      <c r="B387" s="30">
        <v>0.33</v>
      </c>
      <c r="C387" s="29">
        <f t="shared" si="22"/>
        <v>0.30839999999999995</v>
      </c>
      <c r="D387" s="29">
        <f t="shared" si="18"/>
        <v>0.18419999999999997</v>
      </c>
      <c r="E387" s="29">
        <f t="shared" si="20"/>
        <v>132000.00000000006</v>
      </c>
      <c r="H387" s="3">
        <v>20.84</v>
      </c>
      <c r="I387" s="29">
        <f t="shared" si="23"/>
        <v>21.238999999999997</v>
      </c>
      <c r="J387" s="29">
        <f t="shared" si="19"/>
        <v>19.2559</v>
      </c>
      <c r="K387" s="29">
        <f t="shared" si="21"/>
        <v>91203.501094091916</v>
      </c>
    </row>
    <row r="388" spans="1:11" ht="18" x14ac:dyDescent="0.2">
      <c r="A388" s="31">
        <v>38880</v>
      </c>
      <c r="B388" s="30">
        <v>0.33</v>
      </c>
      <c r="C388" s="29">
        <f t="shared" si="22"/>
        <v>0.31079999999999997</v>
      </c>
      <c r="D388" s="29">
        <f t="shared" si="18"/>
        <v>0.18544999999999998</v>
      </c>
      <c r="E388" s="29">
        <f t="shared" si="20"/>
        <v>132000.00000000006</v>
      </c>
      <c r="H388" s="3">
        <v>20.7</v>
      </c>
      <c r="I388" s="29">
        <f t="shared" si="23"/>
        <v>21.241599999999995</v>
      </c>
      <c r="J388" s="29">
        <f t="shared" si="19"/>
        <v>19.295149999999996</v>
      </c>
      <c r="K388" s="29">
        <f t="shared" si="21"/>
        <v>90590.809628008763</v>
      </c>
    </row>
    <row r="389" spans="1:11" ht="18" x14ac:dyDescent="0.2">
      <c r="A389" s="31">
        <v>38887</v>
      </c>
      <c r="B389" s="30">
        <v>0.31</v>
      </c>
      <c r="C389" s="29">
        <f t="shared" si="22"/>
        <v>0.31259999999999993</v>
      </c>
      <c r="D389" s="29">
        <f t="shared" si="18"/>
        <v>0.18654999999999997</v>
      </c>
      <c r="E389" s="29">
        <f t="shared" si="20"/>
        <v>124000.00000000004</v>
      </c>
      <c r="H389" s="3">
        <v>20.63</v>
      </c>
      <c r="I389" s="29">
        <f t="shared" si="23"/>
        <v>21.247399999999999</v>
      </c>
      <c r="J389" s="29">
        <f t="shared" si="19"/>
        <v>19.331849999999996</v>
      </c>
      <c r="K389" s="29">
        <f t="shared" si="21"/>
        <v>90284.463894967179</v>
      </c>
    </row>
    <row r="390" spans="1:11" ht="18" x14ac:dyDescent="0.2">
      <c r="A390" s="31">
        <v>38894</v>
      </c>
      <c r="B390" s="30">
        <v>0.33</v>
      </c>
      <c r="C390" s="29">
        <f t="shared" si="22"/>
        <v>0.31499999999999995</v>
      </c>
      <c r="D390" s="29">
        <f t="shared" si="18"/>
        <v>0.18779999999999997</v>
      </c>
      <c r="E390" s="29">
        <f t="shared" si="20"/>
        <v>132000.00000000006</v>
      </c>
      <c r="H390" s="3">
        <v>21</v>
      </c>
      <c r="I390" s="29">
        <f t="shared" si="23"/>
        <v>21.250799999999998</v>
      </c>
      <c r="J390" s="29">
        <f t="shared" si="19"/>
        <v>19.368599999999997</v>
      </c>
      <c r="K390" s="29">
        <f t="shared" si="21"/>
        <v>91903.719912472647</v>
      </c>
    </row>
    <row r="391" spans="1:11" ht="18" x14ac:dyDescent="0.2">
      <c r="A391" s="31">
        <v>38901</v>
      </c>
      <c r="B391" s="30">
        <v>0.3</v>
      </c>
      <c r="C391" s="29">
        <f t="shared" si="22"/>
        <v>0.31699999999999995</v>
      </c>
      <c r="D391" s="29">
        <f t="shared" si="18"/>
        <v>0.18894999999999995</v>
      </c>
      <c r="E391" s="29">
        <f t="shared" si="20"/>
        <v>120000.00000000004</v>
      </c>
      <c r="H391" s="3">
        <v>20.71</v>
      </c>
      <c r="I391" s="29">
        <f t="shared" si="23"/>
        <v>21.249199999999995</v>
      </c>
      <c r="J391" s="29">
        <f t="shared" si="19"/>
        <v>19.410349999999998</v>
      </c>
      <c r="K391" s="29">
        <f t="shared" si="21"/>
        <v>90634.573304157544</v>
      </c>
    </row>
    <row r="392" spans="1:11" ht="18" x14ac:dyDescent="0.2">
      <c r="A392" s="31">
        <v>38908</v>
      </c>
      <c r="B392" s="30">
        <v>0.27</v>
      </c>
      <c r="C392" s="29">
        <f t="shared" si="22"/>
        <v>0.31819999999999998</v>
      </c>
      <c r="D392" s="29">
        <f t="shared" si="18"/>
        <v>0.18989999999999999</v>
      </c>
      <c r="E392" s="29">
        <f t="shared" si="20"/>
        <v>108000.00000000006</v>
      </c>
      <c r="H392" s="3">
        <v>20.41</v>
      </c>
      <c r="I392" s="29">
        <f t="shared" si="23"/>
        <v>21.244799999999994</v>
      </c>
      <c r="J392" s="29">
        <f t="shared" si="19"/>
        <v>19.455449999999995</v>
      </c>
      <c r="K392" s="29">
        <f t="shared" si="21"/>
        <v>89321.663019693646</v>
      </c>
    </row>
    <row r="393" spans="1:11" ht="18" x14ac:dyDescent="0.2">
      <c r="A393" s="31">
        <v>38915</v>
      </c>
      <c r="B393" s="30">
        <v>0.27</v>
      </c>
      <c r="C393" s="29">
        <f t="shared" si="22"/>
        <v>0.31919999999999998</v>
      </c>
      <c r="D393" s="29">
        <f t="shared" ref="D393:D456" si="24">AVERAGE(B194:B393)</f>
        <v>0.19089999999999999</v>
      </c>
      <c r="E393" s="29">
        <f t="shared" si="20"/>
        <v>108000.00000000006</v>
      </c>
      <c r="H393" s="3">
        <v>20.46</v>
      </c>
      <c r="I393" s="29">
        <f t="shared" si="23"/>
        <v>21.239799999999999</v>
      </c>
      <c r="J393" s="29">
        <f t="shared" ref="J393:J456" si="25">AVERAGE(H194:H393)</f>
        <v>19.505599999999998</v>
      </c>
      <c r="K393" s="29">
        <f t="shared" si="21"/>
        <v>89540.481400437624</v>
      </c>
    </row>
    <row r="394" spans="1:11" ht="18" x14ac:dyDescent="0.2">
      <c r="A394" s="31">
        <v>38922</v>
      </c>
      <c r="B394" s="30">
        <v>0.35</v>
      </c>
      <c r="C394" s="29">
        <f t="shared" si="22"/>
        <v>0.32159999999999994</v>
      </c>
      <c r="D394" s="29">
        <f t="shared" si="24"/>
        <v>0.1923</v>
      </c>
      <c r="E394" s="29">
        <f t="shared" ref="E394:E457" si="26">IF( C394&gt;D394,E393*B394/B393,100000)</f>
        <v>140000.00000000006</v>
      </c>
      <c r="H394" s="3">
        <v>21.08</v>
      </c>
      <c r="I394" s="29">
        <f t="shared" si="23"/>
        <v>21.234599999999997</v>
      </c>
      <c r="J394" s="29">
        <f t="shared" si="25"/>
        <v>19.563599999999994</v>
      </c>
      <c r="K394" s="29">
        <f t="shared" ref="K394:K457" si="27">IF(I394&gt;J394,K393*H394/H393,100000)</f>
        <v>92253.829321662997</v>
      </c>
    </row>
    <row r="395" spans="1:11" ht="18" x14ac:dyDescent="0.2">
      <c r="A395" s="31">
        <v>38929</v>
      </c>
      <c r="B395" s="30">
        <v>0.37</v>
      </c>
      <c r="C395" s="29">
        <f t="shared" si="22"/>
        <v>0.32459999999999994</v>
      </c>
      <c r="D395" s="29">
        <f t="shared" si="24"/>
        <v>0.19384999999999997</v>
      </c>
      <c r="E395" s="29">
        <f t="shared" si="26"/>
        <v>148000.00000000006</v>
      </c>
      <c r="H395" s="3">
        <v>20.93</v>
      </c>
      <c r="I395" s="29">
        <f t="shared" si="23"/>
        <v>21.252799999999993</v>
      </c>
      <c r="J395" s="29">
        <f t="shared" si="25"/>
        <v>19.625499999999995</v>
      </c>
      <c r="K395" s="29">
        <f t="shared" si="27"/>
        <v>91597.374179431048</v>
      </c>
    </row>
    <row r="396" spans="1:11" ht="18" x14ac:dyDescent="0.2">
      <c r="A396" s="31">
        <v>38936</v>
      </c>
      <c r="B396" s="30">
        <v>0.36</v>
      </c>
      <c r="C396" s="29">
        <f t="shared" si="22"/>
        <v>0.32739999999999997</v>
      </c>
      <c r="D396" s="29">
        <f t="shared" si="24"/>
        <v>0.19529999999999997</v>
      </c>
      <c r="E396" s="29">
        <f t="shared" si="26"/>
        <v>144000.00000000006</v>
      </c>
      <c r="H396" s="3">
        <v>20.66</v>
      </c>
      <c r="I396" s="29">
        <f t="shared" si="23"/>
        <v>21.2654</v>
      </c>
      <c r="J396" s="29">
        <f t="shared" si="25"/>
        <v>19.683599999999995</v>
      </c>
      <c r="K396" s="29">
        <f t="shared" si="27"/>
        <v>90415.754923413537</v>
      </c>
    </row>
    <row r="397" spans="1:11" ht="18" x14ac:dyDescent="0.2">
      <c r="A397" s="31">
        <v>38943</v>
      </c>
      <c r="B397" s="30">
        <v>0.42</v>
      </c>
      <c r="C397" s="29">
        <f t="shared" si="22"/>
        <v>0.33119999999999999</v>
      </c>
      <c r="D397" s="29">
        <f t="shared" si="24"/>
        <v>0.19705000000000003</v>
      </c>
      <c r="E397" s="29">
        <f t="shared" si="26"/>
        <v>168000.00000000006</v>
      </c>
      <c r="H397" s="3">
        <v>20.72</v>
      </c>
      <c r="I397" s="29">
        <f t="shared" si="23"/>
        <v>21.283000000000001</v>
      </c>
      <c r="J397" s="29">
        <f t="shared" si="25"/>
        <v>19.737299999999991</v>
      </c>
      <c r="K397" s="29">
        <f t="shared" si="27"/>
        <v>90678.336980306311</v>
      </c>
    </row>
    <row r="398" spans="1:11" ht="18" x14ac:dyDescent="0.2">
      <c r="A398" s="31">
        <v>38950</v>
      </c>
      <c r="B398" s="30">
        <v>0.4</v>
      </c>
      <c r="C398" s="29">
        <f t="shared" si="22"/>
        <v>0.33419999999999994</v>
      </c>
      <c r="D398" s="29">
        <f t="shared" si="24"/>
        <v>0.19865000000000002</v>
      </c>
      <c r="E398" s="29">
        <f t="shared" si="26"/>
        <v>160000.00000000009</v>
      </c>
      <c r="H398" s="3">
        <v>20.170000000000002</v>
      </c>
      <c r="I398" s="29">
        <f t="shared" si="23"/>
        <v>21.296399999999998</v>
      </c>
      <c r="J398" s="29">
        <f t="shared" si="25"/>
        <v>19.784599999999994</v>
      </c>
      <c r="K398" s="29">
        <f t="shared" si="27"/>
        <v>88271.334792122521</v>
      </c>
    </row>
    <row r="399" spans="1:11" ht="18" x14ac:dyDescent="0.2">
      <c r="A399" s="31">
        <v>38957</v>
      </c>
      <c r="B399" s="30">
        <v>0.43</v>
      </c>
      <c r="C399" s="29">
        <f t="shared" si="22"/>
        <v>0.33779999999999993</v>
      </c>
      <c r="D399" s="29">
        <f t="shared" si="24"/>
        <v>0.20024999999999998</v>
      </c>
      <c r="E399" s="29">
        <f t="shared" si="26"/>
        <v>172000.00000000009</v>
      </c>
      <c r="H399" s="3">
        <v>20.3</v>
      </c>
      <c r="I399" s="29">
        <f t="shared" si="23"/>
        <v>21.290399999999995</v>
      </c>
      <c r="J399" s="29">
        <f t="shared" si="25"/>
        <v>19.829499999999992</v>
      </c>
      <c r="K399" s="29">
        <f t="shared" si="27"/>
        <v>88840.262582056865</v>
      </c>
    </row>
    <row r="400" spans="1:11" ht="18" x14ac:dyDescent="0.2">
      <c r="A400" s="31">
        <v>38964</v>
      </c>
      <c r="B400" s="30">
        <v>0.42</v>
      </c>
      <c r="C400" s="29">
        <f t="shared" si="22"/>
        <v>0.34119999999999995</v>
      </c>
      <c r="D400" s="29">
        <f t="shared" si="24"/>
        <v>0.20190000000000002</v>
      </c>
      <c r="E400" s="29">
        <f t="shared" si="26"/>
        <v>168000.00000000006</v>
      </c>
      <c r="H400" s="3">
        <v>19.78</v>
      </c>
      <c r="I400" s="29">
        <f t="shared" si="23"/>
        <v>21.284999999999997</v>
      </c>
      <c r="J400" s="29">
        <f t="shared" si="25"/>
        <v>19.875249999999994</v>
      </c>
      <c r="K400" s="29">
        <f t="shared" si="27"/>
        <v>86564.551422319448</v>
      </c>
    </row>
    <row r="401" spans="1:11" ht="18" x14ac:dyDescent="0.2">
      <c r="A401" s="31">
        <v>38971</v>
      </c>
      <c r="B401" s="30">
        <v>0.45</v>
      </c>
      <c r="C401" s="29">
        <f t="shared" si="22"/>
        <v>0.34499999999999997</v>
      </c>
      <c r="D401" s="29">
        <f t="shared" si="24"/>
        <v>0.20365000000000003</v>
      </c>
      <c r="E401" s="29">
        <f t="shared" si="26"/>
        <v>180000.00000000009</v>
      </c>
      <c r="H401" s="3">
        <v>20.05</v>
      </c>
      <c r="I401" s="29">
        <f t="shared" si="23"/>
        <v>21.28</v>
      </c>
      <c r="J401" s="29">
        <f t="shared" si="25"/>
        <v>19.917399999999997</v>
      </c>
      <c r="K401" s="29">
        <f t="shared" si="27"/>
        <v>87746.170678336945</v>
      </c>
    </row>
    <row r="402" spans="1:11" ht="18" x14ac:dyDescent="0.2">
      <c r="A402" s="31">
        <v>38978</v>
      </c>
      <c r="B402" s="30">
        <v>0.46</v>
      </c>
      <c r="C402" s="29">
        <f t="shared" si="22"/>
        <v>0.34920000000000001</v>
      </c>
      <c r="D402" s="29">
        <f t="shared" si="24"/>
        <v>0.20535</v>
      </c>
      <c r="E402" s="29">
        <f t="shared" si="26"/>
        <v>184000.00000000009</v>
      </c>
      <c r="H402" s="3">
        <v>20.47</v>
      </c>
      <c r="I402" s="29">
        <f t="shared" si="23"/>
        <v>21.2822</v>
      </c>
      <c r="J402" s="29">
        <f t="shared" si="25"/>
        <v>19.953999999999994</v>
      </c>
      <c r="K402" s="29">
        <f t="shared" si="27"/>
        <v>89584.24507658639</v>
      </c>
    </row>
    <row r="403" spans="1:11" ht="18" x14ac:dyDescent="0.2">
      <c r="A403" s="31">
        <v>38985</v>
      </c>
      <c r="B403" s="30">
        <v>0.45</v>
      </c>
      <c r="C403" s="29">
        <f t="shared" si="22"/>
        <v>0.35339999999999994</v>
      </c>
      <c r="D403" s="29">
        <f t="shared" si="24"/>
        <v>0.20695</v>
      </c>
      <c r="E403" s="29">
        <f t="shared" si="26"/>
        <v>180000.00000000009</v>
      </c>
      <c r="H403" s="3">
        <v>20.57</v>
      </c>
      <c r="I403" s="29">
        <f t="shared" si="23"/>
        <v>21.292999999999996</v>
      </c>
      <c r="J403" s="29">
        <f t="shared" si="25"/>
        <v>19.990649999999995</v>
      </c>
      <c r="K403" s="29">
        <f t="shared" si="27"/>
        <v>90021.881838074361</v>
      </c>
    </row>
    <row r="404" spans="1:11" ht="18" x14ac:dyDescent="0.2">
      <c r="A404" s="31">
        <v>38992</v>
      </c>
      <c r="B404" s="30">
        <v>0.47</v>
      </c>
      <c r="C404" s="29">
        <f t="shared" si="22"/>
        <v>0.35799999999999987</v>
      </c>
      <c r="D404" s="29">
        <f t="shared" si="24"/>
        <v>0.20874999999999999</v>
      </c>
      <c r="E404" s="29">
        <f t="shared" si="26"/>
        <v>188000.00000000006</v>
      </c>
      <c r="H404" s="3">
        <v>20.03</v>
      </c>
      <c r="I404" s="29">
        <f t="shared" si="23"/>
        <v>21.299799999999994</v>
      </c>
      <c r="J404" s="29">
        <f t="shared" si="25"/>
        <v>20.026549999999997</v>
      </c>
      <c r="K404" s="29">
        <f t="shared" si="27"/>
        <v>87658.643326039353</v>
      </c>
    </row>
    <row r="405" spans="1:11" ht="18" x14ac:dyDescent="0.2">
      <c r="A405" s="31">
        <v>38999</v>
      </c>
      <c r="B405" s="30">
        <v>0.52</v>
      </c>
      <c r="C405" s="29">
        <f t="shared" si="22"/>
        <v>0.36339999999999989</v>
      </c>
      <c r="D405" s="29">
        <f t="shared" si="24"/>
        <v>0.21085000000000004</v>
      </c>
      <c r="E405" s="29">
        <f t="shared" si="26"/>
        <v>208000.00000000009</v>
      </c>
      <c r="H405" s="3">
        <v>19.940000000000001</v>
      </c>
      <c r="I405" s="29">
        <f t="shared" si="23"/>
        <v>21.283199999999997</v>
      </c>
      <c r="J405" s="29">
        <f t="shared" si="25"/>
        <v>20.064149999999994</v>
      </c>
      <c r="K405" s="29">
        <f t="shared" si="27"/>
        <v>87264.770240700178</v>
      </c>
    </row>
    <row r="406" spans="1:11" ht="18" x14ac:dyDescent="0.2">
      <c r="A406" s="31">
        <v>39006</v>
      </c>
      <c r="B406" s="30">
        <v>0.49</v>
      </c>
      <c r="C406" s="29">
        <f t="shared" si="22"/>
        <v>0.36799999999999988</v>
      </c>
      <c r="D406" s="29">
        <f t="shared" si="24"/>
        <v>0.21280000000000004</v>
      </c>
      <c r="E406" s="29">
        <f t="shared" si="26"/>
        <v>196000.00000000009</v>
      </c>
      <c r="H406" s="3">
        <v>19.93</v>
      </c>
      <c r="I406" s="29">
        <f t="shared" si="23"/>
        <v>21.249200000000002</v>
      </c>
      <c r="J406" s="29">
        <f t="shared" si="25"/>
        <v>20.098399999999994</v>
      </c>
      <c r="K406" s="29">
        <f t="shared" si="27"/>
        <v>87221.006564551382</v>
      </c>
    </row>
    <row r="407" spans="1:11" ht="18" x14ac:dyDescent="0.2">
      <c r="A407" s="31">
        <v>39013</v>
      </c>
      <c r="B407" s="30">
        <v>0.49</v>
      </c>
      <c r="C407" s="29">
        <f t="shared" si="22"/>
        <v>0.37259999999999982</v>
      </c>
      <c r="D407" s="29">
        <f t="shared" si="24"/>
        <v>0.21480000000000005</v>
      </c>
      <c r="E407" s="29">
        <f t="shared" si="26"/>
        <v>196000.00000000009</v>
      </c>
      <c r="H407" s="3">
        <v>20.23</v>
      </c>
      <c r="I407" s="29">
        <f t="shared" si="23"/>
        <v>21.204799999999999</v>
      </c>
      <c r="J407" s="29">
        <f t="shared" si="25"/>
        <v>20.136949999999995</v>
      </c>
      <c r="K407" s="29">
        <f t="shared" si="27"/>
        <v>88533.916849015281</v>
      </c>
    </row>
    <row r="408" spans="1:11" ht="18" x14ac:dyDescent="0.2">
      <c r="A408" s="31">
        <v>39020</v>
      </c>
      <c r="B408" s="30">
        <v>0.5</v>
      </c>
      <c r="C408" s="29">
        <f t="shared" si="22"/>
        <v>0.37699999999999989</v>
      </c>
      <c r="D408" s="29">
        <f t="shared" si="24"/>
        <v>0.21685000000000007</v>
      </c>
      <c r="E408" s="29">
        <f t="shared" si="26"/>
        <v>200000.00000000009</v>
      </c>
      <c r="H408" s="3">
        <v>20.86</v>
      </c>
      <c r="I408" s="29">
        <f t="shared" si="23"/>
        <v>21.155000000000001</v>
      </c>
      <c r="J408" s="29">
        <f t="shared" si="25"/>
        <v>20.173049999999996</v>
      </c>
      <c r="K408" s="29">
        <f t="shared" si="27"/>
        <v>91291.02844638945</v>
      </c>
    </row>
    <row r="409" spans="1:11" ht="18" x14ac:dyDescent="0.2">
      <c r="A409" s="31">
        <v>39027</v>
      </c>
      <c r="B409" s="30">
        <v>0.53</v>
      </c>
      <c r="C409" s="29">
        <f t="shared" si="22"/>
        <v>0.38179999999999986</v>
      </c>
      <c r="D409" s="29">
        <f t="shared" si="24"/>
        <v>0.21905000000000005</v>
      </c>
      <c r="E409" s="29">
        <f t="shared" si="26"/>
        <v>212000.00000000012</v>
      </c>
      <c r="H409" s="3">
        <v>21.64</v>
      </c>
      <c r="I409" s="29">
        <f t="shared" si="23"/>
        <v>21.120599999999996</v>
      </c>
      <c r="J409" s="29">
        <f t="shared" si="25"/>
        <v>20.208999999999996</v>
      </c>
      <c r="K409" s="29">
        <f t="shared" si="27"/>
        <v>94704.595185995582</v>
      </c>
    </row>
    <row r="410" spans="1:11" ht="18" x14ac:dyDescent="0.2">
      <c r="A410" s="31">
        <v>39034</v>
      </c>
      <c r="B410" s="30">
        <v>0.56000000000000005</v>
      </c>
      <c r="C410" s="29">
        <f t="shared" si="22"/>
        <v>0.38739999999999986</v>
      </c>
      <c r="D410" s="29">
        <f t="shared" si="24"/>
        <v>0.22145000000000006</v>
      </c>
      <c r="E410" s="29">
        <f t="shared" si="26"/>
        <v>224000.00000000012</v>
      </c>
      <c r="H410" s="3">
        <v>22.15</v>
      </c>
      <c r="I410" s="29">
        <f t="shared" si="23"/>
        <v>21.092000000000002</v>
      </c>
      <c r="J410" s="29">
        <f t="shared" si="25"/>
        <v>20.249899999999997</v>
      </c>
      <c r="K410" s="29">
        <f t="shared" si="27"/>
        <v>96936.542669584189</v>
      </c>
    </row>
    <row r="411" spans="1:11" ht="18" x14ac:dyDescent="0.2">
      <c r="A411" s="31">
        <v>39041</v>
      </c>
      <c r="B411" s="30">
        <v>0.56999999999999995</v>
      </c>
      <c r="C411" s="29">
        <f t="shared" si="22"/>
        <v>0.39319999999999994</v>
      </c>
      <c r="D411" s="29">
        <f t="shared" si="24"/>
        <v>0.22390000000000004</v>
      </c>
      <c r="E411" s="29">
        <f t="shared" si="26"/>
        <v>228000.00000000009</v>
      </c>
      <c r="H411" s="3">
        <v>22.72</v>
      </c>
      <c r="I411" s="29">
        <f t="shared" si="23"/>
        <v>21.072000000000003</v>
      </c>
      <c r="J411" s="29">
        <f t="shared" si="25"/>
        <v>20.299999999999997</v>
      </c>
      <c r="K411" s="29">
        <f t="shared" si="27"/>
        <v>99431.072210065598</v>
      </c>
    </row>
    <row r="412" spans="1:11" ht="18" x14ac:dyDescent="0.2">
      <c r="A412" s="31">
        <v>39048</v>
      </c>
      <c r="B412" s="30">
        <v>0.54</v>
      </c>
      <c r="C412" s="29">
        <f t="shared" si="22"/>
        <v>0.39839999999999987</v>
      </c>
      <c r="D412" s="29">
        <f t="shared" si="24"/>
        <v>0.22620000000000004</v>
      </c>
      <c r="E412" s="29">
        <f t="shared" si="26"/>
        <v>216000.00000000012</v>
      </c>
      <c r="H412" s="3">
        <v>22.58</v>
      </c>
      <c r="I412" s="29">
        <f t="shared" si="23"/>
        <v>21.061800000000002</v>
      </c>
      <c r="J412" s="29">
        <f t="shared" si="25"/>
        <v>20.350649999999995</v>
      </c>
      <c r="K412" s="29">
        <f t="shared" si="27"/>
        <v>98818.380743982445</v>
      </c>
    </row>
    <row r="413" spans="1:11" ht="18" x14ac:dyDescent="0.2">
      <c r="A413" s="31">
        <v>39055</v>
      </c>
      <c r="B413" s="30">
        <v>0.54</v>
      </c>
      <c r="C413" s="29">
        <f t="shared" si="22"/>
        <v>0.40339999999999987</v>
      </c>
      <c r="D413" s="29">
        <f t="shared" si="24"/>
        <v>0.22855000000000003</v>
      </c>
      <c r="E413" s="29">
        <f t="shared" si="26"/>
        <v>216000.00000000012</v>
      </c>
      <c r="H413" s="3">
        <v>23.07</v>
      </c>
      <c r="I413" s="29">
        <f t="shared" si="23"/>
        <v>21.041</v>
      </c>
      <c r="J413" s="29">
        <f t="shared" si="25"/>
        <v>20.407349999999997</v>
      </c>
      <c r="K413" s="29">
        <f t="shared" si="27"/>
        <v>100962.80087527349</v>
      </c>
    </row>
    <row r="414" spans="1:11" ht="18" x14ac:dyDescent="0.2">
      <c r="A414" s="31">
        <v>39062</v>
      </c>
      <c r="B414" s="30">
        <v>0.56999999999999995</v>
      </c>
      <c r="C414" s="29">
        <f t="shared" si="22"/>
        <v>0.4091999999999999</v>
      </c>
      <c r="D414" s="29">
        <f t="shared" si="24"/>
        <v>0.23095000000000007</v>
      </c>
      <c r="E414" s="29">
        <f t="shared" si="26"/>
        <v>228000.00000000009</v>
      </c>
      <c r="H414" s="3">
        <v>23.15</v>
      </c>
      <c r="I414" s="29">
        <f t="shared" si="23"/>
        <v>21.024999999999995</v>
      </c>
      <c r="J414" s="29">
        <f t="shared" si="25"/>
        <v>20.464799999999997</v>
      </c>
      <c r="K414" s="29">
        <f t="shared" si="27"/>
        <v>101312.91028446385</v>
      </c>
    </row>
    <row r="415" spans="1:11" ht="18" x14ac:dyDescent="0.2">
      <c r="A415" s="31">
        <v>39069</v>
      </c>
      <c r="B415" s="30">
        <v>0.56999999999999995</v>
      </c>
      <c r="C415" s="29">
        <f t="shared" si="22"/>
        <v>0.41439999999999988</v>
      </c>
      <c r="D415" s="29">
        <f t="shared" si="24"/>
        <v>0.23330000000000006</v>
      </c>
      <c r="E415" s="29">
        <f t="shared" si="26"/>
        <v>228000.00000000009</v>
      </c>
      <c r="H415" s="3">
        <v>23.23</v>
      </c>
      <c r="I415" s="29">
        <f t="shared" si="23"/>
        <v>21.016800000000003</v>
      </c>
      <c r="J415" s="29">
        <f t="shared" si="25"/>
        <v>20.519899999999996</v>
      </c>
      <c r="K415" s="29">
        <f t="shared" si="27"/>
        <v>101663.01969365422</v>
      </c>
    </row>
    <row r="416" spans="1:11" ht="18" x14ac:dyDescent="0.2">
      <c r="A416" s="31">
        <v>39076</v>
      </c>
      <c r="B416" s="30">
        <v>0.56999999999999995</v>
      </c>
      <c r="C416" s="29">
        <f t="shared" si="22"/>
        <v>0.4194</v>
      </c>
      <c r="D416" s="29">
        <f t="shared" si="24"/>
        <v>0.23565000000000005</v>
      </c>
      <c r="E416" s="29">
        <f t="shared" si="26"/>
        <v>228000.00000000009</v>
      </c>
      <c r="H416" s="3">
        <v>23.62</v>
      </c>
      <c r="I416" s="29">
        <f t="shared" si="23"/>
        <v>21.006200000000003</v>
      </c>
      <c r="J416" s="29">
        <f t="shared" si="25"/>
        <v>20.577500000000001</v>
      </c>
      <c r="K416" s="29">
        <f t="shared" si="27"/>
        <v>103369.80306345729</v>
      </c>
    </row>
    <row r="417" spans="1:11" ht="18" x14ac:dyDescent="0.2">
      <c r="A417" s="31">
        <v>39083</v>
      </c>
      <c r="B417" s="30">
        <v>0.51</v>
      </c>
      <c r="C417" s="29">
        <f t="shared" si="22"/>
        <v>0.42299999999999999</v>
      </c>
      <c r="D417" s="29">
        <f t="shared" si="24"/>
        <v>0.23770000000000002</v>
      </c>
      <c r="E417" s="29">
        <f t="shared" si="26"/>
        <v>204000.00000000009</v>
      </c>
      <c r="H417" s="3">
        <v>23.87</v>
      </c>
      <c r="I417" s="29">
        <f t="shared" si="23"/>
        <v>21.000599999999995</v>
      </c>
      <c r="J417" s="29">
        <f t="shared" si="25"/>
        <v>20.6374</v>
      </c>
      <c r="K417" s="29">
        <f t="shared" si="27"/>
        <v>104463.8949671772</v>
      </c>
    </row>
    <row r="418" spans="1:11" ht="18" x14ac:dyDescent="0.2">
      <c r="A418" s="31">
        <v>39090</v>
      </c>
      <c r="B418" s="30">
        <v>0.54</v>
      </c>
      <c r="C418" s="29">
        <f t="shared" si="22"/>
        <v>0.4267999999999999</v>
      </c>
      <c r="D418" s="29">
        <f t="shared" si="24"/>
        <v>0.23990000000000003</v>
      </c>
      <c r="E418" s="29">
        <f t="shared" si="26"/>
        <v>216000.00000000012</v>
      </c>
      <c r="H418" s="3">
        <v>23.56</v>
      </c>
      <c r="I418" s="29">
        <f t="shared" si="23"/>
        <v>21.039199999999997</v>
      </c>
      <c r="J418" s="29">
        <f t="shared" si="25"/>
        <v>20.698499999999999</v>
      </c>
      <c r="K418" s="29">
        <f t="shared" si="27"/>
        <v>103107.22100656449</v>
      </c>
    </row>
    <row r="419" spans="1:11" ht="18" x14ac:dyDescent="0.2">
      <c r="A419" s="31">
        <v>39097</v>
      </c>
      <c r="B419" s="30">
        <v>0.49</v>
      </c>
      <c r="C419" s="29">
        <f t="shared" si="22"/>
        <v>0.4297999999999999</v>
      </c>
      <c r="D419" s="29">
        <f t="shared" si="24"/>
        <v>0.24180000000000004</v>
      </c>
      <c r="E419" s="29">
        <f t="shared" si="26"/>
        <v>196000.00000000009</v>
      </c>
      <c r="H419" s="3">
        <v>23.76</v>
      </c>
      <c r="I419" s="29">
        <f t="shared" si="23"/>
        <v>21.074599999999997</v>
      </c>
      <c r="J419" s="29">
        <f t="shared" si="25"/>
        <v>20.751550000000002</v>
      </c>
      <c r="K419" s="29">
        <f t="shared" si="27"/>
        <v>103982.49452954043</v>
      </c>
    </row>
    <row r="420" spans="1:11" ht="18" x14ac:dyDescent="0.2">
      <c r="A420" s="31">
        <v>39104</v>
      </c>
      <c r="B420" s="30">
        <v>0.48</v>
      </c>
      <c r="C420" s="29">
        <f t="shared" si="22"/>
        <v>0.43259999999999993</v>
      </c>
      <c r="D420" s="29">
        <f t="shared" si="24"/>
        <v>0.2437</v>
      </c>
      <c r="E420" s="29">
        <f t="shared" si="26"/>
        <v>192000.00000000009</v>
      </c>
      <c r="H420" s="3">
        <v>23.9</v>
      </c>
      <c r="I420" s="29">
        <f t="shared" si="23"/>
        <v>21.125</v>
      </c>
      <c r="J420" s="29">
        <f t="shared" si="25"/>
        <v>20.805799999999998</v>
      </c>
      <c r="K420" s="29">
        <f t="shared" si="27"/>
        <v>104595.18599562357</v>
      </c>
    </row>
    <row r="421" spans="1:11" ht="18" x14ac:dyDescent="0.2">
      <c r="A421" s="31">
        <v>39111</v>
      </c>
      <c r="B421" s="30">
        <v>0.49</v>
      </c>
      <c r="C421" s="29">
        <f t="shared" si="22"/>
        <v>0.43519999999999986</v>
      </c>
      <c r="D421" s="29">
        <f t="shared" si="24"/>
        <v>0.24565000000000003</v>
      </c>
      <c r="E421" s="29">
        <f t="shared" si="26"/>
        <v>196000.00000000009</v>
      </c>
      <c r="H421" s="3">
        <v>22.78</v>
      </c>
      <c r="I421" s="29">
        <f t="shared" si="23"/>
        <v>21.176399999999997</v>
      </c>
      <c r="J421" s="29">
        <f t="shared" si="25"/>
        <v>20.851449999999996</v>
      </c>
      <c r="K421" s="29">
        <f t="shared" si="27"/>
        <v>99693.654266958387</v>
      </c>
    </row>
    <row r="422" spans="1:11" ht="18" x14ac:dyDescent="0.2">
      <c r="A422" s="31">
        <v>39118</v>
      </c>
      <c r="B422" s="30">
        <v>0.5</v>
      </c>
      <c r="C422" s="29">
        <f t="shared" si="22"/>
        <v>0.43819999999999992</v>
      </c>
      <c r="D422" s="29">
        <f t="shared" si="24"/>
        <v>0.24765000000000004</v>
      </c>
      <c r="E422" s="29">
        <f t="shared" si="26"/>
        <v>200000.00000000009</v>
      </c>
      <c r="H422" s="3">
        <v>23.8</v>
      </c>
      <c r="I422" s="29">
        <f t="shared" si="23"/>
        <v>21.197599999999998</v>
      </c>
      <c r="J422" s="29">
        <f t="shared" si="25"/>
        <v>20.901199999999996</v>
      </c>
      <c r="K422" s="29">
        <f t="shared" si="27"/>
        <v>104157.54923413563</v>
      </c>
    </row>
    <row r="423" spans="1:11" ht="18" x14ac:dyDescent="0.2">
      <c r="A423" s="31">
        <v>39125</v>
      </c>
      <c r="B423" s="30">
        <v>0.5</v>
      </c>
      <c r="C423" s="29">
        <f t="shared" si="22"/>
        <v>0.44059999999999994</v>
      </c>
      <c r="D423" s="29">
        <f t="shared" si="24"/>
        <v>0.24965000000000004</v>
      </c>
      <c r="E423" s="29">
        <f t="shared" si="26"/>
        <v>200000.00000000009</v>
      </c>
      <c r="H423" s="3">
        <v>23.67</v>
      </c>
      <c r="I423" s="29">
        <f t="shared" si="23"/>
        <v>21.241599999999998</v>
      </c>
      <c r="J423" s="29">
        <f t="shared" si="25"/>
        <v>20.945649999999997</v>
      </c>
      <c r="K423" s="29">
        <f t="shared" si="27"/>
        <v>103588.62144420129</v>
      </c>
    </row>
    <row r="424" spans="1:11" ht="18" x14ac:dyDescent="0.2">
      <c r="A424" s="31">
        <v>39132</v>
      </c>
      <c r="B424" s="30">
        <v>0.5</v>
      </c>
      <c r="C424" s="29">
        <f t="shared" si="22"/>
        <v>0.44339999999999996</v>
      </c>
      <c r="D424" s="29">
        <f t="shared" si="24"/>
        <v>0.25165000000000004</v>
      </c>
      <c r="E424" s="29">
        <f t="shared" si="26"/>
        <v>200000.00000000009</v>
      </c>
      <c r="H424" s="3">
        <v>23.9</v>
      </c>
      <c r="I424" s="29">
        <f t="shared" si="23"/>
        <v>21.2942</v>
      </c>
      <c r="J424" s="29">
        <f t="shared" si="25"/>
        <v>20.989499999999992</v>
      </c>
      <c r="K424" s="29">
        <f t="shared" si="27"/>
        <v>104595.18599562359</v>
      </c>
    </row>
    <row r="425" spans="1:11" ht="18" x14ac:dyDescent="0.2">
      <c r="A425" s="31">
        <v>39139</v>
      </c>
      <c r="B425" s="30">
        <v>0.45</v>
      </c>
      <c r="C425" s="29">
        <f t="shared" si="22"/>
        <v>0.44499999999999995</v>
      </c>
      <c r="D425" s="29">
        <f t="shared" si="24"/>
        <v>0.25330000000000008</v>
      </c>
      <c r="E425" s="29">
        <f t="shared" si="26"/>
        <v>180000.00000000009</v>
      </c>
      <c r="H425" s="3">
        <v>24.42</v>
      </c>
      <c r="I425" s="29">
        <f t="shared" si="23"/>
        <v>21.346</v>
      </c>
      <c r="J425" s="29">
        <f t="shared" si="25"/>
        <v>21.030799999999996</v>
      </c>
      <c r="K425" s="29">
        <f t="shared" si="27"/>
        <v>106870.89715536102</v>
      </c>
    </row>
    <row r="426" spans="1:11" ht="18" x14ac:dyDescent="0.2">
      <c r="A426" s="31">
        <v>39146</v>
      </c>
      <c r="B426" s="30">
        <v>0.47</v>
      </c>
      <c r="C426" s="29">
        <f t="shared" si="22"/>
        <v>0.44639999999999991</v>
      </c>
      <c r="D426" s="29">
        <f t="shared" si="24"/>
        <v>0.25485000000000008</v>
      </c>
      <c r="E426" s="29">
        <f t="shared" si="26"/>
        <v>188000.00000000006</v>
      </c>
      <c r="H426" s="3">
        <v>24.95</v>
      </c>
      <c r="I426" s="29">
        <f t="shared" si="23"/>
        <v>21.402000000000001</v>
      </c>
      <c r="J426" s="29">
        <f t="shared" si="25"/>
        <v>21.074149999999996</v>
      </c>
      <c r="K426" s="29">
        <f t="shared" si="27"/>
        <v>109190.37199124722</v>
      </c>
    </row>
    <row r="427" spans="1:11" ht="18" x14ac:dyDescent="0.2">
      <c r="A427" s="31">
        <v>39153</v>
      </c>
      <c r="B427" s="30">
        <v>0.43</v>
      </c>
      <c r="C427" s="29">
        <f t="shared" si="22"/>
        <v>0.44619999999999993</v>
      </c>
      <c r="D427" s="29">
        <f t="shared" si="24"/>
        <v>0.25620000000000004</v>
      </c>
      <c r="E427" s="29">
        <f t="shared" si="26"/>
        <v>172000.00000000006</v>
      </c>
      <c r="H427" s="3">
        <v>24.9</v>
      </c>
      <c r="I427" s="29">
        <f t="shared" si="23"/>
        <v>21.4848</v>
      </c>
      <c r="J427" s="29">
        <f t="shared" si="25"/>
        <v>21.114099999999993</v>
      </c>
      <c r="K427" s="29">
        <f t="shared" si="27"/>
        <v>108971.55361050322</v>
      </c>
    </row>
    <row r="428" spans="1:11" ht="18" x14ac:dyDescent="0.2">
      <c r="A428" s="31">
        <v>39160</v>
      </c>
      <c r="B428" s="30">
        <v>0.46</v>
      </c>
      <c r="C428" s="29">
        <f t="shared" si="22"/>
        <v>0.44599999999999995</v>
      </c>
      <c r="D428" s="29">
        <f t="shared" si="24"/>
        <v>0.25770000000000004</v>
      </c>
      <c r="E428" s="29">
        <f t="shared" si="26"/>
        <v>184000.00000000006</v>
      </c>
      <c r="H428" s="3">
        <v>24.63</v>
      </c>
      <c r="I428" s="29">
        <f t="shared" si="23"/>
        <v>21.567600000000002</v>
      </c>
      <c r="J428" s="29">
        <f t="shared" si="25"/>
        <v>21.153649999999999</v>
      </c>
      <c r="K428" s="29">
        <f t="shared" si="27"/>
        <v>107789.93435448571</v>
      </c>
    </row>
    <row r="429" spans="1:11" ht="18" x14ac:dyDescent="0.2">
      <c r="A429" s="31">
        <v>39167</v>
      </c>
      <c r="B429" s="30">
        <v>0.44</v>
      </c>
      <c r="C429" s="29">
        <f t="shared" si="22"/>
        <v>0.44579999999999997</v>
      </c>
      <c r="D429" s="29">
        <f t="shared" si="24"/>
        <v>0.25890000000000002</v>
      </c>
      <c r="E429" s="29">
        <f t="shared" si="26"/>
        <v>176000.00000000006</v>
      </c>
      <c r="H429" s="3">
        <v>24.79</v>
      </c>
      <c r="I429" s="29">
        <f t="shared" si="23"/>
        <v>21.657600000000002</v>
      </c>
      <c r="J429" s="29">
        <f t="shared" si="25"/>
        <v>21.188699999999997</v>
      </c>
      <c r="K429" s="29">
        <f t="shared" si="27"/>
        <v>108490.15317286644</v>
      </c>
    </row>
    <row r="430" spans="1:11" ht="18" x14ac:dyDescent="0.2">
      <c r="A430" s="31">
        <v>39174</v>
      </c>
      <c r="B430" s="30">
        <v>0.47</v>
      </c>
      <c r="C430" s="29">
        <f t="shared" si="22"/>
        <v>0.44659999999999994</v>
      </c>
      <c r="D430" s="29">
        <f t="shared" si="24"/>
        <v>0.26025000000000004</v>
      </c>
      <c r="E430" s="29">
        <f t="shared" si="26"/>
        <v>188000.00000000006</v>
      </c>
      <c r="H430" s="3">
        <v>25.21</v>
      </c>
      <c r="I430" s="29">
        <f t="shared" si="23"/>
        <v>21.758600000000001</v>
      </c>
      <c r="J430" s="29">
        <f t="shared" si="25"/>
        <v>21.2197</v>
      </c>
      <c r="K430" s="29">
        <f t="shared" si="27"/>
        <v>110328.2275711159</v>
      </c>
    </row>
    <row r="431" spans="1:11" ht="18" x14ac:dyDescent="0.2">
      <c r="A431" s="31">
        <v>39181</v>
      </c>
      <c r="B431" s="30">
        <v>0.47</v>
      </c>
      <c r="C431" s="29">
        <f t="shared" si="22"/>
        <v>0.44699999999999995</v>
      </c>
      <c r="D431" s="29">
        <f t="shared" si="24"/>
        <v>0.26170000000000004</v>
      </c>
      <c r="E431" s="29">
        <f t="shared" si="26"/>
        <v>188000.00000000006</v>
      </c>
      <c r="H431" s="3">
        <v>24.93</v>
      </c>
      <c r="I431" s="29">
        <f t="shared" si="23"/>
        <v>21.865200000000002</v>
      </c>
      <c r="J431" s="29">
        <f t="shared" si="25"/>
        <v>21.250450000000001</v>
      </c>
      <c r="K431" s="29">
        <f t="shared" si="27"/>
        <v>109102.84463894959</v>
      </c>
    </row>
    <row r="432" spans="1:11" ht="18" x14ac:dyDescent="0.2">
      <c r="A432" s="31">
        <v>39188</v>
      </c>
      <c r="B432" s="30">
        <v>0.49</v>
      </c>
      <c r="C432" s="29">
        <f t="shared" si="22"/>
        <v>0.44719999999999993</v>
      </c>
      <c r="D432" s="29">
        <f t="shared" si="24"/>
        <v>0.26325000000000004</v>
      </c>
      <c r="E432" s="29">
        <f t="shared" si="26"/>
        <v>196000.00000000009</v>
      </c>
      <c r="H432" s="3">
        <v>24.97</v>
      </c>
      <c r="I432" s="29">
        <f t="shared" si="23"/>
        <v>21.968800000000002</v>
      </c>
      <c r="J432" s="29">
        <f t="shared" si="25"/>
        <v>21.281150000000004</v>
      </c>
      <c r="K432" s="29">
        <f t="shared" si="27"/>
        <v>109277.89934354478</v>
      </c>
    </row>
    <row r="433" spans="1:11" ht="18" x14ac:dyDescent="0.2">
      <c r="A433" s="31">
        <v>39195</v>
      </c>
      <c r="B433" s="30">
        <v>0.51</v>
      </c>
      <c r="C433" s="29">
        <f t="shared" si="22"/>
        <v>0.44939999999999991</v>
      </c>
      <c r="D433" s="29">
        <f t="shared" si="24"/>
        <v>0.26495000000000002</v>
      </c>
      <c r="E433" s="29">
        <f t="shared" si="26"/>
        <v>204000.00000000009</v>
      </c>
      <c r="H433" s="3">
        <v>25.47</v>
      </c>
      <c r="I433" s="29">
        <f t="shared" si="23"/>
        <v>22.062200000000004</v>
      </c>
      <c r="J433" s="29">
        <f t="shared" si="25"/>
        <v>21.316750000000006</v>
      </c>
      <c r="K433" s="29">
        <f t="shared" si="27"/>
        <v>111466.0831509846</v>
      </c>
    </row>
    <row r="434" spans="1:11" ht="18" x14ac:dyDescent="0.2">
      <c r="A434" s="31">
        <v>39202</v>
      </c>
      <c r="B434" s="30">
        <v>0.52</v>
      </c>
      <c r="C434" s="29">
        <f t="shared" si="22"/>
        <v>0.45240000000000002</v>
      </c>
      <c r="D434" s="29">
        <f t="shared" si="24"/>
        <v>0.26665000000000005</v>
      </c>
      <c r="E434" s="29">
        <f t="shared" si="26"/>
        <v>208000.00000000009</v>
      </c>
      <c r="H434" s="3">
        <v>25.66</v>
      </c>
      <c r="I434" s="29">
        <f t="shared" si="23"/>
        <v>22.1584</v>
      </c>
      <c r="J434" s="29">
        <f t="shared" si="25"/>
        <v>21.352700000000006</v>
      </c>
      <c r="K434" s="29">
        <f t="shared" si="27"/>
        <v>112297.59299781173</v>
      </c>
    </row>
    <row r="435" spans="1:11" ht="18" x14ac:dyDescent="0.2">
      <c r="A435" s="31">
        <v>39209</v>
      </c>
      <c r="B435" s="30">
        <v>0.54</v>
      </c>
      <c r="C435" s="29">
        <f t="shared" ref="C435:C498" si="28">AVERAGE(B386:B435)</f>
        <v>0.45579999999999998</v>
      </c>
      <c r="D435" s="29">
        <f t="shared" si="24"/>
        <v>0.26840000000000003</v>
      </c>
      <c r="E435" s="29">
        <f t="shared" si="26"/>
        <v>216000.00000000012</v>
      </c>
      <c r="H435" s="3">
        <v>27.4</v>
      </c>
      <c r="I435" s="29">
        <f t="shared" si="23"/>
        <v>22.257000000000001</v>
      </c>
      <c r="J435" s="29">
        <f t="shared" si="25"/>
        <v>21.391950000000001</v>
      </c>
      <c r="K435" s="29">
        <f t="shared" si="27"/>
        <v>119912.47264770232</v>
      </c>
    </row>
    <row r="436" spans="1:11" ht="18" x14ac:dyDescent="0.2">
      <c r="A436" s="31">
        <v>39216</v>
      </c>
      <c r="B436" s="30">
        <v>0.54</v>
      </c>
      <c r="C436" s="29">
        <f t="shared" si="28"/>
        <v>0.45939999999999998</v>
      </c>
      <c r="D436" s="29">
        <f t="shared" si="24"/>
        <v>0.27030000000000004</v>
      </c>
      <c r="E436" s="29">
        <f t="shared" si="26"/>
        <v>216000.00000000012</v>
      </c>
      <c r="H436" s="3">
        <v>28.16</v>
      </c>
      <c r="I436" s="29">
        <f t="shared" ref="I436:I499" si="29">AVERAGE(H386:H435)</f>
        <v>22.4038</v>
      </c>
      <c r="J436" s="29">
        <f t="shared" si="25"/>
        <v>21.436200000000003</v>
      </c>
      <c r="K436" s="29">
        <f t="shared" si="27"/>
        <v>123238.51203501086</v>
      </c>
    </row>
    <row r="437" spans="1:11" ht="18" x14ac:dyDescent="0.2">
      <c r="A437" s="31">
        <v>39223</v>
      </c>
      <c r="B437" s="30">
        <v>0.51</v>
      </c>
      <c r="C437" s="29">
        <f t="shared" si="28"/>
        <v>0.46299999999999997</v>
      </c>
      <c r="D437" s="29">
        <f t="shared" si="24"/>
        <v>0.27205000000000001</v>
      </c>
      <c r="E437" s="29">
        <f t="shared" si="26"/>
        <v>204000.00000000009</v>
      </c>
      <c r="H437" s="3">
        <v>26.76</v>
      </c>
      <c r="I437" s="29">
        <f t="shared" si="29"/>
        <v>22.547200000000004</v>
      </c>
      <c r="J437" s="29">
        <f t="shared" si="25"/>
        <v>21.473050000000004</v>
      </c>
      <c r="K437" s="29">
        <f t="shared" si="27"/>
        <v>117111.59737417936</v>
      </c>
    </row>
    <row r="438" spans="1:11" ht="18" x14ac:dyDescent="0.2">
      <c r="A438" s="31">
        <v>39230</v>
      </c>
      <c r="B438" s="30">
        <v>0.53</v>
      </c>
      <c r="C438" s="29">
        <f t="shared" si="28"/>
        <v>0.46700000000000003</v>
      </c>
      <c r="D438" s="29">
        <f t="shared" si="24"/>
        <v>0.27395000000000003</v>
      </c>
      <c r="E438" s="29">
        <f t="shared" si="26"/>
        <v>212000.00000000012</v>
      </c>
      <c r="H438" s="3">
        <v>25.81</v>
      </c>
      <c r="I438" s="29">
        <f t="shared" si="29"/>
        <v>22.665600000000005</v>
      </c>
      <c r="J438" s="29">
        <f t="shared" si="25"/>
        <v>21.510950000000008</v>
      </c>
      <c r="K438" s="29">
        <f t="shared" si="27"/>
        <v>112954.04814004367</v>
      </c>
    </row>
    <row r="439" spans="1:11" ht="18" x14ac:dyDescent="0.2">
      <c r="A439" s="31">
        <v>39237</v>
      </c>
      <c r="B439" s="30">
        <v>0.56000000000000005</v>
      </c>
      <c r="C439" s="29">
        <f t="shared" si="28"/>
        <v>0.47199999999999998</v>
      </c>
      <c r="D439" s="29">
        <f t="shared" si="24"/>
        <v>0.27615000000000006</v>
      </c>
      <c r="E439" s="29">
        <f t="shared" si="26"/>
        <v>224000.00000000012</v>
      </c>
      <c r="H439" s="3">
        <v>26.1</v>
      </c>
      <c r="I439" s="29">
        <f t="shared" si="29"/>
        <v>22.767799999999998</v>
      </c>
      <c r="J439" s="29">
        <f t="shared" si="25"/>
        <v>21.551300000000005</v>
      </c>
      <c r="K439" s="29">
        <f t="shared" si="27"/>
        <v>114223.19474835879</v>
      </c>
    </row>
    <row r="440" spans="1:11" ht="18" x14ac:dyDescent="0.2">
      <c r="A440" s="31">
        <v>39244</v>
      </c>
      <c r="B440" s="30">
        <v>0.6</v>
      </c>
      <c r="C440" s="29">
        <f t="shared" si="28"/>
        <v>0.47740000000000005</v>
      </c>
      <c r="D440" s="29">
        <f t="shared" si="24"/>
        <v>0.27855000000000008</v>
      </c>
      <c r="E440" s="29">
        <f t="shared" si="26"/>
        <v>240000.00000000009</v>
      </c>
      <c r="H440" s="3">
        <v>26.45</v>
      </c>
      <c r="I440" s="29">
        <f t="shared" si="29"/>
        <v>22.877199999999995</v>
      </c>
      <c r="J440" s="29">
        <f t="shared" si="25"/>
        <v>21.591550000000005</v>
      </c>
      <c r="K440" s="29">
        <f t="shared" si="27"/>
        <v>115754.92341356665</v>
      </c>
    </row>
    <row r="441" spans="1:11" ht="18" x14ac:dyDescent="0.2">
      <c r="A441" s="31">
        <v>39251</v>
      </c>
      <c r="B441" s="30">
        <v>0.67</v>
      </c>
      <c r="C441" s="29">
        <f t="shared" si="28"/>
        <v>0.48480000000000006</v>
      </c>
      <c r="D441" s="29">
        <f t="shared" si="24"/>
        <v>0.28120000000000006</v>
      </c>
      <c r="E441" s="29">
        <f t="shared" si="26"/>
        <v>268000.00000000012</v>
      </c>
      <c r="H441" s="3">
        <v>25.42</v>
      </c>
      <c r="I441" s="29">
        <f t="shared" si="29"/>
        <v>22.986199999999993</v>
      </c>
      <c r="J441" s="29">
        <f t="shared" si="25"/>
        <v>21.625950000000003</v>
      </c>
      <c r="K441" s="29">
        <f t="shared" si="27"/>
        <v>111247.26477024062</v>
      </c>
    </row>
    <row r="442" spans="1:11" ht="18" x14ac:dyDescent="0.2">
      <c r="A442" s="31">
        <v>39258</v>
      </c>
      <c r="B442" s="30">
        <v>0.63</v>
      </c>
      <c r="C442" s="29">
        <f t="shared" si="28"/>
        <v>0.49200000000000005</v>
      </c>
      <c r="D442" s="29">
        <f t="shared" si="24"/>
        <v>0.28365000000000007</v>
      </c>
      <c r="E442" s="29">
        <f t="shared" si="26"/>
        <v>252000.00000000012</v>
      </c>
      <c r="H442" s="3">
        <v>24.24</v>
      </c>
      <c r="I442" s="29">
        <f t="shared" si="29"/>
        <v>23.080399999999994</v>
      </c>
      <c r="J442" s="29">
        <f t="shared" si="25"/>
        <v>21.653650000000003</v>
      </c>
      <c r="K442" s="29">
        <f t="shared" si="27"/>
        <v>106083.15098468262</v>
      </c>
    </row>
    <row r="443" spans="1:11" ht="18" x14ac:dyDescent="0.2">
      <c r="A443" s="31">
        <v>39265</v>
      </c>
      <c r="B443" s="30">
        <v>0.67</v>
      </c>
      <c r="C443" s="29">
        <f t="shared" si="28"/>
        <v>0.50000000000000011</v>
      </c>
      <c r="D443" s="29">
        <f t="shared" si="24"/>
        <v>0.28630000000000011</v>
      </c>
      <c r="E443" s="29">
        <f t="shared" si="26"/>
        <v>268000.00000000012</v>
      </c>
      <c r="H443" s="3">
        <v>24.67</v>
      </c>
      <c r="I443" s="29">
        <f t="shared" si="29"/>
        <v>23.156999999999993</v>
      </c>
      <c r="J443" s="29">
        <f t="shared" si="25"/>
        <v>21.683550000000004</v>
      </c>
      <c r="K443" s="29">
        <f t="shared" si="27"/>
        <v>107964.98905908088</v>
      </c>
    </row>
    <row r="444" spans="1:11" ht="18" x14ac:dyDescent="0.2">
      <c r="A444" s="31">
        <v>39272</v>
      </c>
      <c r="B444" s="30">
        <v>0.7</v>
      </c>
      <c r="C444" s="29">
        <f t="shared" si="28"/>
        <v>0.50700000000000012</v>
      </c>
      <c r="D444" s="29">
        <f t="shared" si="24"/>
        <v>0.28905000000000014</v>
      </c>
      <c r="E444" s="29">
        <f t="shared" si="26"/>
        <v>280000.00000000006</v>
      </c>
      <c r="H444" s="3">
        <v>25.35</v>
      </c>
      <c r="I444" s="29">
        <f t="shared" si="29"/>
        <v>23.241199999999996</v>
      </c>
      <c r="J444" s="29">
        <f t="shared" si="25"/>
        <v>21.717400000000001</v>
      </c>
      <c r="K444" s="29">
        <f t="shared" si="27"/>
        <v>110940.91903719904</v>
      </c>
    </row>
    <row r="445" spans="1:11" ht="18" x14ac:dyDescent="0.2">
      <c r="A445" s="31">
        <v>39279</v>
      </c>
      <c r="B445" s="30">
        <v>0.69</v>
      </c>
      <c r="C445" s="29">
        <f t="shared" si="28"/>
        <v>0.51340000000000008</v>
      </c>
      <c r="D445" s="29">
        <f t="shared" si="24"/>
        <v>0.29175000000000006</v>
      </c>
      <c r="E445" s="29">
        <f t="shared" si="26"/>
        <v>276000.00000000006</v>
      </c>
      <c r="H445" s="3">
        <v>25.6</v>
      </c>
      <c r="I445" s="29">
        <f t="shared" si="29"/>
        <v>23.326599999999996</v>
      </c>
      <c r="J445" s="29">
        <f t="shared" si="25"/>
        <v>21.748400000000011</v>
      </c>
      <c r="K445" s="29">
        <f t="shared" si="27"/>
        <v>112035.01094091896</v>
      </c>
    </row>
    <row r="446" spans="1:11" ht="18" x14ac:dyDescent="0.2">
      <c r="A446" s="31">
        <v>39286</v>
      </c>
      <c r="B446" s="30">
        <v>0.68</v>
      </c>
      <c r="C446" s="29">
        <f t="shared" si="28"/>
        <v>0.51980000000000004</v>
      </c>
      <c r="D446" s="29">
        <f t="shared" si="24"/>
        <v>0.2945000000000001</v>
      </c>
      <c r="E446" s="29">
        <f t="shared" si="26"/>
        <v>272000.00000000012</v>
      </c>
      <c r="H446" s="3">
        <v>24.89</v>
      </c>
      <c r="I446" s="29">
        <f t="shared" si="29"/>
        <v>23.419999999999991</v>
      </c>
      <c r="J446" s="29">
        <f t="shared" si="25"/>
        <v>21.779400000000013</v>
      </c>
      <c r="K446" s="29">
        <f t="shared" si="27"/>
        <v>108927.7899343544</v>
      </c>
    </row>
    <row r="447" spans="1:11" ht="18" x14ac:dyDescent="0.2">
      <c r="A447" s="31">
        <v>39293</v>
      </c>
      <c r="B447" s="30">
        <v>0.65</v>
      </c>
      <c r="C447" s="29">
        <f t="shared" si="28"/>
        <v>0.52440000000000009</v>
      </c>
      <c r="D447" s="29">
        <f t="shared" si="24"/>
        <v>0.29710000000000014</v>
      </c>
      <c r="E447" s="29">
        <f t="shared" si="26"/>
        <v>260000.00000000012</v>
      </c>
      <c r="H447" s="3">
        <v>26.26</v>
      </c>
      <c r="I447" s="29">
        <f t="shared" si="29"/>
        <v>23.504599999999996</v>
      </c>
      <c r="J447" s="29">
        <f t="shared" si="25"/>
        <v>21.814600000000013</v>
      </c>
      <c r="K447" s="29">
        <f t="shared" si="27"/>
        <v>114923.41356673952</v>
      </c>
    </row>
    <row r="448" spans="1:11" ht="18" x14ac:dyDescent="0.2">
      <c r="A448" s="31">
        <v>39300</v>
      </c>
      <c r="B448" s="30">
        <v>0.67</v>
      </c>
      <c r="C448" s="29">
        <f t="shared" si="28"/>
        <v>0.52980000000000016</v>
      </c>
      <c r="D448" s="29">
        <f t="shared" si="24"/>
        <v>0.29980000000000012</v>
      </c>
      <c r="E448" s="29">
        <f t="shared" si="26"/>
        <v>268000.00000000012</v>
      </c>
      <c r="H448" s="3">
        <v>27.68</v>
      </c>
      <c r="I448" s="29">
        <f t="shared" si="29"/>
        <v>23.615399999999994</v>
      </c>
      <c r="J448" s="29">
        <f t="shared" si="25"/>
        <v>21.855000000000015</v>
      </c>
      <c r="K448" s="29">
        <f t="shared" si="27"/>
        <v>121137.8555798686</v>
      </c>
    </row>
    <row r="449" spans="1:11" ht="18" x14ac:dyDescent="0.2">
      <c r="A449" s="31">
        <v>39307</v>
      </c>
      <c r="B449" s="30">
        <v>0.69</v>
      </c>
      <c r="C449" s="29">
        <f t="shared" si="28"/>
        <v>0.53500000000000014</v>
      </c>
      <c r="D449" s="29">
        <f t="shared" si="24"/>
        <v>0.30260000000000015</v>
      </c>
      <c r="E449" s="29">
        <f t="shared" si="26"/>
        <v>276000.00000000006</v>
      </c>
      <c r="H449" s="3">
        <v>27.46</v>
      </c>
      <c r="I449" s="29">
        <f t="shared" si="29"/>
        <v>23.765599999999996</v>
      </c>
      <c r="J449" s="29">
        <f t="shared" si="25"/>
        <v>21.89200000000001</v>
      </c>
      <c r="K449" s="29">
        <f t="shared" si="27"/>
        <v>120175.05470459508</v>
      </c>
    </row>
    <row r="450" spans="1:11" ht="18" x14ac:dyDescent="0.2">
      <c r="A450" s="31">
        <v>39314</v>
      </c>
      <c r="B450" s="30">
        <v>0.74</v>
      </c>
      <c r="C450" s="29">
        <f t="shared" si="28"/>
        <v>0.5414000000000001</v>
      </c>
      <c r="D450" s="29">
        <f t="shared" si="24"/>
        <v>0.30565000000000014</v>
      </c>
      <c r="E450" s="29">
        <f t="shared" si="26"/>
        <v>296000.00000000006</v>
      </c>
      <c r="H450" s="3">
        <v>26.74</v>
      </c>
      <c r="I450" s="29">
        <f t="shared" si="29"/>
        <v>23.908799999999996</v>
      </c>
      <c r="J450" s="29">
        <f t="shared" si="25"/>
        <v>21.929750000000009</v>
      </c>
      <c r="K450" s="29">
        <f t="shared" si="27"/>
        <v>117024.07002188172</v>
      </c>
    </row>
    <row r="451" spans="1:11" ht="18" x14ac:dyDescent="0.2">
      <c r="A451" s="31">
        <v>39321</v>
      </c>
      <c r="B451" s="30">
        <v>0.78</v>
      </c>
      <c r="C451" s="29">
        <f t="shared" si="28"/>
        <v>0.54800000000000015</v>
      </c>
      <c r="D451" s="29">
        <f t="shared" si="24"/>
        <v>0.30885000000000018</v>
      </c>
      <c r="E451" s="29">
        <f t="shared" si="26"/>
        <v>312000.00000000006</v>
      </c>
      <c r="H451" s="3">
        <v>27.82</v>
      </c>
      <c r="I451" s="29">
        <f t="shared" si="29"/>
        <v>24.047999999999998</v>
      </c>
      <c r="J451" s="29">
        <f t="shared" si="25"/>
        <v>21.969800000000006</v>
      </c>
      <c r="K451" s="29">
        <f t="shared" si="27"/>
        <v>121750.54704595174</v>
      </c>
    </row>
    <row r="452" spans="1:11" ht="18" x14ac:dyDescent="0.2">
      <c r="A452" s="31">
        <v>39328</v>
      </c>
      <c r="B452" s="30">
        <v>0.77</v>
      </c>
      <c r="C452" s="29">
        <f t="shared" si="28"/>
        <v>0.55420000000000014</v>
      </c>
      <c r="D452" s="29">
        <f t="shared" si="24"/>
        <v>0.31185000000000018</v>
      </c>
      <c r="E452" s="29">
        <f t="shared" si="26"/>
        <v>308000.00000000006</v>
      </c>
      <c r="H452" s="3">
        <v>27.7</v>
      </c>
      <c r="I452" s="29">
        <f t="shared" si="29"/>
        <v>24.203399999999998</v>
      </c>
      <c r="J452" s="29">
        <f t="shared" si="25"/>
        <v>22.008850000000002</v>
      </c>
      <c r="K452" s="29">
        <f t="shared" si="27"/>
        <v>121225.38293216618</v>
      </c>
    </row>
    <row r="453" spans="1:11" ht="18" x14ac:dyDescent="0.2">
      <c r="A453" s="31">
        <v>39335</v>
      </c>
      <c r="B453" s="30">
        <v>0.74</v>
      </c>
      <c r="C453" s="29">
        <f t="shared" si="28"/>
        <v>0.56000000000000016</v>
      </c>
      <c r="D453" s="29">
        <f t="shared" si="24"/>
        <v>0.31480000000000014</v>
      </c>
      <c r="E453" s="29">
        <f t="shared" si="26"/>
        <v>296000.00000000006</v>
      </c>
      <c r="H453" s="3">
        <v>27.83</v>
      </c>
      <c r="I453" s="29">
        <f t="shared" si="29"/>
        <v>24.347999999999999</v>
      </c>
      <c r="J453" s="29">
        <f t="shared" si="25"/>
        <v>22.050150000000002</v>
      </c>
      <c r="K453" s="29">
        <f t="shared" si="27"/>
        <v>121794.31072210053</v>
      </c>
    </row>
    <row r="454" spans="1:11" ht="18" x14ac:dyDescent="0.2">
      <c r="A454" s="31">
        <v>39342</v>
      </c>
      <c r="B454" s="30">
        <v>0.79</v>
      </c>
      <c r="C454" s="29">
        <f t="shared" si="28"/>
        <v>0.56640000000000013</v>
      </c>
      <c r="D454" s="29">
        <f t="shared" si="24"/>
        <v>0.31800000000000017</v>
      </c>
      <c r="E454" s="29">
        <f t="shared" si="26"/>
        <v>316000.00000000006</v>
      </c>
      <c r="H454" s="3">
        <v>27.55</v>
      </c>
      <c r="I454" s="29">
        <f t="shared" si="29"/>
        <v>24.493199999999998</v>
      </c>
      <c r="J454" s="29">
        <f t="shared" si="25"/>
        <v>22.0913</v>
      </c>
      <c r="K454" s="29">
        <f t="shared" si="27"/>
        <v>120568.92778993424</v>
      </c>
    </row>
    <row r="455" spans="1:11" ht="18" x14ac:dyDescent="0.2">
      <c r="A455" s="31">
        <v>39349</v>
      </c>
      <c r="B455" s="30">
        <v>0.83</v>
      </c>
      <c r="C455" s="29">
        <f t="shared" si="28"/>
        <v>0.5726</v>
      </c>
      <c r="D455" s="29">
        <f t="shared" si="24"/>
        <v>0.32135000000000019</v>
      </c>
      <c r="E455" s="29">
        <f t="shared" si="26"/>
        <v>332000.00000000006</v>
      </c>
      <c r="H455" s="3">
        <v>28.57</v>
      </c>
      <c r="I455" s="29">
        <f t="shared" si="29"/>
        <v>24.643599999999996</v>
      </c>
      <c r="J455" s="29">
        <f t="shared" si="25"/>
        <v>22.13645</v>
      </c>
      <c r="K455" s="29">
        <f t="shared" si="27"/>
        <v>125032.82275711147</v>
      </c>
    </row>
    <row r="456" spans="1:11" ht="18" x14ac:dyDescent="0.2">
      <c r="A456" s="31">
        <v>39356</v>
      </c>
      <c r="B456" s="30">
        <v>0.85</v>
      </c>
      <c r="C456" s="29">
        <f t="shared" si="28"/>
        <v>0.57980000000000009</v>
      </c>
      <c r="D456" s="29">
        <f t="shared" si="24"/>
        <v>0.3248000000000002</v>
      </c>
      <c r="E456" s="29">
        <f t="shared" si="26"/>
        <v>340000.00000000006</v>
      </c>
      <c r="H456" s="3">
        <v>28.5</v>
      </c>
      <c r="I456" s="29">
        <f t="shared" si="29"/>
        <v>24.816199999999995</v>
      </c>
      <c r="J456" s="29">
        <f t="shared" si="25"/>
        <v>22.182500000000001</v>
      </c>
      <c r="K456" s="29">
        <f t="shared" si="27"/>
        <v>124726.4770240699</v>
      </c>
    </row>
    <row r="457" spans="1:11" ht="18" x14ac:dyDescent="0.2">
      <c r="A457" s="31">
        <v>39363</v>
      </c>
      <c r="B457" s="30">
        <v>0.83</v>
      </c>
      <c r="C457" s="29">
        <f t="shared" si="28"/>
        <v>0.58660000000000001</v>
      </c>
      <c r="D457" s="29">
        <f t="shared" ref="D457:D520" si="30">AVERAGE(B258:B457)</f>
        <v>0.32815000000000011</v>
      </c>
      <c r="E457" s="29">
        <f t="shared" si="26"/>
        <v>332000.00000000006</v>
      </c>
      <c r="H457" s="3">
        <v>28.58</v>
      </c>
      <c r="I457" s="29">
        <f t="shared" si="29"/>
        <v>24.987599999999993</v>
      </c>
      <c r="J457" s="29">
        <f t="shared" ref="J457:J520" si="31">AVERAGE(H258:H457)</f>
        <v>22.228549999999995</v>
      </c>
      <c r="K457" s="29">
        <f t="shared" si="27"/>
        <v>125076.58643326027</v>
      </c>
    </row>
    <row r="458" spans="1:11" ht="18" x14ac:dyDescent="0.2">
      <c r="A458" s="31">
        <v>39370</v>
      </c>
      <c r="B458" s="30">
        <v>0.86</v>
      </c>
      <c r="C458" s="29">
        <f t="shared" si="28"/>
        <v>0.59379999999999999</v>
      </c>
      <c r="D458" s="29">
        <f t="shared" si="30"/>
        <v>0.33165000000000011</v>
      </c>
      <c r="E458" s="29">
        <f t="shared" ref="E458:E521" si="32">IF( C458&gt;D458,E457*B458/B457,100000)</f>
        <v>344000.00000000006</v>
      </c>
      <c r="H458" s="3">
        <v>28.52</v>
      </c>
      <c r="I458" s="29">
        <f t="shared" si="29"/>
        <v>25.154599999999991</v>
      </c>
      <c r="J458" s="29">
        <f t="shared" si="31"/>
        <v>22.272399999999998</v>
      </c>
      <c r="K458" s="29">
        <f t="shared" ref="K458:K521" si="33">IF(I458&gt;J458,K457*H458/H457,100000)</f>
        <v>124814.00437636749</v>
      </c>
    </row>
    <row r="459" spans="1:11" ht="18" x14ac:dyDescent="0.2">
      <c r="A459" s="31">
        <v>39377</v>
      </c>
      <c r="B459" s="30">
        <v>0.79</v>
      </c>
      <c r="C459" s="29">
        <f t="shared" si="28"/>
        <v>0.59899999999999987</v>
      </c>
      <c r="D459" s="29">
        <f t="shared" si="30"/>
        <v>0.33475000000000016</v>
      </c>
      <c r="E459" s="29">
        <f t="shared" si="32"/>
        <v>316000.00000000006</v>
      </c>
      <c r="H459" s="3">
        <v>29.52</v>
      </c>
      <c r="I459" s="29">
        <f t="shared" si="29"/>
        <v>25.30779999999999</v>
      </c>
      <c r="J459" s="29">
        <f t="shared" si="31"/>
        <v>22.320049999999995</v>
      </c>
      <c r="K459" s="29">
        <f t="shared" si="33"/>
        <v>129190.37199124714</v>
      </c>
    </row>
    <row r="460" spans="1:11" ht="18" x14ac:dyDescent="0.2">
      <c r="A460" s="31">
        <v>39384</v>
      </c>
      <c r="B460" s="30">
        <v>0.84</v>
      </c>
      <c r="C460" s="29">
        <f t="shared" si="28"/>
        <v>0.60459999999999992</v>
      </c>
      <c r="D460" s="29">
        <f t="shared" si="30"/>
        <v>0.33805000000000018</v>
      </c>
      <c r="E460" s="29">
        <f t="shared" si="32"/>
        <v>336000.00000000006</v>
      </c>
      <c r="H460" s="3">
        <v>28.88</v>
      </c>
      <c r="I460" s="29">
        <f t="shared" si="29"/>
        <v>25.465399999999992</v>
      </c>
      <c r="J460" s="29">
        <f t="shared" si="31"/>
        <v>22.363399999999999</v>
      </c>
      <c r="K460" s="29">
        <f t="shared" si="33"/>
        <v>126389.49671772418</v>
      </c>
    </row>
    <row r="461" spans="1:11" ht="18" x14ac:dyDescent="0.2">
      <c r="A461" s="31">
        <v>39391</v>
      </c>
      <c r="B461" s="30">
        <v>0.76</v>
      </c>
      <c r="C461" s="29">
        <f t="shared" si="28"/>
        <v>0.60839999999999994</v>
      </c>
      <c r="D461" s="29">
        <f t="shared" si="30"/>
        <v>0.3409000000000002</v>
      </c>
      <c r="E461" s="29">
        <f t="shared" si="32"/>
        <v>304000.00000000006</v>
      </c>
      <c r="H461" s="3">
        <v>28.99</v>
      </c>
      <c r="I461" s="29">
        <f t="shared" si="29"/>
        <v>25.599999999999994</v>
      </c>
      <c r="J461" s="29">
        <f t="shared" si="31"/>
        <v>22.400399999999994</v>
      </c>
      <c r="K461" s="29">
        <f t="shared" si="33"/>
        <v>126870.89715536094</v>
      </c>
    </row>
    <row r="462" spans="1:11" ht="18" x14ac:dyDescent="0.2">
      <c r="A462" s="31">
        <v>39398</v>
      </c>
      <c r="B462" s="30">
        <v>0.74</v>
      </c>
      <c r="C462" s="29">
        <f t="shared" si="28"/>
        <v>0.61239999999999994</v>
      </c>
      <c r="D462" s="29">
        <f t="shared" si="30"/>
        <v>0.34365000000000023</v>
      </c>
      <c r="E462" s="29">
        <f t="shared" si="32"/>
        <v>296000.00000000006</v>
      </c>
      <c r="H462" s="3">
        <v>28.74</v>
      </c>
      <c r="I462" s="29">
        <f t="shared" si="29"/>
        <v>25.725399999999993</v>
      </c>
      <c r="J462" s="29">
        <f t="shared" si="31"/>
        <v>22.434699999999992</v>
      </c>
      <c r="K462" s="29">
        <f t="shared" si="33"/>
        <v>125776.80525164102</v>
      </c>
    </row>
    <row r="463" spans="1:11" ht="18" x14ac:dyDescent="0.2">
      <c r="A463" s="31">
        <v>39405</v>
      </c>
      <c r="B463" s="30">
        <v>0.69</v>
      </c>
      <c r="C463" s="29">
        <f t="shared" si="28"/>
        <v>0.61539999999999995</v>
      </c>
      <c r="D463" s="29">
        <f t="shared" si="30"/>
        <v>0.34620000000000017</v>
      </c>
      <c r="E463" s="29">
        <f t="shared" si="32"/>
        <v>276000.00000000006</v>
      </c>
      <c r="H463" s="3">
        <v>29.18</v>
      </c>
      <c r="I463" s="29">
        <f t="shared" si="29"/>
        <v>25.848599999999998</v>
      </c>
      <c r="J463" s="29">
        <f t="shared" si="31"/>
        <v>22.470299999999995</v>
      </c>
      <c r="K463" s="29">
        <f t="shared" si="33"/>
        <v>127702.40700218806</v>
      </c>
    </row>
    <row r="464" spans="1:11" ht="18" x14ac:dyDescent="0.2">
      <c r="A464" s="31">
        <v>39412</v>
      </c>
      <c r="B464" s="30">
        <v>0.72</v>
      </c>
      <c r="C464" s="29">
        <f t="shared" si="28"/>
        <v>0.61839999999999984</v>
      </c>
      <c r="D464" s="29">
        <f t="shared" si="30"/>
        <v>0.34895000000000015</v>
      </c>
      <c r="E464" s="29">
        <f t="shared" si="32"/>
        <v>288000.00000000006</v>
      </c>
      <c r="H464" s="3">
        <v>29.21</v>
      </c>
      <c r="I464" s="29">
        <f t="shared" si="29"/>
        <v>25.970800000000004</v>
      </c>
      <c r="J464" s="29">
        <f t="shared" si="31"/>
        <v>22.508049999999997</v>
      </c>
      <c r="K464" s="29">
        <f t="shared" si="33"/>
        <v>127833.69803063446</v>
      </c>
    </row>
    <row r="465" spans="1:11" ht="18" x14ac:dyDescent="0.2">
      <c r="A465" s="31">
        <v>39419</v>
      </c>
      <c r="B465" s="30">
        <v>0.78</v>
      </c>
      <c r="C465" s="29">
        <f t="shared" si="28"/>
        <v>0.62259999999999982</v>
      </c>
      <c r="D465" s="29">
        <f t="shared" si="30"/>
        <v>0.35200000000000015</v>
      </c>
      <c r="E465" s="29">
        <f t="shared" si="32"/>
        <v>312000.00000000012</v>
      </c>
      <c r="H465" s="3">
        <v>28.98</v>
      </c>
      <c r="I465" s="29">
        <f t="shared" si="29"/>
        <v>26.092000000000002</v>
      </c>
      <c r="J465" s="29">
        <f t="shared" si="31"/>
        <v>22.542299999999997</v>
      </c>
      <c r="K465" s="29">
        <f t="shared" si="33"/>
        <v>126827.13347921215</v>
      </c>
    </row>
    <row r="466" spans="1:11" ht="18" x14ac:dyDescent="0.2">
      <c r="A466" s="31">
        <v>39426</v>
      </c>
      <c r="B466" s="30">
        <v>0.8</v>
      </c>
      <c r="C466" s="29">
        <f t="shared" si="28"/>
        <v>0.62719999999999987</v>
      </c>
      <c r="D466" s="29">
        <f t="shared" si="30"/>
        <v>0.35510000000000014</v>
      </c>
      <c r="E466" s="29">
        <f t="shared" si="32"/>
        <v>320000.00000000012</v>
      </c>
      <c r="H466" s="3">
        <v>28.2</v>
      </c>
      <c r="I466" s="29">
        <f t="shared" si="29"/>
        <v>26.207000000000004</v>
      </c>
      <c r="J466" s="29">
        <f t="shared" si="31"/>
        <v>22.571449999999995</v>
      </c>
      <c r="K466" s="29">
        <f t="shared" si="33"/>
        <v>123413.56673960602</v>
      </c>
    </row>
    <row r="467" spans="1:11" ht="18" x14ac:dyDescent="0.2">
      <c r="A467" s="31">
        <v>39433</v>
      </c>
      <c r="B467" s="30">
        <v>0.81</v>
      </c>
      <c r="C467" s="29">
        <f t="shared" si="28"/>
        <v>0.63319999999999987</v>
      </c>
      <c r="D467" s="29">
        <f t="shared" si="30"/>
        <v>0.35825000000000018</v>
      </c>
      <c r="E467" s="29">
        <f t="shared" si="32"/>
        <v>324000.00000000012</v>
      </c>
      <c r="H467" s="3">
        <v>28.66</v>
      </c>
      <c r="I467" s="29">
        <f t="shared" si="29"/>
        <v>26.298600000000008</v>
      </c>
      <c r="J467" s="29">
        <f t="shared" si="31"/>
        <v>22.601749999999996</v>
      </c>
      <c r="K467" s="29">
        <f t="shared" si="33"/>
        <v>125426.69584245066</v>
      </c>
    </row>
    <row r="468" spans="1:11" ht="18" x14ac:dyDescent="0.2">
      <c r="A468" s="31">
        <v>39440</v>
      </c>
      <c r="B468" s="30">
        <v>0.8</v>
      </c>
      <c r="C468" s="29">
        <f t="shared" si="28"/>
        <v>0.63839999999999986</v>
      </c>
      <c r="D468" s="29">
        <f t="shared" si="30"/>
        <v>0.36140000000000017</v>
      </c>
      <c r="E468" s="29">
        <f t="shared" si="32"/>
        <v>320000.00000000012</v>
      </c>
      <c r="H468" s="3">
        <v>29.61</v>
      </c>
      <c r="I468" s="29">
        <f t="shared" si="29"/>
        <v>26.394400000000008</v>
      </c>
      <c r="J468" s="29">
        <f t="shared" si="31"/>
        <v>22.635549999999995</v>
      </c>
      <c r="K468" s="29">
        <f t="shared" si="33"/>
        <v>129584.24507658632</v>
      </c>
    </row>
    <row r="469" spans="1:11" ht="18" x14ac:dyDescent="0.2">
      <c r="A469" s="31">
        <v>39447</v>
      </c>
      <c r="B469" s="30">
        <v>0.69</v>
      </c>
      <c r="C469" s="29">
        <f t="shared" si="28"/>
        <v>0.64239999999999986</v>
      </c>
      <c r="D469" s="29">
        <f t="shared" si="30"/>
        <v>0.3640000000000001</v>
      </c>
      <c r="E469" s="29">
        <f t="shared" si="32"/>
        <v>276000.00000000006</v>
      </c>
      <c r="H469" s="3">
        <v>29.36</v>
      </c>
      <c r="I469" s="29">
        <f t="shared" si="29"/>
        <v>26.51540000000001</v>
      </c>
      <c r="J469" s="29">
        <f t="shared" si="31"/>
        <v>22.662549999999989</v>
      </c>
      <c r="K469" s="29">
        <f t="shared" si="33"/>
        <v>128490.15317286641</v>
      </c>
    </row>
    <row r="470" spans="1:11" ht="18" x14ac:dyDescent="0.2">
      <c r="A470" s="31">
        <v>39454</v>
      </c>
      <c r="B470" s="30">
        <v>0.62</v>
      </c>
      <c r="C470" s="29">
        <f t="shared" si="28"/>
        <v>0.64519999999999977</v>
      </c>
      <c r="D470" s="29">
        <f t="shared" si="30"/>
        <v>0.36630000000000018</v>
      </c>
      <c r="E470" s="29">
        <f t="shared" si="32"/>
        <v>248000.00000000006</v>
      </c>
      <c r="H470" s="3">
        <v>29.61</v>
      </c>
      <c r="I470" s="29">
        <f t="shared" si="29"/>
        <v>26.627400000000009</v>
      </c>
      <c r="J470" s="29">
        <f t="shared" si="31"/>
        <v>22.694949999999992</v>
      </c>
      <c r="K470" s="29">
        <f t="shared" si="33"/>
        <v>129584.24507658632</v>
      </c>
    </row>
    <row r="471" spans="1:11" ht="18" x14ac:dyDescent="0.2">
      <c r="A471" s="31">
        <v>39461</v>
      </c>
      <c r="B471" s="30">
        <v>0.56999999999999995</v>
      </c>
      <c r="C471" s="29">
        <f t="shared" si="28"/>
        <v>0.64679999999999993</v>
      </c>
      <c r="D471" s="29">
        <f t="shared" si="30"/>
        <v>0.36830000000000013</v>
      </c>
      <c r="E471" s="29">
        <f t="shared" si="32"/>
        <v>228000.00000000006</v>
      </c>
      <c r="H471" s="3">
        <v>30.1</v>
      </c>
      <c r="I471" s="29">
        <f t="shared" si="29"/>
        <v>26.741600000000002</v>
      </c>
      <c r="J471" s="29">
        <f t="shared" si="31"/>
        <v>22.730349999999991</v>
      </c>
      <c r="K471" s="29">
        <f t="shared" si="33"/>
        <v>131728.66520787735</v>
      </c>
    </row>
    <row r="472" spans="1:11" ht="18" x14ac:dyDescent="0.2">
      <c r="A472" s="31">
        <v>39468</v>
      </c>
      <c r="B472" s="30">
        <v>0.56999999999999995</v>
      </c>
      <c r="C472" s="29">
        <f t="shared" si="28"/>
        <v>0.64819999999999989</v>
      </c>
      <c r="D472" s="29">
        <f t="shared" si="30"/>
        <v>0.37020000000000003</v>
      </c>
      <c r="E472" s="29">
        <f t="shared" si="32"/>
        <v>228000.00000000006</v>
      </c>
      <c r="H472" s="3">
        <v>30.68</v>
      </c>
      <c r="I472" s="29">
        <f t="shared" si="29"/>
        <v>26.887999999999998</v>
      </c>
      <c r="J472" s="29">
        <f t="shared" si="31"/>
        <v>22.768849999999997</v>
      </c>
      <c r="K472" s="29">
        <f t="shared" si="33"/>
        <v>134266.95842450752</v>
      </c>
    </row>
    <row r="473" spans="1:11" ht="18" x14ac:dyDescent="0.2">
      <c r="A473" s="31">
        <v>39475</v>
      </c>
      <c r="B473" s="30">
        <v>0.62</v>
      </c>
      <c r="C473" s="29">
        <f t="shared" si="28"/>
        <v>0.65059999999999985</v>
      </c>
      <c r="D473" s="29">
        <f t="shared" si="30"/>
        <v>0.37230000000000002</v>
      </c>
      <c r="E473" s="29">
        <f t="shared" si="32"/>
        <v>248000.00000000006</v>
      </c>
      <c r="H473" s="3">
        <v>31.44</v>
      </c>
      <c r="I473" s="29">
        <f t="shared" si="29"/>
        <v>27.025600000000004</v>
      </c>
      <c r="J473" s="29">
        <f t="shared" si="31"/>
        <v>22.810399999999991</v>
      </c>
      <c r="K473" s="29">
        <f t="shared" si="33"/>
        <v>137592.99781181605</v>
      </c>
    </row>
    <row r="474" spans="1:11" ht="18" x14ac:dyDescent="0.2">
      <c r="A474" s="31">
        <v>39482</v>
      </c>
      <c r="B474" s="30">
        <v>0.56999999999999995</v>
      </c>
      <c r="C474" s="29">
        <f t="shared" si="28"/>
        <v>0.65199999999999991</v>
      </c>
      <c r="D474" s="29">
        <f t="shared" si="30"/>
        <v>0.37414999999999998</v>
      </c>
      <c r="E474" s="29">
        <f t="shared" si="32"/>
        <v>228000.00000000006</v>
      </c>
      <c r="H474" s="3">
        <v>31.13</v>
      </c>
      <c r="I474" s="29">
        <f t="shared" si="29"/>
        <v>27.181000000000004</v>
      </c>
      <c r="J474" s="29">
        <f t="shared" si="31"/>
        <v>22.850499999999993</v>
      </c>
      <c r="K474" s="29">
        <f t="shared" si="33"/>
        <v>136236.32385120334</v>
      </c>
    </row>
    <row r="475" spans="1:11" ht="18" x14ac:dyDescent="0.2">
      <c r="A475" s="31">
        <v>39489</v>
      </c>
      <c r="B475" s="30">
        <v>0.51</v>
      </c>
      <c r="C475" s="29">
        <f t="shared" si="28"/>
        <v>0.65319999999999989</v>
      </c>
      <c r="D475" s="29">
        <f t="shared" si="30"/>
        <v>0.37580000000000008</v>
      </c>
      <c r="E475" s="29">
        <f t="shared" si="32"/>
        <v>204000.00000000006</v>
      </c>
      <c r="H475" s="3">
        <v>31.64</v>
      </c>
      <c r="I475" s="29">
        <f t="shared" si="29"/>
        <v>27.325600000000005</v>
      </c>
      <c r="J475" s="29">
        <f t="shared" si="31"/>
        <v>22.898449999999993</v>
      </c>
      <c r="K475" s="29">
        <f t="shared" si="33"/>
        <v>138468.27133479199</v>
      </c>
    </row>
    <row r="476" spans="1:11" ht="18" x14ac:dyDescent="0.2">
      <c r="A476" s="31">
        <v>39496</v>
      </c>
      <c r="B476" s="30">
        <v>0.51</v>
      </c>
      <c r="C476" s="29">
        <f t="shared" si="28"/>
        <v>0.65399999999999991</v>
      </c>
      <c r="D476" s="29">
        <f t="shared" si="30"/>
        <v>0.37744999999999995</v>
      </c>
      <c r="E476" s="29">
        <f t="shared" si="32"/>
        <v>204000.00000000006</v>
      </c>
      <c r="H476" s="3">
        <v>31.5</v>
      </c>
      <c r="I476" s="29">
        <f t="shared" si="29"/>
        <v>27.470000000000006</v>
      </c>
      <c r="J476" s="29">
        <f t="shared" si="31"/>
        <v>22.948399999999992</v>
      </c>
      <c r="K476" s="29">
        <f t="shared" si="33"/>
        <v>137855.57986870885</v>
      </c>
    </row>
    <row r="477" spans="1:11" ht="18" x14ac:dyDescent="0.2">
      <c r="A477" s="31">
        <v>39503</v>
      </c>
      <c r="B477" s="30">
        <v>0.49</v>
      </c>
      <c r="C477" s="29">
        <f t="shared" si="28"/>
        <v>0.65520000000000012</v>
      </c>
      <c r="D477" s="29">
        <f t="shared" si="30"/>
        <v>0.37909999999999999</v>
      </c>
      <c r="E477" s="29">
        <f t="shared" si="32"/>
        <v>196000.00000000006</v>
      </c>
      <c r="H477" s="3">
        <v>29.75</v>
      </c>
      <c r="I477" s="29">
        <f t="shared" si="29"/>
        <v>27.601000000000003</v>
      </c>
      <c r="J477" s="29">
        <f t="shared" si="31"/>
        <v>22.991549999999993</v>
      </c>
      <c r="K477" s="29">
        <f t="shared" si="33"/>
        <v>130196.93654266947</v>
      </c>
    </row>
    <row r="478" spans="1:11" ht="18" x14ac:dyDescent="0.2">
      <c r="A478" s="31">
        <v>39510</v>
      </c>
      <c r="B478" s="30">
        <v>0.45</v>
      </c>
      <c r="C478" s="29">
        <f t="shared" si="28"/>
        <v>0.65500000000000014</v>
      </c>
      <c r="D478" s="29">
        <f t="shared" si="30"/>
        <v>0.38049999999999995</v>
      </c>
      <c r="E478" s="29">
        <f t="shared" si="32"/>
        <v>180000.00000000006</v>
      </c>
      <c r="H478" s="3">
        <v>30.14</v>
      </c>
      <c r="I478" s="29">
        <f t="shared" si="29"/>
        <v>27.698000000000008</v>
      </c>
      <c r="J478" s="29">
        <f t="shared" si="31"/>
        <v>23.039799999999996</v>
      </c>
      <c r="K478" s="29">
        <f t="shared" si="33"/>
        <v>131903.71991247253</v>
      </c>
    </row>
    <row r="479" spans="1:11" ht="18" x14ac:dyDescent="0.2">
      <c r="A479" s="31">
        <v>39517</v>
      </c>
      <c r="B479" s="30">
        <v>0.42</v>
      </c>
      <c r="C479" s="29">
        <f t="shared" si="28"/>
        <v>0.65460000000000007</v>
      </c>
      <c r="D479" s="29">
        <f t="shared" si="30"/>
        <v>0.38179999999999997</v>
      </c>
      <c r="E479" s="29">
        <f t="shared" si="32"/>
        <v>168000.00000000003</v>
      </c>
      <c r="H479" s="3">
        <v>29.03</v>
      </c>
      <c r="I479" s="29">
        <f t="shared" si="29"/>
        <v>27.808200000000006</v>
      </c>
      <c r="J479" s="29">
        <f t="shared" si="31"/>
        <v>23.084799999999994</v>
      </c>
      <c r="K479" s="29">
        <f t="shared" si="33"/>
        <v>127045.95185995613</v>
      </c>
    </row>
    <row r="480" spans="1:11" ht="18" x14ac:dyDescent="0.2">
      <c r="A480" s="31">
        <v>39524</v>
      </c>
      <c r="B480" s="30">
        <v>0.42</v>
      </c>
      <c r="C480" s="29">
        <f t="shared" si="28"/>
        <v>0.65359999999999996</v>
      </c>
      <c r="D480" s="29">
        <f t="shared" si="30"/>
        <v>0.3831</v>
      </c>
      <c r="E480" s="29">
        <f t="shared" si="32"/>
        <v>168000.00000000003</v>
      </c>
      <c r="H480" s="3">
        <v>29.95</v>
      </c>
      <c r="I480" s="29">
        <f t="shared" si="29"/>
        <v>27.893000000000008</v>
      </c>
      <c r="J480" s="29">
        <f t="shared" si="31"/>
        <v>23.13324999999999</v>
      </c>
      <c r="K480" s="29">
        <f t="shared" si="33"/>
        <v>131072.2100656454</v>
      </c>
    </row>
    <row r="481" spans="1:11" ht="18" x14ac:dyDescent="0.2">
      <c r="A481" s="31">
        <v>39531</v>
      </c>
      <c r="B481" s="30">
        <v>0.45</v>
      </c>
      <c r="C481" s="29">
        <f t="shared" si="28"/>
        <v>0.65320000000000011</v>
      </c>
      <c r="D481" s="29">
        <f t="shared" si="30"/>
        <v>0.38445000000000001</v>
      </c>
      <c r="E481" s="29">
        <f t="shared" si="32"/>
        <v>180000.00000000003</v>
      </c>
      <c r="H481" s="3">
        <v>29.87</v>
      </c>
      <c r="I481" s="29">
        <f t="shared" si="29"/>
        <v>27.987800000000007</v>
      </c>
      <c r="J481" s="29">
        <f t="shared" si="31"/>
        <v>23.179149999999989</v>
      </c>
      <c r="K481" s="29">
        <f t="shared" si="33"/>
        <v>130722.10065645503</v>
      </c>
    </row>
    <row r="482" spans="1:11" ht="18" x14ac:dyDescent="0.2">
      <c r="A482" s="31">
        <v>39538</v>
      </c>
      <c r="B482" s="30">
        <v>0.43</v>
      </c>
      <c r="C482" s="29">
        <f t="shared" si="28"/>
        <v>0.65200000000000014</v>
      </c>
      <c r="D482" s="29">
        <f t="shared" si="30"/>
        <v>0.38575000000000004</v>
      </c>
      <c r="E482" s="29">
        <f t="shared" si="32"/>
        <v>172000.00000000003</v>
      </c>
      <c r="H482" s="3">
        <v>30.11</v>
      </c>
      <c r="I482" s="29">
        <f t="shared" si="29"/>
        <v>28.086600000000008</v>
      </c>
      <c r="J482" s="29">
        <f t="shared" si="31"/>
        <v>23.22499999999998</v>
      </c>
      <c r="K482" s="29">
        <f t="shared" si="33"/>
        <v>131772.42888402616</v>
      </c>
    </row>
    <row r="483" spans="1:11" ht="18" x14ac:dyDescent="0.2">
      <c r="A483" s="31">
        <v>39545</v>
      </c>
      <c r="B483" s="30">
        <v>0.42</v>
      </c>
      <c r="C483" s="29">
        <f t="shared" si="28"/>
        <v>0.65020000000000011</v>
      </c>
      <c r="D483" s="29">
        <f t="shared" si="30"/>
        <v>0.38705000000000006</v>
      </c>
      <c r="E483" s="29">
        <f t="shared" si="32"/>
        <v>168000.00000000003</v>
      </c>
      <c r="H483" s="3">
        <v>30.52</v>
      </c>
      <c r="I483" s="29">
        <f t="shared" si="29"/>
        <v>28.189400000000006</v>
      </c>
      <c r="J483" s="29">
        <f t="shared" si="31"/>
        <v>23.271449999999991</v>
      </c>
      <c r="K483" s="29">
        <f t="shared" si="33"/>
        <v>133566.73960612682</v>
      </c>
    </row>
    <row r="484" spans="1:11" ht="18" x14ac:dyDescent="0.2">
      <c r="A484" s="31">
        <v>39552</v>
      </c>
      <c r="B484" s="30">
        <v>0.44</v>
      </c>
      <c r="C484" s="29">
        <f t="shared" si="28"/>
        <v>0.64860000000000018</v>
      </c>
      <c r="D484" s="29">
        <f t="shared" si="30"/>
        <v>0.38850000000000001</v>
      </c>
      <c r="E484" s="29">
        <f t="shared" si="32"/>
        <v>176000.00000000003</v>
      </c>
      <c r="H484" s="3">
        <v>32.659999999999997</v>
      </c>
      <c r="I484" s="29">
        <f t="shared" si="29"/>
        <v>28.290400000000005</v>
      </c>
      <c r="J484" s="29">
        <f t="shared" si="31"/>
        <v>23.330199999999991</v>
      </c>
      <c r="K484" s="29">
        <f t="shared" si="33"/>
        <v>142932.16630196926</v>
      </c>
    </row>
    <row r="485" spans="1:11" ht="18" x14ac:dyDescent="0.2">
      <c r="A485" s="31">
        <v>39559</v>
      </c>
      <c r="B485" s="30">
        <v>0.46</v>
      </c>
      <c r="C485" s="29">
        <f t="shared" si="28"/>
        <v>0.64700000000000013</v>
      </c>
      <c r="D485" s="29">
        <f t="shared" si="30"/>
        <v>0.39004999999999995</v>
      </c>
      <c r="E485" s="29">
        <f t="shared" si="32"/>
        <v>184000.00000000003</v>
      </c>
      <c r="H485" s="3">
        <v>32.67</v>
      </c>
      <c r="I485" s="29">
        <f t="shared" si="29"/>
        <v>28.430400000000009</v>
      </c>
      <c r="J485" s="29">
        <f t="shared" si="31"/>
        <v>23.38689999999999</v>
      </c>
      <c r="K485" s="29">
        <f t="shared" si="33"/>
        <v>142975.92997811807</v>
      </c>
    </row>
    <row r="486" spans="1:11" ht="18" x14ac:dyDescent="0.2">
      <c r="A486" s="31">
        <v>39566</v>
      </c>
      <c r="B486" s="30">
        <v>0.52</v>
      </c>
      <c r="C486" s="29">
        <f t="shared" si="28"/>
        <v>0.64660000000000029</v>
      </c>
      <c r="D486" s="29">
        <f t="shared" si="30"/>
        <v>0.39189999999999997</v>
      </c>
      <c r="E486" s="29">
        <f t="shared" si="32"/>
        <v>208000.00000000003</v>
      </c>
      <c r="H486" s="3">
        <v>32.72</v>
      </c>
      <c r="I486" s="29">
        <f t="shared" si="29"/>
        <v>28.535800000000009</v>
      </c>
      <c r="J486" s="29">
        <f t="shared" si="31"/>
        <v>23.443549999999991</v>
      </c>
      <c r="K486" s="29">
        <f t="shared" si="33"/>
        <v>143194.74835886204</v>
      </c>
    </row>
    <row r="487" spans="1:11" ht="18" x14ac:dyDescent="0.2">
      <c r="A487" s="31">
        <v>39573</v>
      </c>
      <c r="B487" s="30">
        <v>0.52</v>
      </c>
      <c r="C487" s="29">
        <f t="shared" si="28"/>
        <v>0.64680000000000026</v>
      </c>
      <c r="D487" s="29">
        <f t="shared" si="30"/>
        <v>0.39384999999999992</v>
      </c>
      <c r="E487" s="29">
        <f t="shared" si="32"/>
        <v>208000.00000000003</v>
      </c>
      <c r="H487" s="3">
        <v>32.42</v>
      </c>
      <c r="I487" s="29">
        <f t="shared" si="29"/>
        <v>28.627000000000006</v>
      </c>
      <c r="J487" s="29">
        <f t="shared" si="31"/>
        <v>23.501299999999993</v>
      </c>
      <c r="K487" s="29">
        <f t="shared" si="33"/>
        <v>141881.83807439817</v>
      </c>
    </row>
    <row r="488" spans="1:11" ht="18" x14ac:dyDescent="0.2">
      <c r="A488" s="31">
        <v>39580</v>
      </c>
      <c r="B488" s="30">
        <v>0.56000000000000005</v>
      </c>
      <c r="C488" s="29">
        <f t="shared" si="28"/>
        <v>0.6474000000000002</v>
      </c>
      <c r="D488" s="29">
        <f t="shared" si="30"/>
        <v>0.39604999999999996</v>
      </c>
      <c r="E488" s="29">
        <f t="shared" si="32"/>
        <v>224000.00000000006</v>
      </c>
      <c r="H488" s="3">
        <v>32.659999999999997</v>
      </c>
      <c r="I488" s="29">
        <f t="shared" si="29"/>
        <v>28.740200000000005</v>
      </c>
      <c r="J488" s="29">
        <f t="shared" si="31"/>
        <v>23.562999999999999</v>
      </c>
      <c r="K488" s="29">
        <f t="shared" si="33"/>
        <v>142932.16630196926</v>
      </c>
    </row>
    <row r="489" spans="1:11" ht="18" x14ac:dyDescent="0.2">
      <c r="A489" s="31">
        <v>39587</v>
      </c>
      <c r="B489" s="30">
        <v>0.53</v>
      </c>
      <c r="C489" s="29">
        <f t="shared" si="28"/>
        <v>0.64680000000000026</v>
      </c>
      <c r="D489" s="29">
        <f t="shared" si="30"/>
        <v>0.39815</v>
      </c>
      <c r="E489" s="29">
        <f t="shared" si="32"/>
        <v>212000.00000000006</v>
      </c>
      <c r="H489" s="3">
        <v>32.1</v>
      </c>
      <c r="I489" s="29">
        <f t="shared" si="29"/>
        <v>28.877200000000006</v>
      </c>
      <c r="J489" s="29">
        <f t="shared" si="31"/>
        <v>23.619999999999994</v>
      </c>
      <c r="K489" s="29">
        <f t="shared" si="33"/>
        <v>140481.40043763668</v>
      </c>
    </row>
    <row r="490" spans="1:11" ht="18" x14ac:dyDescent="0.2">
      <c r="A490" s="31">
        <v>39594</v>
      </c>
      <c r="B490" s="30">
        <v>0.56999999999999995</v>
      </c>
      <c r="C490" s="29">
        <f t="shared" si="28"/>
        <v>0.64620000000000022</v>
      </c>
      <c r="D490" s="29">
        <f t="shared" si="30"/>
        <v>0.40039999999999992</v>
      </c>
      <c r="E490" s="29">
        <f t="shared" si="32"/>
        <v>228000.00000000003</v>
      </c>
      <c r="H490" s="3">
        <v>32.270000000000003</v>
      </c>
      <c r="I490" s="29">
        <f t="shared" si="29"/>
        <v>28.997200000000003</v>
      </c>
      <c r="J490" s="29">
        <f t="shared" si="31"/>
        <v>23.675600000000003</v>
      </c>
      <c r="K490" s="29">
        <f t="shared" si="33"/>
        <v>141225.38293216625</v>
      </c>
    </row>
    <row r="491" spans="1:11" ht="18" x14ac:dyDescent="0.2">
      <c r="A491" s="31">
        <v>39601</v>
      </c>
      <c r="B491" s="30">
        <v>0.55000000000000004</v>
      </c>
      <c r="C491" s="29">
        <f t="shared" si="28"/>
        <v>0.64380000000000026</v>
      </c>
      <c r="D491" s="29">
        <f t="shared" si="30"/>
        <v>0.40279999999999988</v>
      </c>
      <c r="E491" s="29">
        <f t="shared" si="32"/>
        <v>220000.00000000006</v>
      </c>
      <c r="H491" s="3">
        <v>31.34</v>
      </c>
      <c r="I491" s="29">
        <f t="shared" si="29"/>
        <v>29.113600000000002</v>
      </c>
      <c r="J491" s="29">
        <f t="shared" si="31"/>
        <v>23.730050000000002</v>
      </c>
      <c r="K491" s="29">
        <f t="shared" si="33"/>
        <v>137155.36105032815</v>
      </c>
    </row>
    <row r="492" spans="1:11" ht="18" x14ac:dyDescent="0.2">
      <c r="A492" s="31">
        <v>39608</v>
      </c>
      <c r="B492" s="30">
        <v>0.49</v>
      </c>
      <c r="C492" s="29">
        <f t="shared" si="28"/>
        <v>0.64100000000000024</v>
      </c>
      <c r="D492" s="29">
        <f t="shared" si="30"/>
        <v>0.40484999999999993</v>
      </c>
      <c r="E492" s="29">
        <f t="shared" si="32"/>
        <v>196000.00000000003</v>
      </c>
      <c r="H492" s="3">
        <v>31.43</v>
      </c>
      <c r="I492" s="29">
        <f t="shared" si="29"/>
        <v>29.232000000000003</v>
      </c>
      <c r="J492" s="29">
        <f t="shared" si="31"/>
        <v>23.782750000000007</v>
      </c>
      <c r="K492" s="29">
        <f t="shared" si="33"/>
        <v>137549.23413566733</v>
      </c>
    </row>
    <row r="493" spans="1:11" ht="18" x14ac:dyDescent="0.2">
      <c r="A493" s="31">
        <v>39615</v>
      </c>
      <c r="B493" s="30">
        <v>0.45</v>
      </c>
      <c r="C493" s="29">
        <f t="shared" si="28"/>
        <v>0.63660000000000017</v>
      </c>
      <c r="D493" s="29">
        <f t="shared" si="30"/>
        <v>0.4066499999999999</v>
      </c>
      <c r="E493" s="29">
        <f t="shared" si="32"/>
        <v>180000.00000000003</v>
      </c>
      <c r="H493" s="3">
        <v>30.29</v>
      </c>
      <c r="I493" s="29">
        <f t="shared" si="29"/>
        <v>29.375799999999998</v>
      </c>
      <c r="J493" s="29">
        <f t="shared" si="31"/>
        <v>23.824700000000004</v>
      </c>
      <c r="K493" s="29">
        <f t="shared" si="33"/>
        <v>132560.17505470454</v>
      </c>
    </row>
    <row r="494" spans="1:11" ht="18" x14ac:dyDescent="0.2">
      <c r="A494" s="31">
        <v>39622</v>
      </c>
      <c r="B494" s="30">
        <v>0.44</v>
      </c>
      <c r="C494" s="29">
        <f t="shared" si="28"/>
        <v>0.63140000000000018</v>
      </c>
      <c r="D494" s="29">
        <f t="shared" si="30"/>
        <v>0.40834999999999994</v>
      </c>
      <c r="E494" s="29">
        <f t="shared" si="32"/>
        <v>176000.00000000003</v>
      </c>
      <c r="H494" s="3">
        <v>30.12</v>
      </c>
      <c r="I494" s="29">
        <f t="shared" si="29"/>
        <v>29.488200000000003</v>
      </c>
      <c r="J494" s="29">
        <f t="shared" si="31"/>
        <v>23.862799999999996</v>
      </c>
      <c r="K494" s="29">
        <f t="shared" si="33"/>
        <v>131816.192560175</v>
      </c>
    </row>
    <row r="495" spans="1:11" ht="18" x14ac:dyDescent="0.2">
      <c r="A495" s="31">
        <v>39629</v>
      </c>
      <c r="B495" s="30">
        <v>0.28999999999999998</v>
      </c>
      <c r="C495" s="29">
        <f t="shared" si="28"/>
        <v>0.62340000000000018</v>
      </c>
      <c r="D495" s="29">
        <f t="shared" si="30"/>
        <v>0.40929999999999994</v>
      </c>
      <c r="E495" s="29">
        <f t="shared" si="32"/>
        <v>116000.00000000001</v>
      </c>
      <c r="H495" s="3">
        <v>30.44</v>
      </c>
      <c r="I495" s="29">
        <f t="shared" si="29"/>
        <v>29.583599999999997</v>
      </c>
      <c r="J495" s="29">
        <f t="shared" si="31"/>
        <v>23.902100000000001</v>
      </c>
      <c r="K495" s="29">
        <f t="shared" si="33"/>
        <v>133216.63019693649</v>
      </c>
    </row>
    <row r="496" spans="1:11" ht="18" x14ac:dyDescent="0.2">
      <c r="A496" s="31">
        <v>39636</v>
      </c>
      <c r="B496" s="30">
        <v>0.27</v>
      </c>
      <c r="C496" s="29">
        <f t="shared" si="28"/>
        <v>0.61520000000000019</v>
      </c>
      <c r="D496" s="29">
        <f t="shared" si="30"/>
        <v>0.41009999999999991</v>
      </c>
      <c r="E496" s="29">
        <f t="shared" si="32"/>
        <v>108000.00000000003</v>
      </c>
      <c r="H496" s="3">
        <v>31.36</v>
      </c>
      <c r="I496" s="29">
        <f t="shared" si="29"/>
        <v>29.680399999999999</v>
      </c>
      <c r="J496" s="29">
        <f t="shared" si="31"/>
        <v>23.946149999999999</v>
      </c>
      <c r="K496" s="29">
        <f t="shared" si="33"/>
        <v>137242.88840262574</v>
      </c>
    </row>
    <row r="497" spans="1:11" ht="18" x14ac:dyDescent="0.2">
      <c r="A497" s="31">
        <v>39643</v>
      </c>
      <c r="B497" s="30">
        <v>0.26</v>
      </c>
      <c r="C497" s="29">
        <f t="shared" si="28"/>
        <v>0.60740000000000027</v>
      </c>
      <c r="D497" s="29">
        <f t="shared" si="30"/>
        <v>0.41084999999999994</v>
      </c>
      <c r="E497" s="29">
        <f t="shared" si="32"/>
        <v>104000.00000000001</v>
      </c>
      <c r="H497" s="3">
        <v>29.8</v>
      </c>
      <c r="I497" s="29">
        <f t="shared" si="29"/>
        <v>29.809799999999999</v>
      </c>
      <c r="J497" s="29">
        <f t="shared" si="31"/>
        <v>23.982849999999999</v>
      </c>
      <c r="K497" s="29">
        <f t="shared" si="33"/>
        <v>130415.75492341349</v>
      </c>
    </row>
    <row r="498" spans="1:11" ht="18" x14ac:dyDescent="0.2">
      <c r="A498" s="31">
        <v>39650</v>
      </c>
      <c r="B498" s="30">
        <v>0.26</v>
      </c>
      <c r="C498" s="29">
        <f t="shared" si="28"/>
        <v>0.59920000000000018</v>
      </c>
      <c r="D498" s="29">
        <f t="shared" si="30"/>
        <v>0.41159999999999997</v>
      </c>
      <c r="E498" s="29">
        <f t="shared" si="32"/>
        <v>104000.00000000001</v>
      </c>
      <c r="H498" s="3">
        <v>27.71</v>
      </c>
      <c r="I498" s="29">
        <f t="shared" si="29"/>
        <v>29.880600000000001</v>
      </c>
      <c r="J498" s="29">
        <f t="shared" si="31"/>
        <v>24.008800000000001</v>
      </c>
      <c r="K498" s="29">
        <f t="shared" si="33"/>
        <v>121269.14660831503</v>
      </c>
    </row>
    <row r="499" spans="1:11" ht="18" x14ac:dyDescent="0.2">
      <c r="A499" s="31">
        <v>39657</v>
      </c>
      <c r="B499" s="30">
        <v>0.25</v>
      </c>
      <c r="C499" s="29">
        <f t="shared" ref="C499:C562" si="34">AVERAGE(B450:B499)</f>
        <v>0.59040000000000026</v>
      </c>
      <c r="D499" s="29">
        <f t="shared" si="30"/>
        <v>0.41224999999999995</v>
      </c>
      <c r="E499" s="29">
        <f t="shared" si="32"/>
        <v>100000.00000000001</v>
      </c>
      <c r="H499" s="3">
        <v>27.35</v>
      </c>
      <c r="I499" s="29">
        <f t="shared" si="29"/>
        <v>29.881200000000003</v>
      </c>
      <c r="J499" s="29">
        <f t="shared" si="31"/>
        <v>24.031300000000002</v>
      </c>
      <c r="K499" s="29">
        <f t="shared" si="33"/>
        <v>119693.65426695836</v>
      </c>
    </row>
    <row r="500" spans="1:11" ht="18" x14ac:dyDescent="0.2">
      <c r="A500" s="31">
        <v>39664</v>
      </c>
      <c r="B500" s="30">
        <v>0.25</v>
      </c>
      <c r="C500" s="29">
        <f t="shared" si="34"/>
        <v>0.58060000000000012</v>
      </c>
      <c r="D500" s="29">
        <f t="shared" si="30"/>
        <v>0.41294999999999993</v>
      </c>
      <c r="E500" s="29">
        <f t="shared" si="32"/>
        <v>100000.00000000001</v>
      </c>
      <c r="H500" s="3">
        <v>27.72</v>
      </c>
      <c r="I500" s="29">
        <f t="shared" ref="I500:I563" si="35">AVERAGE(H450:H499)</f>
        <v>29.879000000000001</v>
      </c>
      <c r="J500" s="29">
        <f t="shared" si="31"/>
        <v>24.057600000000008</v>
      </c>
      <c r="K500" s="29">
        <f t="shared" si="33"/>
        <v>121312.91028446381</v>
      </c>
    </row>
    <row r="501" spans="1:11" ht="18" x14ac:dyDescent="0.2">
      <c r="A501" s="31">
        <v>39671</v>
      </c>
      <c r="B501" s="30">
        <v>0.3</v>
      </c>
      <c r="C501" s="29">
        <f t="shared" si="34"/>
        <v>0.57100000000000017</v>
      </c>
      <c r="D501" s="29">
        <f t="shared" si="30"/>
        <v>0.41394999999999998</v>
      </c>
      <c r="E501" s="29">
        <f t="shared" si="32"/>
        <v>120000.00000000001</v>
      </c>
      <c r="H501" s="3">
        <v>29.45</v>
      </c>
      <c r="I501" s="29">
        <f t="shared" si="35"/>
        <v>29.898599999999998</v>
      </c>
      <c r="J501" s="29">
        <f t="shared" si="31"/>
        <v>24.094200000000001</v>
      </c>
      <c r="K501" s="29">
        <f t="shared" si="33"/>
        <v>128884.0262582056</v>
      </c>
    </row>
    <row r="502" spans="1:11" ht="18" x14ac:dyDescent="0.2">
      <c r="A502" s="31">
        <v>39678</v>
      </c>
      <c r="B502" s="30">
        <v>0.31</v>
      </c>
      <c r="C502" s="29">
        <f t="shared" si="34"/>
        <v>0.56180000000000019</v>
      </c>
      <c r="D502" s="29">
        <f t="shared" si="30"/>
        <v>0.41499999999999992</v>
      </c>
      <c r="E502" s="29">
        <f t="shared" si="32"/>
        <v>124000.00000000003</v>
      </c>
      <c r="H502" s="3">
        <v>28.79</v>
      </c>
      <c r="I502" s="29">
        <f t="shared" si="35"/>
        <v>29.931199999999993</v>
      </c>
      <c r="J502" s="29">
        <f t="shared" si="31"/>
        <v>24.1311</v>
      </c>
      <c r="K502" s="29">
        <f t="shared" si="33"/>
        <v>125995.62363238503</v>
      </c>
    </row>
    <row r="503" spans="1:11" ht="18" x14ac:dyDescent="0.2">
      <c r="A503" s="31">
        <v>39685</v>
      </c>
      <c r="B503" s="30">
        <v>0.28999999999999998</v>
      </c>
      <c r="C503" s="29">
        <f t="shared" si="34"/>
        <v>0.55280000000000018</v>
      </c>
      <c r="D503" s="29">
        <f t="shared" si="30"/>
        <v>0.41589999999999994</v>
      </c>
      <c r="E503" s="29">
        <f t="shared" si="32"/>
        <v>116000.00000000003</v>
      </c>
      <c r="H503" s="3">
        <v>27.89</v>
      </c>
      <c r="I503" s="29">
        <f t="shared" si="35"/>
        <v>29.952999999999992</v>
      </c>
      <c r="J503" s="29">
        <f t="shared" si="31"/>
        <v>24.160300000000003</v>
      </c>
      <c r="K503" s="29">
        <f t="shared" si="33"/>
        <v>122056.89277899335</v>
      </c>
    </row>
    <row r="504" spans="1:11" ht="18" x14ac:dyDescent="0.2">
      <c r="A504" s="31">
        <v>39692</v>
      </c>
      <c r="B504" s="30">
        <v>0.27</v>
      </c>
      <c r="C504" s="29">
        <f t="shared" si="34"/>
        <v>0.5424000000000001</v>
      </c>
      <c r="D504" s="29">
        <f t="shared" si="30"/>
        <v>0.41659999999999997</v>
      </c>
      <c r="E504" s="29">
        <f t="shared" si="32"/>
        <v>108000.00000000004</v>
      </c>
      <c r="H504" s="3">
        <v>27.27</v>
      </c>
      <c r="I504" s="29">
        <f t="shared" si="35"/>
        <v>29.954199999999997</v>
      </c>
      <c r="J504" s="29">
        <f t="shared" si="31"/>
        <v>24.184250000000006</v>
      </c>
      <c r="K504" s="29">
        <f t="shared" si="33"/>
        <v>119343.54485776796</v>
      </c>
    </row>
    <row r="505" spans="1:11" ht="18" x14ac:dyDescent="0.2">
      <c r="A505" s="31">
        <v>39699</v>
      </c>
      <c r="B505" s="30">
        <v>0.23</v>
      </c>
      <c r="C505" s="29">
        <f t="shared" si="34"/>
        <v>0.53040000000000009</v>
      </c>
      <c r="D505" s="29">
        <f t="shared" si="30"/>
        <v>0.41704999999999992</v>
      </c>
      <c r="E505" s="29">
        <f t="shared" si="32"/>
        <v>92000.000000000029</v>
      </c>
      <c r="H505" s="3">
        <v>28.53</v>
      </c>
      <c r="I505" s="29">
        <f t="shared" si="35"/>
        <v>29.948599999999995</v>
      </c>
      <c r="J505" s="29">
        <f t="shared" si="31"/>
        <v>24.215000000000003</v>
      </c>
      <c r="K505" s="29">
        <f t="shared" si="33"/>
        <v>124857.76805251632</v>
      </c>
    </row>
    <row r="506" spans="1:11" ht="18" x14ac:dyDescent="0.2">
      <c r="A506" s="31">
        <v>39706</v>
      </c>
      <c r="B506" s="30">
        <v>0.26</v>
      </c>
      <c r="C506" s="29">
        <f t="shared" si="34"/>
        <v>0.51860000000000006</v>
      </c>
      <c r="D506" s="29">
        <f t="shared" si="30"/>
        <v>0.41764999999999991</v>
      </c>
      <c r="E506" s="29">
        <f t="shared" si="32"/>
        <v>104000.00000000003</v>
      </c>
      <c r="H506" s="3">
        <v>29.53</v>
      </c>
      <c r="I506" s="29">
        <f t="shared" si="35"/>
        <v>29.947799999999994</v>
      </c>
      <c r="J506" s="29">
        <f t="shared" si="31"/>
        <v>24.255750000000003</v>
      </c>
      <c r="K506" s="29">
        <f t="shared" si="33"/>
        <v>129234.13566739597</v>
      </c>
    </row>
    <row r="507" spans="1:11" ht="18" x14ac:dyDescent="0.2">
      <c r="A507" s="31">
        <v>39713</v>
      </c>
      <c r="B507" s="30">
        <v>0.27</v>
      </c>
      <c r="C507" s="29">
        <f t="shared" si="34"/>
        <v>0.50740000000000007</v>
      </c>
      <c r="D507" s="29">
        <f t="shared" si="30"/>
        <v>0.41824999999999996</v>
      </c>
      <c r="E507" s="29">
        <f t="shared" si="32"/>
        <v>108000.00000000004</v>
      </c>
      <c r="H507" s="3">
        <v>28.71</v>
      </c>
      <c r="I507" s="29">
        <f t="shared" si="35"/>
        <v>29.968399999999995</v>
      </c>
      <c r="J507" s="29">
        <f t="shared" si="31"/>
        <v>24.291650000000001</v>
      </c>
      <c r="K507" s="29">
        <f t="shared" si="33"/>
        <v>125645.51422319467</v>
      </c>
    </row>
    <row r="508" spans="1:11" ht="18" x14ac:dyDescent="0.2">
      <c r="A508" s="31">
        <v>39720</v>
      </c>
      <c r="B508" s="30">
        <v>0.21</v>
      </c>
      <c r="C508" s="29">
        <f t="shared" si="34"/>
        <v>0.49439999999999995</v>
      </c>
      <c r="D508" s="29">
        <f t="shared" si="30"/>
        <v>0.41849999999999993</v>
      </c>
      <c r="E508" s="29">
        <f t="shared" si="32"/>
        <v>84000.000000000015</v>
      </c>
      <c r="H508" s="3">
        <v>26.63</v>
      </c>
      <c r="I508" s="29">
        <f t="shared" si="35"/>
        <v>29.971</v>
      </c>
      <c r="J508" s="29">
        <f t="shared" si="31"/>
        <v>24.316050000000004</v>
      </c>
      <c r="K508" s="29">
        <f t="shared" si="33"/>
        <v>116542.669584245</v>
      </c>
    </row>
    <row r="509" spans="1:11" ht="18" x14ac:dyDescent="0.2">
      <c r="A509" s="31">
        <v>39727</v>
      </c>
      <c r="B509" s="30">
        <v>0.16</v>
      </c>
      <c r="C509" s="29">
        <f t="shared" si="34"/>
        <v>0.48180000000000001</v>
      </c>
      <c r="D509" s="29">
        <f t="shared" si="30"/>
        <v>0.41839999999999988</v>
      </c>
      <c r="E509" s="29">
        <f t="shared" si="32"/>
        <v>64000.000000000015</v>
      </c>
      <c r="H509" s="3">
        <v>29.57</v>
      </c>
      <c r="I509" s="29">
        <f t="shared" si="35"/>
        <v>29.933199999999996</v>
      </c>
      <c r="J509" s="29">
        <f t="shared" si="31"/>
        <v>24.356400000000004</v>
      </c>
      <c r="K509" s="29">
        <f t="shared" si="33"/>
        <v>129409.19037199118</v>
      </c>
    </row>
    <row r="510" spans="1:11" ht="18" x14ac:dyDescent="0.2">
      <c r="A510" s="31">
        <v>39734</v>
      </c>
      <c r="B510" s="30">
        <v>0.18</v>
      </c>
      <c r="C510" s="29">
        <f t="shared" si="34"/>
        <v>0.46860000000000002</v>
      </c>
      <c r="D510" s="29">
        <f t="shared" si="30"/>
        <v>0.41839999999999994</v>
      </c>
      <c r="E510" s="29">
        <f t="shared" si="32"/>
        <v>72000.000000000015</v>
      </c>
      <c r="H510" s="3">
        <v>28.44</v>
      </c>
      <c r="I510" s="29">
        <f t="shared" si="35"/>
        <v>29.934199999999997</v>
      </c>
      <c r="J510" s="29">
        <f t="shared" si="31"/>
        <v>24.388549999999999</v>
      </c>
      <c r="K510" s="29">
        <f t="shared" si="33"/>
        <v>124463.89496717718</v>
      </c>
    </row>
    <row r="511" spans="1:11" ht="18" x14ac:dyDescent="0.2">
      <c r="A511" s="31">
        <v>39741</v>
      </c>
      <c r="B511" s="30">
        <v>0.15</v>
      </c>
      <c r="C511" s="29">
        <f t="shared" si="34"/>
        <v>0.45640000000000003</v>
      </c>
      <c r="D511" s="29">
        <f t="shared" si="30"/>
        <v>0.41824999999999996</v>
      </c>
      <c r="E511" s="29">
        <f t="shared" si="32"/>
        <v>60000.000000000015</v>
      </c>
      <c r="H511" s="3">
        <v>29.89</v>
      </c>
      <c r="I511" s="29">
        <f t="shared" si="35"/>
        <v>29.9254</v>
      </c>
      <c r="J511" s="29">
        <f t="shared" si="31"/>
        <v>24.426149999999996</v>
      </c>
      <c r="K511" s="29">
        <f t="shared" si="33"/>
        <v>130809.62800875267</v>
      </c>
    </row>
    <row r="512" spans="1:11" ht="18" x14ac:dyDescent="0.2">
      <c r="A512" s="31">
        <v>39748</v>
      </c>
      <c r="B512" s="30">
        <v>0.2</v>
      </c>
      <c r="C512" s="29">
        <f t="shared" si="34"/>
        <v>0.44559999999999994</v>
      </c>
      <c r="D512" s="29">
        <f t="shared" si="30"/>
        <v>0.41835</v>
      </c>
      <c r="E512" s="29">
        <f t="shared" si="32"/>
        <v>80000.000000000029</v>
      </c>
      <c r="H512" s="3">
        <v>27.26</v>
      </c>
      <c r="I512" s="29">
        <f t="shared" si="35"/>
        <v>29.9434</v>
      </c>
      <c r="J512" s="29">
        <f t="shared" si="31"/>
        <v>24.451000000000001</v>
      </c>
      <c r="K512" s="29">
        <f t="shared" si="33"/>
        <v>119299.7811816192</v>
      </c>
    </row>
    <row r="513" spans="1:11" ht="18" x14ac:dyDescent="0.2">
      <c r="A513" s="31">
        <v>39755</v>
      </c>
      <c r="B513" s="30">
        <v>0.2</v>
      </c>
      <c r="C513" s="29">
        <f t="shared" si="34"/>
        <v>0.43579999999999997</v>
      </c>
      <c r="D513" s="29">
        <f t="shared" si="30"/>
        <v>0.41850000000000004</v>
      </c>
      <c r="E513" s="29">
        <f t="shared" si="32"/>
        <v>80000.000000000029</v>
      </c>
      <c r="H513" s="3">
        <v>26.72</v>
      </c>
      <c r="I513" s="29">
        <f t="shared" si="35"/>
        <v>29.913800000000002</v>
      </c>
      <c r="J513" s="29">
        <f t="shared" si="31"/>
        <v>24.474900000000002</v>
      </c>
      <c r="K513" s="29">
        <f t="shared" si="33"/>
        <v>116936.54266958417</v>
      </c>
    </row>
    <row r="514" spans="1:11" ht="18" x14ac:dyDescent="0.2">
      <c r="A514" s="31">
        <v>39762</v>
      </c>
      <c r="B514" s="30">
        <v>0.16</v>
      </c>
      <c r="C514" s="29">
        <f t="shared" si="34"/>
        <v>0.42460000000000003</v>
      </c>
      <c r="D514" s="29">
        <f t="shared" si="30"/>
        <v>0.41850000000000004</v>
      </c>
      <c r="E514" s="29">
        <f t="shared" si="32"/>
        <v>64000.000000000022</v>
      </c>
      <c r="H514" s="3">
        <v>27.22</v>
      </c>
      <c r="I514" s="29">
        <f t="shared" si="35"/>
        <v>29.864599999999999</v>
      </c>
      <c r="J514" s="29">
        <f t="shared" si="31"/>
        <v>24.502050000000004</v>
      </c>
      <c r="K514" s="29">
        <f t="shared" si="33"/>
        <v>119124.726477024</v>
      </c>
    </row>
    <row r="515" spans="1:11" ht="18" x14ac:dyDescent="0.2">
      <c r="A515" s="31">
        <v>39769</v>
      </c>
      <c r="B515" s="30">
        <v>0.15</v>
      </c>
      <c r="C515" s="29">
        <f t="shared" si="34"/>
        <v>0.41199999999999998</v>
      </c>
      <c r="D515" s="29">
        <f t="shared" si="30"/>
        <v>0.41844999999999999</v>
      </c>
      <c r="E515" s="29">
        <f t="shared" si="32"/>
        <v>100000</v>
      </c>
      <c r="H515" s="3">
        <v>26.5</v>
      </c>
      <c r="I515" s="29">
        <f t="shared" si="35"/>
        <v>29.8248</v>
      </c>
      <c r="J515" s="29">
        <f t="shared" si="31"/>
        <v>24.528350000000003</v>
      </c>
      <c r="K515" s="29">
        <f t="shared" si="33"/>
        <v>115973.74179431067</v>
      </c>
    </row>
    <row r="516" spans="1:11" ht="18" x14ac:dyDescent="0.2">
      <c r="A516" s="31">
        <v>39776</v>
      </c>
      <c r="B516" s="30">
        <v>0.17</v>
      </c>
      <c r="C516" s="29">
        <f t="shared" si="34"/>
        <v>0.39939999999999992</v>
      </c>
      <c r="D516" s="29">
        <f t="shared" si="30"/>
        <v>0.41844999999999999</v>
      </c>
      <c r="E516" s="29">
        <f t="shared" si="32"/>
        <v>100000</v>
      </c>
      <c r="H516" s="3">
        <v>28.82</v>
      </c>
      <c r="I516" s="29">
        <f t="shared" si="35"/>
        <v>29.775200000000005</v>
      </c>
      <c r="J516" s="29">
        <f t="shared" si="31"/>
        <v>24.565799999999999</v>
      </c>
      <c r="K516" s="29">
        <f t="shared" si="33"/>
        <v>126126.91466083146</v>
      </c>
    </row>
    <row r="517" spans="1:11" ht="18" x14ac:dyDescent="0.2">
      <c r="A517" s="31">
        <v>39783</v>
      </c>
      <c r="B517" s="30">
        <v>0.17</v>
      </c>
      <c r="C517" s="29">
        <f t="shared" si="34"/>
        <v>0.38659999999999994</v>
      </c>
      <c r="D517" s="29">
        <f t="shared" si="30"/>
        <v>0.41830000000000001</v>
      </c>
      <c r="E517" s="29">
        <f t="shared" si="32"/>
        <v>100000</v>
      </c>
      <c r="H517" s="3">
        <v>29.11</v>
      </c>
      <c r="I517" s="29">
        <f t="shared" si="35"/>
        <v>29.787600000000001</v>
      </c>
      <c r="J517" s="29">
        <f t="shared" si="31"/>
        <v>24.602749999999997</v>
      </c>
      <c r="K517" s="29">
        <f t="shared" si="33"/>
        <v>127396.06126914656</v>
      </c>
    </row>
    <row r="518" spans="1:11" ht="18" x14ac:dyDescent="0.2">
      <c r="A518" s="31">
        <v>39790</v>
      </c>
      <c r="B518" s="30">
        <v>0.2</v>
      </c>
      <c r="C518" s="29">
        <f t="shared" si="34"/>
        <v>0.37459999999999999</v>
      </c>
      <c r="D518" s="29">
        <f t="shared" si="30"/>
        <v>0.41830000000000006</v>
      </c>
      <c r="E518" s="29">
        <f t="shared" si="32"/>
        <v>100000</v>
      </c>
      <c r="H518" s="3">
        <v>28.55</v>
      </c>
      <c r="I518" s="29">
        <f t="shared" si="35"/>
        <v>29.796600000000002</v>
      </c>
      <c r="J518" s="29">
        <f t="shared" si="31"/>
        <v>24.637499999999996</v>
      </c>
      <c r="K518" s="29">
        <f t="shared" si="33"/>
        <v>124945.29540481397</v>
      </c>
    </row>
    <row r="519" spans="1:11" ht="18" x14ac:dyDescent="0.2">
      <c r="A519" s="31">
        <v>39797</v>
      </c>
      <c r="B519" s="30">
        <v>0.2</v>
      </c>
      <c r="C519" s="29">
        <f t="shared" si="34"/>
        <v>0.36479999999999996</v>
      </c>
      <c r="D519" s="29">
        <f t="shared" si="30"/>
        <v>0.41820000000000007</v>
      </c>
      <c r="E519" s="29">
        <f t="shared" si="32"/>
        <v>100000</v>
      </c>
      <c r="H519" s="3">
        <v>27.86</v>
      </c>
      <c r="I519" s="29">
        <f t="shared" si="35"/>
        <v>29.775400000000005</v>
      </c>
      <c r="J519" s="29">
        <f t="shared" si="31"/>
        <v>24.671599999999994</v>
      </c>
      <c r="K519" s="29">
        <f t="shared" si="33"/>
        <v>121925.60175054699</v>
      </c>
    </row>
    <row r="520" spans="1:11" ht="18" x14ac:dyDescent="0.2">
      <c r="A520" s="31">
        <v>39804</v>
      </c>
      <c r="B520" s="30">
        <v>0.17</v>
      </c>
      <c r="C520" s="29">
        <f t="shared" si="34"/>
        <v>0.35580000000000001</v>
      </c>
      <c r="D520" s="29">
        <f t="shared" si="30"/>
        <v>0.4179500000000001</v>
      </c>
      <c r="E520" s="29">
        <f t="shared" si="32"/>
        <v>100000</v>
      </c>
      <c r="H520" s="3">
        <v>27.32</v>
      </c>
      <c r="I520" s="29">
        <f t="shared" si="35"/>
        <v>29.7454</v>
      </c>
      <c r="J520" s="29">
        <f t="shared" si="31"/>
        <v>24.70164999999999</v>
      </c>
      <c r="K520" s="29">
        <f t="shared" si="33"/>
        <v>119562.36323851199</v>
      </c>
    </row>
    <row r="521" spans="1:11" ht="18" x14ac:dyDescent="0.2">
      <c r="A521" s="31">
        <v>39811</v>
      </c>
      <c r="B521" s="30">
        <v>0.2</v>
      </c>
      <c r="C521" s="29">
        <f t="shared" si="34"/>
        <v>0.34839999999999999</v>
      </c>
      <c r="D521" s="29">
        <f t="shared" ref="D521:D584" si="36">AVERAGE(B322:B521)</f>
        <v>0.41790000000000016</v>
      </c>
      <c r="E521" s="29">
        <f t="shared" si="32"/>
        <v>100000</v>
      </c>
      <c r="H521" s="3">
        <v>25.85</v>
      </c>
      <c r="I521" s="29">
        <f t="shared" si="35"/>
        <v>29.699599999999997</v>
      </c>
      <c r="J521" s="29">
        <f t="shared" ref="J521:J584" si="37">AVERAGE(H322:H521)</f>
        <v>24.722799999999992</v>
      </c>
      <c r="K521" s="29">
        <f t="shared" si="33"/>
        <v>113129.1028446389</v>
      </c>
    </row>
    <row r="522" spans="1:11" ht="18" x14ac:dyDescent="0.2">
      <c r="A522" s="31">
        <v>39818</v>
      </c>
      <c r="B522" s="30">
        <v>0.18</v>
      </c>
      <c r="C522" s="29">
        <f t="shared" si="34"/>
        <v>0.34059999999999996</v>
      </c>
      <c r="D522" s="29">
        <f t="shared" si="36"/>
        <v>0.41785000000000017</v>
      </c>
      <c r="E522" s="29">
        <f t="shared" ref="E522:E585" si="38">IF( C522&gt;D522,E521*B522/B521,100000)</f>
        <v>100000</v>
      </c>
      <c r="H522" s="3">
        <v>26.04</v>
      </c>
      <c r="I522" s="29">
        <f t="shared" si="35"/>
        <v>29.614599999999996</v>
      </c>
      <c r="J522" s="29">
        <f t="shared" si="37"/>
        <v>24.74894999999999</v>
      </c>
      <c r="K522" s="29">
        <f t="shared" ref="K522:K585" si="39">IF(I522&gt;J522,K521*H522/H521,100000)</f>
        <v>113960.61269146603</v>
      </c>
    </row>
    <row r="523" spans="1:11" ht="18" x14ac:dyDescent="0.2">
      <c r="A523" s="31">
        <v>39825</v>
      </c>
      <c r="B523" s="30">
        <v>0.18</v>
      </c>
      <c r="C523" s="29">
        <f t="shared" si="34"/>
        <v>0.33179999999999993</v>
      </c>
      <c r="D523" s="29">
        <f t="shared" si="36"/>
        <v>0.41785000000000017</v>
      </c>
      <c r="E523" s="29">
        <f t="shared" si="38"/>
        <v>100000</v>
      </c>
      <c r="H523" s="3">
        <v>25.23</v>
      </c>
      <c r="I523" s="29">
        <f t="shared" si="35"/>
        <v>29.521799999999999</v>
      </c>
      <c r="J523" s="29">
        <f t="shared" si="37"/>
        <v>24.771299999999993</v>
      </c>
      <c r="K523" s="29">
        <f t="shared" si="39"/>
        <v>110415.75492341352</v>
      </c>
    </row>
    <row r="524" spans="1:11" ht="18" x14ac:dyDescent="0.2">
      <c r="A524" s="31">
        <v>39832</v>
      </c>
      <c r="B524" s="30">
        <v>0.18</v>
      </c>
      <c r="C524" s="29">
        <f t="shared" si="34"/>
        <v>0.3239999999999999</v>
      </c>
      <c r="D524" s="29">
        <f t="shared" si="36"/>
        <v>0.41780000000000023</v>
      </c>
      <c r="E524" s="29">
        <f t="shared" si="38"/>
        <v>100000</v>
      </c>
      <c r="H524" s="3">
        <v>27.81</v>
      </c>
      <c r="I524" s="29">
        <f t="shared" si="35"/>
        <v>29.397599999999994</v>
      </c>
      <c r="J524" s="29">
        <f t="shared" si="37"/>
        <v>24.809699999999992</v>
      </c>
      <c r="K524" s="29">
        <f t="shared" si="39"/>
        <v>121706.783369803</v>
      </c>
    </row>
    <row r="525" spans="1:11" ht="18" x14ac:dyDescent="0.2">
      <c r="A525" s="31">
        <v>39839</v>
      </c>
      <c r="B525" s="30">
        <v>0.18</v>
      </c>
      <c r="C525" s="29">
        <f t="shared" si="34"/>
        <v>0.3173999999999999</v>
      </c>
      <c r="D525" s="29">
        <f t="shared" si="36"/>
        <v>0.41780000000000028</v>
      </c>
      <c r="E525" s="29">
        <f t="shared" si="38"/>
        <v>100000</v>
      </c>
      <c r="H525" s="3">
        <v>30.74</v>
      </c>
      <c r="I525" s="29">
        <f t="shared" si="35"/>
        <v>29.331199999999995</v>
      </c>
      <c r="J525" s="29">
        <f t="shared" si="37"/>
        <v>24.864699999999988</v>
      </c>
      <c r="K525" s="29">
        <f t="shared" si="39"/>
        <v>134529.54048140036</v>
      </c>
    </row>
    <row r="526" spans="1:11" ht="18" x14ac:dyDescent="0.2">
      <c r="A526" s="31">
        <v>39846</v>
      </c>
      <c r="B526" s="30">
        <v>0.23</v>
      </c>
      <c r="C526" s="29">
        <f t="shared" si="34"/>
        <v>0.31179999999999991</v>
      </c>
      <c r="D526" s="29">
        <f t="shared" si="36"/>
        <v>0.41805000000000025</v>
      </c>
      <c r="E526" s="29">
        <f t="shared" si="38"/>
        <v>100000</v>
      </c>
      <c r="H526" s="3">
        <v>27.92</v>
      </c>
      <c r="I526" s="29">
        <f t="shared" si="35"/>
        <v>29.313199999999998</v>
      </c>
      <c r="J526" s="29">
        <f t="shared" si="37"/>
        <v>24.904899999999987</v>
      </c>
      <c r="K526" s="29">
        <f t="shared" si="39"/>
        <v>122188.18380743975</v>
      </c>
    </row>
    <row r="527" spans="1:11" ht="18" x14ac:dyDescent="0.2">
      <c r="A527" s="31">
        <v>39853</v>
      </c>
      <c r="B527" s="30">
        <v>0.19</v>
      </c>
      <c r="C527" s="29">
        <f t="shared" si="34"/>
        <v>0.30579999999999991</v>
      </c>
      <c r="D527" s="29">
        <f t="shared" si="36"/>
        <v>0.41820000000000024</v>
      </c>
      <c r="E527" s="29">
        <f t="shared" si="38"/>
        <v>100000</v>
      </c>
      <c r="H527" s="3">
        <v>27.56</v>
      </c>
      <c r="I527" s="29">
        <f t="shared" si="35"/>
        <v>29.241599999999998</v>
      </c>
      <c r="J527" s="29">
        <f t="shared" si="37"/>
        <v>24.943949999999994</v>
      </c>
      <c r="K527" s="29">
        <f t="shared" si="39"/>
        <v>120612.69146608307</v>
      </c>
    </row>
    <row r="528" spans="1:11" ht="18" x14ac:dyDescent="0.2">
      <c r="A528" s="31">
        <v>39860</v>
      </c>
      <c r="B528" s="30">
        <v>0.17</v>
      </c>
      <c r="C528" s="29">
        <f t="shared" si="34"/>
        <v>0.30019999999999997</v>
      </c>
      <c r="D528" s="29">
        <f t="shared" si="36"/>
        <v>0.41820000000000029</v>
      </c>
      <c r="E528" s="29">
        <f t="shared" si="38"/>
        <v>100000</v>
      </c>
      <c r="H528" s="3">
        <v>27.99</v>
      </c>
      <c r="I528" s="29">
        <f t="shared" si="35"/>
        <v>29.197799999999997</v>
      </c>
      <c r="J528" s="29">
        <f t="shared" si="37"/>
        <v>24.982399999999995</v>
      </c>
      <c r="K528" s="29">
        <f t="shared" si="39"/>
        <v>122494.52954048132</v>
      </c>
    </row>
    <row r="529" spans="1:11" ht="18" x14ac:dyDescent="0.2">
      <c r="A529" s="31">
        <v>39867</v>
      </c>
      <c r="B529" s="30">
        <v>0.19</v>
      </c>
      <c r="C529" s="29">
        <f t="shared" si="34"/>
        <v>0.29559999999999997</v>
      </c>
      <c r="D529" s="29">
        <f t="shared" si="36"/>
        <v>0.41830000000000028</v>
      </c>
      <c r="E529" s="29">
        <f t="shared" si="38"/>
        <v>100000</v>
      </c>
      <c r="H529" s="3">
        <v>25.9</v>
      </c>
      <c r="I529" s="29">
        <f t="shared" si="35"/>
        <v>29.154799999999991</v>
      </c>
      <c r="J529" s="29">
        <f t="shared" si="37"/>
        <v>25.008599999999991</v>
      </c>
      <c r="K529" s="29">
        <f t="shared" si="39"/>
        <v>113347.92122538286</v>
      </c>
    </row>
    <row r="530" spans="1:11" ht="18" x14ac:dyDescent="0.2">
      <c r="A530" s="31">
        <v>39874</v>
      </c>
      <c r="B530" s="30">
        <v>0.19</v>
      </c>
      <c r="C530" s="29">
        <f t="shared" si="34"/>
        <v>0.29099999999999993</v>
      </c>
      <c r="D530" s="29">
        <f t="shared" si="36"/>
        <v>0.41835000000000022</v>
      </c>
      <c r="E530" s="29">
        <f t="shared" si="38"/>
        <v>100000</v>
      </c>
      <c r="H530" s="3">
        <v>23.93</v>
      </c>
      <c r="I530" s="29">
        <f t="shared" si="35"/>
        <v>29.092199999999995</v>
      </c>
      <c r="J530" s="29">
        <f t="shared" si="37"/>
        <v>25.024599999999996</v>
      </c>
      <c r="K530" s="29">
        <f t="shared" si="39"/>
        <v>104726.47702406996</v>
      </c>
    </row>
    <row r="531" spans="1:11" ht="18" x14ac:dyDescent="0.2">
      <c r="A531" s="31">
        <v>39881</v>
      </c>
      <c r="B531" s="30">
        <v>0.22</v>
      </c>
      <c r="C531" s="29">
        <f t="shared" si="34"/>
        <v>0.28639999999999993</v>
      </c>
      <c r="D531" s="29">
        <f t="shared" si="36"/>
        <v>0.41850000000000021</v>
      </c>
      <c r="E531" s="29">
        <f t="shared" si="38"/>
        <v>100000</v>
      </c>
      <c r="H531" s="3">
        <v>23.28</v>
      </c>
      <c r="I531" s="29">
        <f t="shared" si="35"/>
        <v>28.971799999999995</v>
      </c>
      <c r="J531" s="29">
        <f t="shared" si="37"/>
        <v>25.040699999999994</v>
      </c>
      <c r="K531" s="29">
        <f t="shared" si="39"/>
        <v>101881.83807439818</v>
      </c>
    </row>
    <row r="532" spans="1:11" ht="18" x14ac:dyDescent="0.2">
      <c r="A532" s="31">
        <v>39888</v>
      </c>
      <c r="B532" s="30">
        <v>0.22</v>
      </c>
      <c r="C532" s="29">
        <f t="shared" si="34"/>
        <v>0.2821999999999999</v>
      </c>
      <c r="D532" s="29">
        <f t="shared" si="36"/>
        <v>0.41860000000000019</v>
      </c>
      <c r="E532" s="29">
        <f t="shared" si="38"/>
        <v>100000</v>
      </c>
      <c r="H532" s="3">
        <v>29.29</v>
      </c>
      <c r="I532" s="29">
        <f t="shared" si="35"/>
        <v>28.839999999999996</v>
      </c>
      <c r="J532" s="29">
        <f t="shared" si="37"/>
        <v>25.082199999999993</v>
      </c>
      <c r="K532" s="29">
        <f t="shared" si="39"/>
        <v>128183.80743982486</v>
      </c>
    </row>
    <row r="533" spans="1:11" ht="18" x14ac:dyDescent="0.2">
      <c r="A533" s="31">
        <v>39895</v>
      </c>
      <c r="B533" s="30">
        <v>0.24</v>
      </c>
      <c r="C533" s="29">
        <f t="shared" si="34"/>
        <v>0.2785999999999999</v>
      </c>
      <c r="D533" s="29">
        <f t="shared" si="36"/>
        <v>0.41875000000000023</v>
      </c>
      <c r="E533" s="29">
        <f t="shared" si="38"/>
        <v>100000</v>
      </c>
      <c r="H533" s="3">
        <v>27.21</v>
      </c>
      <c r="I533" s="29">
        <f t="shared" si="35"/>
        <v>28.823599999999995</v>
      </c>
      <c r="J533" s="29">
        <f t="shared" si="37"/>
        <v>25.114049999999992</v>
      </c>
      <c r="K533" s="29">
        <f t="shared" si="39"/>
        <v>119080.9628008752</v>
      </c>
    </row>
    <row r="534" spans="1:11" ht="18" x14ac:dyDescent="0.2">
      <c r="A534" s="31">
        <v>39902</v>
      </c>
      <c r="B534" s="30">
        <v>0.26</v>
      </c>
      <c r="C534" s="29">
        <f t="shared" si="34"/>
        <v>0.27499999999999991</v>
      </c>
      <c r="D534" s="29">
        <f t="shared" si="36"/>
        <v>0.41895000000000027</v>
      </c>
      <c r="E534" s="29">
        <f t="shared" si="38"/>
        <v>100000</v>
      </c>
      <c r="H534" s="3">
        <v>29.04</v>
      </c>
      <c r="I534" s="29">
        <f t="shared" si="35"/>
        <v>28.757400000000004</v>
      </c>
      <c r="J534" s="29">
        <f t="shared" si="37"/>
        <v>25.155749999999991</v>
      </c>
      <c r="K534" s="29">
        <f t="shared" si="39"/>
        <v>127089.71553610494</v>
      </c>
    </row>
    <row r="535" spans="1:11" ht="18" x14ac:dyDescent="0.2">
      <c r="A535" s="31">
        <v>39909</v>
      </c>
      <c r="B535" s="30">
        <v>0.28000000000000003</v>
      </c>
      <c r="C535" s="29">
        <f t="shared" si="34"/>
        <v>0.27139999999999992</v>
      </c>
      <c r="D535" s="29">
        <f t="shared" si="36"/>
        <v>0.41930000000000023</v>
      </c>
      <c r="E535" s="29">
        <f t="shared" si="38"/>
        <v>100000</v>
      </c>
      <c r="H535" s="3">
        <v>27.32</v>
      </c>
      <c r="I535" s="29">
        <f t="shared" si="35"/>
        <v>28.684999999999999</v>
      </c>
      <c r="J535" s="29">
        <f t="shared" si="37"/>
        <v>25.189199999999985</v>
      </c>
      <c r="K535" s="29">
        <f t="shared" si="39"/>
        <v>119562.36323851196</v>
      </c>
    </row>
    <row r="536" spans="1:11" ht="18" x14ac:dyDescent="0.2">
      <c r="A536" s="31">
        <v>39916</v>
      </c>
      <c r="B536" s="30">
        <v>0.27</v>
      </c>
      <c r="C536" s="29">
        <f t="shared" si="34"/>
        <v>0.26639999999999991</v>
      </c>
      <c r="D536" s="29">
        <f t="shared" si="36"/>
        <v>0.4196000000000002</v>
      </c>
      <c r="E536" s="29">
        <f t="shared" si="38"/>
        <v>100000</v>
      </c>
      <c r="H536" s="3">
        <v>29.4</v>
      </c>
      <c r="I536" s="29">
        <f t="shared" si="35"/>
        <v>28.578000000000003</v>
      </c>
      <c r="J536" s="29">
        <f t="shared" si="37"/>
        <v>25.231199999999987</v>
      </c>
      <c r="K536" s="29">
        <f t="shared" si="39"/>
        <v>128665.20787746162</v>
      </c>
    </row>
    <row r="537" spans="1:11" ht="18" x14ac:dyDescent="0.2">
      <c r="A537" s="31">
        <v>39923</v>
      </c>
      <c r="B537" s="30">
        <v>0.26</v>
      </c>
      <c r="C537" s="29">
        <f t="shared" si="34"/>
        <v>0.26119999999999988</v>
      </c>
      <c r="D537" s="29">
        <f t="shared" si="36"/>
        <v>0.41985000000000028</v>
      </c>
      <c r="E537" s="29">
        <f t="shared" si="38"/>
        <v>100000</v>
      </c>
      <c r="H537" s="3">
        <v>30.7</v>
      </c>
      <c r="I537" s="29">
        <f t="shared" si="35"/>
        <v>28.511600000000008</v>
      </c>
      <c r="J537" s="29">
        <f t="shared" si="37"/>
        <v>25.281149999999982</v>
      </c>
      <c r="K537" s="29">
        <f t="shared" si="39"/>
        <v>134354.48577680517</v>
      </c>
    </row>
    <row r="538" spans="1:11" ht="18" x14ac:dyDescent="0.2">
      <c r="A538" s="31">
        <v>39930</v>
      </c>
      <c r="B538" s="30">
        <v>0.27</v>
      </c>
      <c r="C538" s="29">
        <f t="shared" si="34"/>
        <v>0.2553999999999999</v>
      </c>
      <c r="D538" s="29">
        <f t="shared" si="36"/>
        <v>0.42015000000000025</v>
      </c>
      <c r="E538" s="29">
        <f t="shared" si="38"/>
        <v>100000</v>
      </c>
      <c r="H538" s="3">
        <v>31.26</v>
      </c>
      <c r="I538" s="29">
        <f t="shared" si="35"/>
        <v>28.477200000000007</v>
      </c>
      <c r="J538" s="29">
        <f t="shared" si="37"/>
        <v>25.335399999999986</v>
      </c>
      <c r="K538" s="29">
        <f t="shared" si="39"/>
        <v>136805.25164113779</v>
      </c>
    </row>
    <row r="539" spans="1:11" ht="18" x14ac:dyDescent="0.2">
      <c r="A539" s="31">
        <v>39937</v>
      </c>
      <c r="B539" s="30">
        <v>0.21</v>
      </c>
      <c r="C539" s="29">
        <f t="shared" si="34"/>
        <v>0.24899999999999994</v>
      </c>
      <c r="D539" s="29">
        <f t="shared" si="36"/>
        <v>0.4201000000000002</v>
      </c>
      <c r="E539" s="29">
        <f t="shared" si="38"/>
        <v>100000</v>
      </c>
      <c r="H539" s="3">
        <v>29.92</v>
      </c>
      <c r="I539" s="29">
        <f t="shared" si="35"/>
        <v>28.449200000000008</v>
      </c>
      <c r="J539" s="29">
        <f t="shared" si="37"/>
        <v>25.382699999999986</v>
      </c>
      <c r="K539" s="29">
        <f t="shared" si="39"/>
        <v>130940.91903719906</v>
      </c>
    </row>
    <row r="540" spans="1:11" ht="18" x14ac:dyDescent="0.2">
      <c r="A540" s="31">
        <v>39944</v>
      </c>
      <c r="B540" s="30">
        <v>0.2</v>
      </c>
      <c r="C540" s="29">
        <f t="shared" si="34"/>
        <v>0.24159999999999995</v>
      </c>
      <c r="D540" s="29">
        <f t="shared" si="36"/>
        <v>0.42005000000000026</v>
      </c>
      <c r="E540" s="29">
        <f t="shared" si="38"/>
        <v>100000</v>
      </c>
      <c r="H540" s="3">
        <v>29.89</v>
      </c>
      <c r="I540" s="29">
        <f t="shared" si="35"/>
        <v>28.405600000000007</v>
      </c>
      <c r="J540" s="29">
        <f t="shared" si="37"/>
        <v>25.426749999999988</v>
      </c>
      <c r="K540" s="29">
        <f t="shared" si="39"/>
        <v>130809.62800875267</v>
      </c>
    </row>
    <row r="541" spans="1:11" ht="18" x14ac:dyDescent="0.2">
      <c r="A541" s="31">
        <v>39951</v>
      </c>
      <c r="B541" s="30">
        <v>0.23</v>
      </c>
      <c r="C541" s="29">
        <f t="shared" si="34"/>
        <v>0.23519999999999999</v>
      </c>
      <c r="D541" s="29">
        <f t="shared" si="36"/>
        <v>0.42020000000000024</v>
      </c>
      <c r="E541" s="29">
        <f t="shared" si="38"/>
        <v>100000</v>
      </c>
      <c r="H541" s="3">
        <v>27.19</v>
      </c>
      <c r="I541" s="29">
        <f t="shared" si="35"/>
        <v>28.358000000000011</v>
      </c>
      <c r="J541" s="29">
        <f t="shared" si="37"/>
        <v>25.458049999999986</v>
      </c>
      <c r="K541" s="29">
        <f t="shared" si="39"/>
        <v>118993.43544857763</v>
      </c>
    </row>
    <row r="542" spans="1:11" ht="18" x14ac:dyDescent="0.2">
      <c r="A542" s="31">
        <v>39958</v>
      </c>
      <c r="B542" s="30">
        <v>0.24</v>
      </c>
      <c r="C542" s="29">
        <f t="shared" si="34"/>
        <v>0.23019999999999999</v>
      </c>
      <c r="D542" s="29">
        <f t="shared" si="36"/>
        <v>0.42035000000000022</v>
      </c>
      <c r="E542" s="29">
        <f t="shared" si="38"/>
        <v>100000</v>
      </c>
      <c r="H542" s="3">
        <v>27.62</v>
      </c>
      <c r="I542" s="29">
        <f t="shared" si="35"/>
        <v>28.275000000000006</v>
      </c>
      <c r="J542" s="29">
        <f t="shared" si="37"/>
        <v>25.49284999999999</v>
      </c>
      <c r="K542" s="29">
        <f t="shared" si="39"/>
        <v>120875.27352297587</v>
      </c>
    </row>
    <row r="543" spans="1:11" ht="18" x14ac:dyDescent="0.2">
      <c r="A543" s="31">
        <v>39965</v>
      </c>
      <c r="B543" s="30">
        <v>0.25</v>
      </c>
      <c r="C543" s="29">
        <f t="shared" si="34"/>
        <v>0.22620000000000004</v>
      </c>
      <c r="D543" s="29">
        <f t="shared" si="36"/>
        <v>0.42050000000000026</v>
      </c>
      <c r="E543" s="29">
        <f t="shared" si="38"/>
        <v>100000</v>
      </c>
      <c r="H543" s="3">
        <v>25.75</v>
      </c>
      <c r="I543" s="29">
        <f t="shared" si="35"/>
        <v>28.198800000000006</v>
      </c>
      <c r="J543" s="29">
        <f t="shared" si="37"/>
        <v>25.517999999999986</v>
      </c>
      <c r="K543" s="29">
        <f t="shared" si="39"/>
        <v>112691.46608315092</v>
      </c>
    </row>
    <row r="544" spans="1:11" ht="18" x14ac:dyDescent="0.2">
      <c r="A544" s="31">
        <v>39972</v>
      </c>
      <c r="B544" s="30">
        <v>0.26</v>
      </c>
      <c r="C544" s="29">
        <f t="shared" si="34"/>
        <v>0.22260000000000002</v>
      </c>
      <c r="D544" s="29">
        <f t="shared" si="36"/>
        <v>0.42065000000000019</v>
      </c>
      <c r="E544" s="29">
        <f t="shared" si="38"/>
        <v>100000</v>
      </c>
      <c r="H544" s="3">
        <v>25.43</v>
      </c>
      <c r="I544" s="29">
        <f t="shared" si="35"/>
        <v>28.108000000000001</v>
      </c>
      <c r="J544" s="29">
        <f t="shared" si="37"/>
        <v>25.544299999999989</v>
      </c>
      <c r="K544" s="29">
        <f t="shared" si="39"/>
        <v>111291.02844638943</v>
      </c>
    </row>
    <row r="545" spans="1:11" ht="18" x14ac:dyDescent="0.2">
      <c r="A545" s="31">
        <v>39979</v>
      </c>
      <c r="B545" s="30">
        <v>0.26</v>
      </c>
      <c r="C545" s="29">
        <f t="shared" si="34"/>
        <v>0.222</v>
      </c>
      <c r="D545" s="29">
        <f t="shared" si="36"/>
        <v>0.42085000000000022</v>
      </c>
      <c r="E545" s="29">
        <f t="shared" si="38"/>
        <v>100000</v>
      </c>
      <c r="H545" s="3">
        <v>24.32</v>
      </c>
      <c r="I545" s="29">
        <f t="shared" si="35"/>
        <v>28.014200000000002</v>
      </c>
      <c r="J545" s="29">
        <f t="shared" si="37"/>
        <v>25.564399999999992</v>
      </c>
      <c r="K545" s="29">
        <f t="shared" si="39"/>
        <v>106433.26039387303</v>
      </c>
    </row>
    <row r="546" spans="1:11" ht="18" x14ac:dyDescent="0.2">
      <c r="A546" s="31">
        <v>39986</v>
      </c>
      <c r="B546" s="30">
        <v>0.27</v>
      </c>
      <c r="C546" s="29">
        <f t="shared" si="34"/>
        <v>0.222</v>
      </c>
      <c r="D546" s="29">
        <f t="shared" si="36"/>
        <v>0.4211000000000002</v>
      </c>
      <c r="E546" s="29">
        <f t="shared" si="38"/>
        <v>100000</v>
      </c>
      <c r="H546" s="3">
        <v>22.52</v>
      </c>
      <c r="I546" s="29">
        <f t="shared" si="35"/>
        <v>27.8918</v>
      </c>
      <c r="J546" s="29">
        <f t="shared" si="37"/>
        <v>25.578099999999992</v>
      </c>
      <c r="K546" s="29">
        <f t="shared" si="39"/>
        <v>98555.798687089671</v>
      </c>
    </row>
    <row r="547" spans="1:11" ht="18" x14ac:dyDescent="0.2">
      <c r="A547" s="31">
        <v>39993</v>
      </c>
      <c r="B547" s="30">
        <v>0.25</v>
      </c>
      <c r="C547" s="29">
        <f t="shared" si="34"/>
        <v>0.2218</v>
      </c>
      <c r="D547" s="29">
        <f t="shared" si="36"/>
        <v>0.42120000000000019</v>
      </c>
      <c r="E547" s="29">
        <f t="shared" si="38"/>
        <v>100000</v>
      </c>
      <c r="H547" s="3">
        <v>22.68</v>
      </c>
      <c r="I547" s="29">
        <f t="shared" si="35"/>
        <v>27.714999999999996</v>
      </c>
      <c r="J547" s="29">
        <f t="shared" si="37"/>
        <v>25.591249999999995</v>
      </c>
      <c r="K547" s="29">
        <f t="shared" si="39"/>
        <v>99256.017505470416</v>
      </c>
    </row>
    <row r="548" spans="1:11" ht="18" x14ac:dyDescent="0.2">
      <c r="A548" s="31">
        <v>40000</v>
      </c>
      <c r="B548" s="30">
        <v>0.24</v>
      </c>
      <c r="C548" s="29">
        <f t="shared" si="34"/>
        <v>0.22140000000000001</v>
      </c>
      <c r="D548" s="29">
        <f t="shared" si="36"/>
        <v>0.42115000000000014</v>
      </c>
      <c r="E548" s="29">
        <f t="shared" si="38"/>
        <v>100000</v>
      </c>
      <c r="H548" s="3">
        <v>21.54</v>
      </c>
      <c r="I548" s="29">
        <f t="shared" si="35"/>
        <v>27.572600000000001</v>
      </c>
      <c r="J548" s="29">
        <f t="shared" si="37"/>
        <v>25.596599999999995</v>
      </c>
      <c r="K548" s="29">
        <f t="shared" si="39"/>
        <v>94266.958424507611</v>
      </c>
    </row>
    <row r="549" spans="1:11" ht="18" x14ac:dyDescent="0.2">
      <c r="A549" s="31">
        <v>40007</v>
      </c>
      <c r="B549" s="30">
        <v>0.28000000000000003</v>
      </c>
      <c r="C549" s="29">
        <f t="shared" si="34"/>
        <v>0.222</v>
      </c>
      <c r="D549" s="29">
        <f t="shared" si="36"/>
        <v>0.42130000000000023</v>
      </c>
      <c r="E549" s="29">
        <f t="shared" si="38"/>
        <v>100000</v>
      </c>
      <c r="H549" s="3">
        <v>26</v>
      </c>
      <c r="I549" s="29">
        <f t="shared" si="35"/>
        <v>27.449200000000001</v>
      </c>
      <c r="J549" s="29">
        <f t="shared" si="37"/>
        <v>25.623749999999994</v>
      </c>
      <c r="K549" s="29">
        <f t="shared" si="39"/>
        <v>113785.55798687083</v>
      </c>
    </row>
    <row r="550" spans="1:11" ht="18" x14ac:dyDescent="0.2">
      <c r="A550" s="31">
        <v>40014</v>
      </c>
      <c r="B550" s="30">
        <v>0.3</v>
      </c>
      <c r="C550" s="29">
        <f t="shared" si="34"/>
        <v>0.223</v>
      </c>
      <c r="D550" s="29">
        <f t="shared" si="36"/>
        <v>0.4215500000000002</v>
      </c>
      <c r="E550" s="29">
        <f t="shared" si="38"/>
        <v>100000</v>
      </c>
      <c r="H550" s="3">
        <v>25.67</v>
      </c>
      <c r="I550" s="29">
        <f t="shared" si="35"/>
        <v>27.422200000000004</v>
      </c>
      <c r="J550" s="29">
        <f t="shared" si="37"/>
        <v>25.651949999999992</v>
      </c>
      <c r="K550" s="29">
        <f t="shared" si="39"/>
        <v>112341.35667396056</v>
      </c>
    </row>
    <row r="551" spans="1:11" ht="18" x14ac:dyDescent="0.2">
      <c r="A551" s="31">
        <v>40021</v>
      </c>
      <c r="B551" s="30">
        <v>0.3</v>
      </c>
      <c r="C551" s="29">
        <f t="shared" si="34"/>
        <v>0.223</v>
      </c>
      <c r="D551" s="29">
        <f t="shared" si="36"/>
        <v>0.42175000000000018</v>
      </c>
      <c r="E551" s="29">
        <f t="shared" si="38"/>
        <v>100000</v>
      </c>
      <c r="H551" s="3">
        <v>26.48</v>
      </c>
      <c r="I551" s="29">
        <f t="shared" si="35"/>
        <v>27.3812</v>
      </c>
      <c r="J551" s="29">
        <f t="shared" si="37"/>
        <v>25.684649999999991</v>
      </c>
      <c r="K551" s="29">
        <f t="shared" si="39"/>
        <v>115886.21444201306</v>
      </c>
    </row>
    <row r="552" spans="1:11" ht="18" x14ac:dyDescent="0.2">
      <c r="A552" s="31">
        <v>40028</v>
      </c>
      <c r="B552" s="30">
        <v>0.31</v>
      </c>
      <c r="C552" s="29">
        <f t="shared" si="34"/>
        <v>0.22300000000000003</v>
      </c>
      <c r="D552" s="29">
        <f t="shared" si="36"/>
        <v>0.4220500000000002</v>
      </c>
      <c r="E552" s="29">
        <f t="shared" si="38"/>
        <v>100000</v>
      </c>
      <c r="H552" s="3">
        <v>26.68</v>
      </c>
      <c r="I552" s="29">
        <f t="shared" si="35"/>
        <v>27.321800000000003</v>
      </c>
      <c r="J552" s="29">
        <f t="shared" si="37"/>
        <v>25.718399999999992</v>
      </c>
      <c r="K552" s="29">
        <f t="shared" si="39"/>
        <v>116761.48796498899</v>
      </c>
    </row>
    <row r="553" spans="1:11" ht="18" x14ac:dyDescent="0.2">
      <c r="A553" s="31">
        <v>40035</v>
      </c>
      <c r="B553" s="30">
        <v>0.31</v>
      </c>
      <c r="C553" s="29">
        <f t="shared" si="34"/>
        <v>0.22340000000000007</v>
      </c>
      <c r="D553" s="29">
        <f t="shared" si="36"/>
        <v>0.42240000000000016</v>
      </c>
      <c r="E553" s="29">
        <f t="shared" si="38"/>
        <v>100000</v>
      </c>
      <c r="H553" s="3">
        <v>27.07</v>
      </c>
      <c r="I553" s="29">
        <f t="shared" si="35"/>
        <v>27.279600000000002</v>
      </c>
      <c r="J553" s="29">
        <f t="shared" si="37"/>
        <v>25.752599999999987</v>
      </c>
      <c r="K553" s="29">
        <f t="shared" si="39"/>
        <v>118468.27133479205</v>
      </c>
    </row>
    <row r="554" spans="1:11" ht="18" x14ac:dyDescent="0.2">
      <c r="A554" s="31">
        <v>40042</v>
      </c>
      <c r="B554" s="30">
        <v>0.32</v>
      </c>
      <c r="C554" s="29">
        <f t="shared" si="34"/>
        <v>0.22440000000000004</v>
      </c>
      <c r="D554" s="29">
        <f t="shared" si="36"/>
        <v>0.42280000000000018</v>
      </c>
      <c r="E554" s="29">
        <f t="shared" si="38"/>
        <v>100000</v>
      </c>
      <c r="H554" s="3">
        <v>24.47</v>
      </c>
      <c r="I554" s="29">
        <f t="shared" si="35"/>
        <v>27.263199999999998</v>
      </c>
      <c r="J554" s="29">
        <f t="shared" si="37"/>
        <v>25.770649999999993</v>
      </c>
      <c r="K554" s="29">
        <f t="shared" si="39"/>
        <v>107089.71553610497</v>
      </c>
    </row>
    <row r="555" spans="1:11" ht="18" x14ac:dyDescent="0.2">
      <c r="A555" s="31">
        <v>40049</v>
      </c>
      <c r="B555" s="30">
        <v>0.34</v>
      </c>
      <c r="C555" s="29">
        <f t="shared" si="34"/>
        <v>0.22660000000000008</v>
      </c>
      <c r="D555" s="29">
        <f t="shared" si="36"/>
        <v>0.42325000000000018</v>
      </c>
      <c r="E555" s="29">
        <f t="shared" si="38"/>
        <v>100000</v>
      </c>
      <c r="H555" s="3">
        <v>28.59</v>
      </c>
      <c r="I555" s="29">
        <f t="shared" si="35"/>
        <v>27.207199999999997</v>
      </c>
      <c r="J555" s="29">
        <f t="shared" si="37"/>
        <v>25.805399999999995</v>
      </c>
      <c r="K555" s="29">
        <f t="shared" si="39"/>
        <v>125120.35010940912</v>
      </c>
    </row>
    <row r="556" spans="1:11" ht="18" x14ac:dyDescent="0.2">
      <c r="A556" s="31">
        <v>40056</v>
      </c>
      <c r="B556" s="30">
        <v>0.35</v>
      </c>
      <c r="C556" s="29">
        <f t="shared" si="34"/>
        <v>0.22840000000000008</v>
      </c>
      <c r="D556" s="29">
        <f t="shared" si="36"/>
        <v>0.42370000000000013</v>
      </c>
      <c r="E556" s="29">
        <f t="shared" si="38"/>
        <v>100000</v>
      </c>
      <c r="H556" s="3">
        <v>28.53</v>
      </c>
      <c r="I556" s="29">
        <f t="shared" si="35"/>
        <v>27.208399999999997</v>
      </c>
      <c r="J556" s="29">
        <f t="shared" si="37"/>
        <v>25.837299999999995</v>
      </c>
      <c r="K556" s="29">
        <f t="shared" si="39"/>
        <v>124857.76805251635</v>
      </c>
    </row>
    <row r="557" spans="1:11" ht="18" x14ac:dyDescent="0.2">
      <c r="A557" s="31">
        <v>40063</v>
      </c>
      <c r="B557" s="30">
        <v>0.37</v>
      </c>
      <c r="C557" s="29">
        <f t="shared" si="34"/>
        <v>0.23040000000000002</v>
      </c>
      <c r="D557" s="29">
        <f t="shared" si="36"/>
        <v>0.42425000000000013</v>
      </c>
      <c r="E557" s="29">
        <f t="shared" si="38"/>
        <v>100000</v>
      </c>
      <c r="H557" s="3">
        <v>26.74</v>
      </c>
      <c r="I557" s="29">
        <f t="shared" si="35"/>
        <v>27.188400000000001</v>
      </c>
      <c r="J557" s="29">
        <f t="shared" si="37"/>
        <v>25.857399999999995</v>
      </c>
      <c r="K557" s="29">
        <f t="shared" si="39"/>
        <v>117024.07002188177</v>
      </c>
    </row>
    <row r="558" spans="1:11" ht="18" x14ac:dyDescent="0.2">
      <c r="A558" s="31">
        <v>40070</v>
      </c>
      <c r="B558" s="30">
        <v>0.35</v>
      </c>
      <c r="C558" s="29">
        <f t="shared" si="34"/>
        <v>0.23319999999999999</v>
      </c>
      <c r="D558" s="29">
        <f t="shared" si="36"/>
        <v>0.42460000000000009</v>
      </c>
      <c r="E558" s="29">
        <f t="shared" si="38"/>
        <v>100000</v>
      </c>
      <c r="H558" s="3">
        <v>30.56</v>
      </c>
      <c r="I558" s="29">
        <f t="shared" si="35"/>
        <v>27.148999999999997</v>
      </c>
      <c r="J558" s="29">
        <f t="shared" si="37"/>
        <v>25.897299999999994</v>
      </c>
      <c r="K558" s="29">
        <f t="shared" si="39"/>
        <v>133741.79431072201</v>
      </c>
    </row>
    <row r="559" spans="1:11" ht="18" x14ac:dyDescent="0.2">
      <c r="A559" s="31">
        <v>40077</v>
      </c>
      <c r="B559" s="30">
        <v>0.33</v>
      </c>
      <c r="C559" s="29">
        <f t="shared" si="34"/>
        <v>0.2366</v>
      </c>
      <c r="D559" s="29">
        <f t="shared" si="36"/>
        <v>0.42480000000000012</v>
      </c>
      <c r="E559" s="29">
        <f t="shared" si="38"/>
        <v>100000</v>
      </c>
      <c r="H559" s="3">
        <v>31.34</v>
      </c>
      <c r="I559" s="29">
        <f t="shared" si="35"/>
        <v>27.227600000000002</v>
      </c>
      <c r="J559" s="29">
        <f t="shared" si="37"/>
        <v>25.938649999999999</v>
      </c>
      <c r="K559" s="29">
        <f t="shared" si="39"/>
        <v>137155.36105032815</v>
      </c>
    </row>
    <row r="560" spans="1:11" ht="18" x14ac:dyDescent="0.2">
      <c r="A560" s="31">
        <v>40084</v>
      </c>
      <c r="B560" s="30">
        <v>0.32</v>
      </c>
      <c r="C560" s="29">
        <f t="shared" si="34"/>
        <v>0.2394</v>
      </c>
      <c r="D560" s="29">
        <f t="shared" si="36"/>
        <v>0.42500000000000004</v>
      </c>
      <c r="E560" s="29">
        <f t="shared" si="38"/>
        <v>100000</v>
      </c>
      <c r="H560" s="3">
        <v>29.82</v>
      </c>
      <c r="I560" s="29">
        <f t="shared" si="35"/>
        <v>27.262999999999998</v>
      </c>
      <c r="J560" s="29">
        <f t="shared" si="37"/>
        <v>25.971999999999998</v>
      </c>
      <c r="K560" s="29">
        <f t="shared" si="39"/>
        <v>130503.2822757111</v>
      </c>
    </row>
    <row r="561" spans="1:11" ht="18" x14ac:dyDescent="0.2">
      <c r="A561" s="31">
        <v>40091</v>
      </c>
      <c r="B561" s="30">
        <v>0.32</v>
      </c>
      <c r="C561" s="29">
        <f t="shared" si="34"/>
        <v>0.24280000000000002</v>
      </c>
      <c r="D561" s="29">
        <f t="shared" si="36"/>
        <v>0.42520000000000008</v>
      </c>
      <c r="E561" s="29">
        <f t="shared" si="38"/>
        <v>100000</v>
      </c>
      <c r="H561" s="3">
        <v>27.26</v>
      </c>
      <c r="I561" s="29">
        <f t="shared" si="35"/>
        <v>27.290599999999994</v>
      </c>
      <c r="J561" s="29">
        <f t="shared" si="37"/>
        <v>25.992150000000002</v>
      </c>
      <c r="K561" s="29">
        <f t="shared" si="39"/>
        <v>119299.78118161921</v>
      </c>
    </row>
    <row r="562" spans="1:11" ht="18" x14ac:dyDescent="0.2">
      <c r="A562" s="31">
        <v>40098</v>
      </c>
      <c r="B562" s="30">
        <v>0.3</v>
      </c>
      <c r="C562" s="29">
        <f t="shared" si="34"/>
        <v>0.24480000000000005</v>
      </c>
      <c r="D562" s="29">
        <f t="shared" si="36"/>
        <v>0.42530000000000007</v>
      </c>
      <c r="E562" s="29">
        <f t="shared" si="38"/>
        <v>100000</v>
      </c>
      <c r="H562" s="3">
        <v>25.74</v>
      </c>
      <c r="I562" s="29">
        <f t="shared" si="35"/>
        <v>27.237999999999996</v>
      </c>
      <c r="J562" s="29">
        <f t="shared" si="37"/>
        <v>26.002750000000002</v>
      </c>
      <c r="K562" s="29">
        <f t="shared" si="39"/>
        <v>112647.70240700213</v>
      </c>
    </row>
    <row r="563" spans="1:11" ht="18" x14ac:dyDescent="0.2">
      <c r="A563" s="31">
        <v>40105</v>
      </c>
      <c r="B563" s="30">
        <v>0.3</v>
      </c>
      <c r="C563" s="29">
        <f t="shared" ref="C563:C626" si="40">AVERAGE(B514:B563)</f>
        <v>0.24680000000000002</v>
      </c>
      <c r="D563" s="29">
        <f t="shared" si="36"/>
        <v>0.42535000000000012</v>
      </c>
      <c r="E563" s="29">
        <f t="shared" si="38"/>
        <v>100000</v>
      </c>
      <c r="H563" s="3">
        <v>23.19</v>
      </c>
      <c r="I563" s="29">
        <f t="shared" si="35"/>
        <v>27.207599999999992</v>
      </c>
      <c r="J563" s="29">
        <f t="shared" si="37"/>
        <v>25.99935</v>
      </c>
      <c r="K563" s="29">
        <f t="shared" si="39"/>
        <v>101487.96498905904</v>
      </c>
    </row>
    <row r="564" spans="1:11" ht="18" x14ac:dyDescent="0.2">
      <c r="A564" s="31">
        <v>40112</v>
      </c>
      <c r="B564" s="30">
        <v>0.27</v>
      </c>
      <c r="C564" s="29">
        <f t="shared" si="40"/>
        <v>0.24900000000000003</v>
      </c>
      <c r="D564" s="29">
        <f t="shared" si="36"/>
        <v>0.42530000000000007</v>
      </c>
      <c r="E564" s="29">
        <f t="shared" si="38"/>
        <v>100000</v>
      </c>
      <c r="H564" s="3">
        <v>27</v>
      </c>
      <c r="I564" s="29">
        <f t="shared" ref="I564:I627" si="41">AVERAGE(H514:H563)</f>
        <v>27.136999999999993</v>
      </c>
      <c r="J564" s="29">
        <f t="shared" si="37"/>
        <v>26.016549999999999</v>
      </c>
      <c r="K564" s="29">
        <f t="shared" si="39"/>
        <v>118161.92560175048</v>
      </c>
    </row>
    <row r="565" spans="1:11" ht="18" x14ac:dyDescent="0.2">
      <c r="A565" s="31">
        <v>40119</v>
      </c>
      <c r="B565" s="30">
        <v>0.3</v>
      </c>
      <c r="C565" s="29">
        <f t="shared" si="40"/>
        <v>0.25200000000000006</v>
      </c>
      <c r="D565" s="29">
        <f t="shared" si="36"/>
        <v>0.42525000000000007</v>
      </c>
      <c r="E565" s="29">
        <f t="shared" si="38"/>
        <v>100000</v>
      </c>
      <c r="H565" s="3">
        <v>24.71</v>
      </c>
      <c r="I565" s="29">
        <f t="shared" si="41"/>
        <v>27.132599999999993</v>
      </c>
      <c r="J565" s="29">
        <f t="shared" si="37"/>
        <v>26.021299999999997</v>
      </c>
      <c r="K565" s="29">
        <f t="shared" si="39"/>
        <v>108140.04376367609</v>
      </c>
    </row>
    <row r="566" spans="1:11" ht="18" x14ac:dyDescent="0.2">
      <c r="A566" s="31">
        <v>40126</v>
      </c>
      <c r="B566" s="30">
        <v>0.31</v>
      </c>
      <c r="C566" s="29">
        <f t="shared" si="40"/>
        <v>0.25480000000000003</v>
      </c>
      <c r="D566" s="29">
        <f t="shared" si="36"/>
        <v>0.42520000000000008</v>
      </c>
      <c r="E566" s="29">
        <f t="shared" si="38"/>
        <v>100000</v>
      </c>
      <c r="H566" s="3">
        <v>22.56</v>
      </c>
      <c r="I566" s="29">
        <f t="shared" si="41"/>
        <v>27.096799999999995</v>
      </c>
      <c r="J566" s="29">
        <f t="shared" si="37"/>
        <v>26.014599999999994</v>
      </c>
      <c r="K566" s="29">
        <f t="shared" si="39"/>
        <v>98730.853391684839</v>
      </c>
    </row>
    <row r="567" spans="1:11" ht="18" x14ac:dyDescent="0.2">
      <c r="A567" s="31">
        <v>40133</v>
      </c>
      <c r="B567" s="30">
        <v>0.3</v>
      </c>
      <c r="C567" s="29">
        <f t="shared" si="40"/>
        <v>0.25740000000000007</v>
      </c>
      <c r="D567" s="29">
        <f t="shared" si="36"/>
        <v>0.42505000000000009</v>
      </c>
      <c r="E567" s="29">
        <f t="shared" si="38"/>
        <v>100000</v>
      </c>
      <c r="H567" s="3">
        <v>14.87</v>
      </c>
      <c r="I567" s="29">
        <f t="shared" si="41"/>
        <v>26.971599999999995</v>
      </c>
      <c r="J567" s="29">
        <f t="shared" si="37"/>
        <v>25.979249999999993</v>
      </c>
      <c r="K567" s="29">
        <f t="shared" si="39"/>
        <v>65076.586433260352</v>
      </c>
    </row>
    <row r="568" spans="1:11" ht="18" x14ac:dyDescent="0.2">
      <c r="A568" s="31">
        <v>40140</v>
      </c>
      <c r="B568" s="30">
        <v>0.28999999999999998</v>
      </c>
      <c r="C568" s="29">
        <f t="shared" si="40"/>
        <v>0.25920000000000004</v>
      </c>
      <c r="D568" s="29">
        <f t="shared" si="36"/>
        <v>0.42475000000000007</v>
      </c>
      <c r="E568" s="29">
        <f t="shared" si="38"/>
        <v>100000</v>
      </c>
      <c r="H568" s="3">
        <v>20.72</v>
      </c>
      <c r="I568" s="29">
        <f t="shared" si="41"/>
        <v>26.686799999999995</v>
      </c>
      <c r="J568" s="29">
        <f t="shared" si="37"/>
        <v>25.9739</v>
      </c>
      <c r="K568" s="29">
        <f t="shared" si="39"/>
        <v>90678.336980306281</v>
      </c>
    </row>
    <row r="569" spans="1:11" ht="18" x14ac:dyDescent="0.2">
      <c r="A569" s="31">
        <v>40147</v>
      </c>
      <c r="B569" s="30">
        <v>0.33</v>
      </c>
      <c r="C569" s="29">
        <f t="shared" si="40"/>
        <v>0.26179999999999998</v>
      </c>
      <c r="D569" s="29">
        <f t="shared" si="36"/>
        <v>0.42470000000000013</v>
      </c>
      <c r="E569" s="29">
        <f t="shared" si="38"/>
        <v>100000</v>
      </c>
      <c r="H569" s="3">
        <v>25.01</v>
      </c>
      <c r="I569" s="29">
        <f t="shared" si="41"/>
        <v>26.53019999999999</v>
      </c>
      <c r="J569" s="29">
        <f t="shared" si="37"/>
        <v>25.992750000000001</v>
      </c>
      <c r="K569" s="29">
        <f t="shared" si="39"/>
        <v>109452.95404813999</v>
      </c>
    </row>
    <row r="570" spans="1:11" ht="18" x14ac:dyDescent="0.2">
      <c r="A570" s="31">
        <v>40154</v>
      </c>
      <c r="B570" s="30">
        <v>0.35</v>
      </c>
      <c r="C570" s="29">
        <f t="shared" si="40"/>
        <v>0.26540000000000002</v>
      </c>
      <c r="D570" s="29">
        <f t="shared" si="36"/>
        <v>0.42475000000000018</v>
      </c>
      <c r="E570" s="29">
        <f t="shared" si="38"/>
        <v>100000</v>
      </c>
      <c r="H570" s="3">
        <v>27.26</v>
      </c>
      <c r="I570" s="29">
        <f t="shared" si="41"/>
        <v>26.473199999999999</v>
      </c>
      <c r="J570" s="29">
        <f t="shared" si="37"/>
        <v>26.022399999999998</v>
      </c>
      <c r="K570" s="29">
        <f t="shared" si="39"/>
        <v>119299.7811816192</v>
      </c>
    </row>
    <row r="571" spans="1:11" ht="18" x14ac:dyDescent="0.2">
      <c r="A571" s="31">
        <v>40161</v>
      </c>
      <c r="B571" s="30">
        <v>0.39</v>
      </c>
      <c r="C571" s="29">
        <f t="shared" si="40"/>
        <v>0.26920000000000005</v>
      </c>
      <c r="D571" s="29">
        <f t="shared" si="36"/>
        <v>0.42490000000000017</v>
      </c>
      <c r="E571" s="29">
        <f t="shared" si="38"/>
        <v>100000</v>
      </c>
      <c r="H571" s="3">
        <v>27.25</v>
      </c>
      <c r="I571" s="29">
        <f t="shared" si="41"/>
        <v>26.471999999999994</v>
      </c>
      <c r="J571" s="29">
        <f t="shared" si="37"/>
        <v>26.050050000000002</v>
      </c>
      <c r="K571" s="29">
        <f t="shared" si="39"/>
        <v>119256.0175054704</v>
      </c>
    </row>
    <row r="572" spans="1:11" ht="18" x14ac:dyDescent="0.2">
      <c r="A572" s="31">
        <v>40168</v>
      </c>
      <c r="B572" s="30">
        <v>0.41</v>
      </c>
      <c r="C572" s="29">
        <f t="shared" si="40"/>
        <v>0.27380000000000004</v>
      </c>
      <c r="D572" s="29">
        <f t="shared" si="36"/>
        <v>0.42520000000000008</v>
      </c>
      <c r="E572" s="29">
        <f t="shared" si="38"/>
        <v>100000</v>
      </c>
      <c r="H572" s="3">
        <v>27.88</v>
      </c>
      <c r="I572" s="29">
        <f t="shared" si="41"/>
        <v>26.499999999999996</v>
      </c>
      <c r="J572" s="29">
        <f t="shared" si="37"/>
        <v>26.08145</v>
      </c>
      <c r="K572" s="29">
        <f t="shared" si="39"/>
        <v>122013.12910284457</v>
      </c>
    </row>
    <row r="573" spans="1:11" ht="18" x14ac:dyDescent="0.2">
      <c r="A573" s="31">
        <v>40175</v>
      </c>
      <c r="B573" s="30">
        <v>0.43</v>
      </c>
      <c r="C573" s="29">
        <f t="shared" si="40"/>
        <v>0.27880000000000005</v>
      </c>
      <c r="D573" s="29">
        <f t="shared" si="36"/>
        <v>0.42545000000000016</v>
      </c>
      <c r="E573" s="29">
        <f t="shared" si="38"/>
        <v>100000</v>
      </c>
      <c r="H573" s="3">
        <v>27.73</v>
      </c>
      <c r="I573" s="29">
        <f t="shared" si="41"/>
        <v>26.536799999999999</v>
      </c>
      <c r="J573" s="29">
        <f t="shared" si="37"/>
        <v>26.114899999999999</v>
      </c>
      <c r="K573" s="29">
        <f t="shared" si="39"/>
        <v>121356.67396061262</v>
      </c>
    </row>
    <row r="574" spans="1:11" ht="18" x14ac:dyDescent="0.2">
      <c r="A574" s="31">
        <v>40182</v>
      </c>
      <c r="B574" s="30">
        <v>0.43</v>
      </c>
      <c r="C574" s="29">
        <f t="shared" si="40"/>
        <v>0.28380000000000005</v>
      </c>
      <c r="D574" s="29">
        <f t="shared" si="36"/>
        <v>0.42580000000000018</v>
      </c>
      <c r="E574" s="29">
        <f t="shared" si="38"/>
        <v>100000</v>
      </c>
      <c r="H574" s="3">
        <v>29.74</v>
      </c>
      <c r="I574" s="29">
        <f t="shared" si="41"/>
        <v>26.586799999999997</v>
      </c>
      <c r="J574" s="29">
        <f t="shared" si="37"/>
        <v>26.157049999999998</v>
      </c>
      <c r="K574" s="29">
        <f t="shared" si="39"/>
        <v>130153.1728665207</v>
      </c>
    </row>
    <row r="575" spans="1:11" ht="18" x14ac:dyDescent="0.2">
      <c r="A575" s="31">
        <v>40189</v>
      </c>
      <c r="B575" s="30">
        <v>0.39</v>
      </c>
      <c r="C575" s="29">
        <f t="shared" si="40"/>
        <v>0.28800000000000003</v>
      </c>
      <c r="D575" s="29">
        <f t="shared" si="36"/>
        <v>0.42590000000000022</v>
      </c>
      <c r="E575" s="29">
        <f t="shared" si="38"/>
        <v>100000</v>
      </c>
      <c r="H575" s="3">
        <v>29.11</v>
      </c>
      <c r="I575" s="29">
        <f t="shared" si="41"/>
        <v>26.625399999999999</v>
      </c>
      <c r="J575" s="29">
        <f t="shared" si="37"/>
        <v>26.194499999999998</v>
      </c>
      <c r="K575" s="29">
        <f t="shared" si="39"/>
        <v>127396.06126914654</v>
      </c>
    </row>
    <row r="576" spans="1:11" ht="18" x14ac:dyDescent="0.2">
      <c r="A576" s="31">
        <v>40196</v>
      </c>
      <c r="B576" s="30">
        <v>0.38</v>
      </c>
      <c r="C576" s="29">
        <f t="shared" si="40"/>
        <v>0.29100000000000004</v>
      </c>
      <c r="D576" s="29">
        <f t="shared" si="36"/>
        <v>0.42580000000000018</v>
      </c>
      <c r="E576" s="29">
        <f t="shared" si="38"/>
        <v>100000</v>
      </c>
      <c r="H576" s="3">
        <v>26.09</v>
      </c>
      <c r="I576" s="29">
        <f t="shared" si="41"/>
        <v>26.592799999999997</v>
      </c>
      <c r="J576" s="29">
        <f t="shared" si="37"/>
        <v>26.220899999999997</v>
      </c>
      <c r="K576" s="29">
        <f t="shared" si="39"/>
        <v>114179.43107221001</v>
      </c>
    </row>
    <row r="577" spans="1:11" ht="18" x14ac:dyDescent="0.2">
      <c r="A577" s="31">
        <v>40203</v>
      </c>
      <c r="B577" s="30">
        <v>0.35</v>
      </c>
      <c r="C577" s="29">
        <f t="shared" si="40"/>
        <v>0.29420000000000007</v>
      </c>
      <c r="D577" s="29">
        <f t="shared" si="36"/>
        <v>0.42535000000000012</v>
      </c>
      <c r="E577" s="29">
        <f t="shared" si="38"/>
        <v>100000</v>
      </c>
      <c r="H577" s="3">
        <v>25.95</v>
      </c>
      <c r="I577" s="29">
        <f t="shared" si="41"/>
        <v>26.5562</v>
      </c>
      <c r="J577" s="29">
        <f t="shared" si="37"/>
        <v>26.246849999999998</v>
      </c>
      <c r="K577" s="29">
        <f t="shared" si="39"/>
        <v>113566.73960612687</v>
      </c>
    </row>
    <row r="578" spans="1:11" ht="18" x14ac:dyDescent="0.2">
      <c r="A578" s="31">
        <v>40210</v>
      </c>
      <c r="B578" s="30">
        <v>0.37</v>
      </c>
      <c r="C578" s="29">
        <f t="shared" si="40"/>
        <v>0.29820000000000002</v>
      </c>
      <c r="D578" s="29">
        <f t="shared" si="36"/>
        <v>0.42485000000000012</v>
      </c>
      <c r="E578" s="29">
        <f t="shared" si="38"/>
        <v>100000</v>
      </c>
      <c r="H578" s="3">
        <v>25.52</v>
      </c>
      <c r="I578" s="29">
        <f t="shared" si="41"/>
        <v>26.524000000000001</v>
      </c>
      <c r="J578" s="29">
        <f t="shared" si="37"/>
        <v>26.273800000000001</v>
      </c>
      <c r="K578" s="29">
        <f t="shared" si="39"/>
        <v>111684.90153172861</v>
      </c>
    </row>
    <row r="579" spans="1:11" ht="18" x14ac:dyDescent="0.2">
      <c r="A579" s="31">
        <v>40217</v>
      </c>
      <c r="B579" s="30">
        <v>0.4</v>
      </c>
      <c r="C579" s="29">
        <f t="shared" si="40"/>
        <v>0.3024</v>
      </c>
      <c r="D579" s="29">
        <f t="shared" si="36"/>
        <v>0.42460000000000014</v>
      </c>
      <c r="E579" s="29">
        <f t="shared" si="38"/>
        <v>100000</v>
      </c>
      <c r="H579" s="3">
        <v>25.95</v>
      </c>
      <c r="I579" s="29">
        <f t="shared" si="41"/>
        <v>26.474599999999999</v>
      </c>
      <c r="J579" s="29">
        <f t="shared" si="37"/>
        <v>26.304850000000002</v>
      </c>
      <c r="K579" s="29">
        <f t="shared" si="39"/>
        <v>113566.73960612687</v>
      </c>
    </row>
    <row r="580" spans="1:11" ht="18" x14ac:dyDescent="0.2">
      <c r="A580" s="31">
        <v>40224</v>
      </c>
      <c r="B580" s="30">
        <v>0.38</v>
      </c>
      <c r="C580" s="29">
        <f t="shared" si="40"/>
        <v>0.30620000000000003</v>
      </c>
      <c r="D580" s="29">
        <f t="shared" si="36"/>
        <v>0.42435000000000012</v>
      </c>
      <c r="E580" s="29">
        <f t="shared" si="38"/>
        <v>100000</v>
      </c>
      <c r="H580" s="3">
        <v>26.67</v>
      </c>
      <c r="I580" s="29">
        <f t="shared" si="41"/>
        <v>26.4756</v>
      </c>
      <c r="J580" s="29">
        <f t="shared" si="37"/>
        <v>26.338800000000003</v>
      </c>
      <c r="K580" s="29">
        <f t="shared" si="39"/>
        <v>116717.72428884023</v>
      </c>
    </row>
    <row r="581" spans="1:11" ht="18" x14ac:dyDescent="0.2">
      <c r="A581" s="31">
        <v>40231</v>
      </c>
      <c r="B581" s="30">
        <v>0.37</v>
      </c>
      <c r="C581" s="29">
        <f t="shared" si="40"/>
        <v>0.30920000000000003</v>
      </c>
      <c r="D581" s="29">
        <f t="shared" si="36"/>
        <v>0.4239500000000001</v>
      </c>
      <c r="E581" s="29">
        <f t="shared" si="38"/>
        <v>100000</v>
      </c>
      <c r="H581" s="3">
        <v>27.97</v>
      </c>
      <c r="I581" s="29">
        <f t="shared" si="41"/>
        <v>26.530400000000004</v>
      </c>
      <c r="J581" s="29">
        <f t="shared" si="37"/>
        <v>26.379900000000006</v>
      </c>
      <c r="K581" s="29">
        <f t="shared" si="39"/>
        <v>122407.00218818376</v>
      </c>
    </row>
    <row r="582" spans="1:11" ht="18" x14ac:dyDescent="0.2">
      <c r="A582" s="31">
        <v>40238</v>
      </c>
      <c r="B582" s="30">
        <v>0.39</v>
      </c>
      <c r="C582" s="29">
        <f t="shared" si="40"/>
        <v>0.31259999999999999</v>
      </c>
      <c r="D582" s="29">
        <f t="shared" si="36"/>
        <v>0.4235000000000001</v>
      </c>
      <c r="E582" s="29">
        <f t="shared" si="38"/>
        <v>100000</v>
      </c>
      <c r="H582" s="3">
        <v>28.53</v>
      </c>
      <c r="I582" s="29">
        <f t="shared" si="41"/>
        <v>26.624200000000005</v>
      </c>
      <c r="J582" s="29">
        <f t="shared" si="37"/>
        <v>26.421050000000005</v>
      </c>
      <c r="K582" s="29">
        <f t="shared" si="39"/>
        <v>124857.76805251637</v>
      </c>
    </row>
    <row r="583" spans="1:11" ht="18" x14ac:dyDescent="0.2">
      <c r="A583" s="31">
        <v>40245</v>
      </c>
      <c r="B583" s="30">
        <v>0.4</v>
      </c>
      <c r="C583" s="29">
        <f t="shared" si="40"/>
        <v>0.31580000000000003</v>
      </c>
      <c r="D583" s="29">
        <f t="shared" si="36"/>
        <v>0.42350000000000015</v>
      </c>
      <c r="E583" s="29">
        <f t="shared" si="38"/>
        <v>100000</v>
      </c>
      <c r="H583" s="3">
        <v>28.75</v>
      </c>
      <c r="I583" s="29">
        <f t="shared" si="41"/>
        <v>26.609000000000005</v>
      </c>
      <c r="J583" s="29">
        <f t="shared" si="37"/>
        <v>26.461500000000004</v>
      </c>
      <c r="K583" s="29">
        <f t="shared" si="39"/>
        <v>125820.56892778989</v>
      </c>
    </row>
    <row r="584" spans="1:11" ht="18" x14ac:dyDescent="0.2">
      <c r="A584" s="31">
        <v>40252</v>
      </c>
      <c r="B584" s="30">
        <v>0.4</v>
      </c>
      <c r="C584" s="29">
        <f t="shared" si="40"/>
        <v>0.31860000000000005</v>
      </c>
      <c r="D584" s="29">
        <f t="shared" si="36"/>
        <v>0.42365000000000025</v>
      </c>
      <c r="E584" s="29">
        <f t="shared" si="38"/>
        <v>100000</v>
      </c>
      <c r="H584" s="3">
        <v>28.95</v>
      </c>
      <c r="I584" s="29">
        <f t="shared" si="41"/>
        <v>26.639800000000005</v>
      </c>
      <c r="J584" s="29">
        <f t="shared" si="37"/>
        <v>26.502600000000001</v>
      </c>
      <c r="K584" s="29">
        <f t="shared" si="39"/>
        <v>126695.84245076581</v>
      </c>
    </row>
    <row r="585" spans="1:11" ht="18" x14ac:dyDescent="0.2">
      <c r="A585" s="31">
        <v>40259</v>
      </c>
      <c r="B585" s="30">
        <v>0.4</v>
      </c>
      <c r="C585" s="29">
        <f t="shared" si="40"/>
        <v>0.32100000000000001</v>
      </c>
      <c r="D585" s="29">
        <f t="shared" ref="D585:D648" si="42">AVERAGE(B386:B585)</f>
        <v>0.42380000000000018</v>
      </c>
      <c r="E585" s="29">
        <f t="shared" si="38"/>
        <v>100000</v>
      </c>
      <c r="H585" s="3">
        <v>30</v>
      </c>
      <c r="I585" s="29">
        <f t="shared" si="41"/>
        <v>26.638000000000002</v>
      </c>
      <c r="J585" s="29">
        <f t="shared" ref="J585:J648" si="43">AVERAGE(H386:H585)</f>
        <v>26.552299999999999</v>
      </c>
      <c r="K585" s="29">
        <f t="shared" si="39"/>
        <v>131291.02844638942</v>
      </c>
    </row>
    <row r="586" spans="1:11" ht="18" x14ac:dyDescent="0.2">
      <c r="A586" s="31">
        <v>40266</v>
      </c>
      <c r="B586" s="30">
        <v>0.39</v>
      </c>
      <c r="C586" s="29">
        <f t="shared" si="40"/>
        <v>0.32340000000000002</v>
      </c>
      <c r="D586" s="29">
        <f t="shared" si="42"/>
        <v>0.42395000000000016</v>
      </c>
      <c r="E586" s="29">
        <f t="shared" ref="E586:E649" si="44">IF( C586&gt;D586,E585*B586/B585,100000)</f>
        <v>100000</v>
      </c>
      <c r="H586" s="3">
        <v>30.1</v>
      </c>
      <c r="I586" s="29">
        <f t="shared" si="41"/>
        <v>26.691600000000005</v>
      </c>
      <c r="J586" s="29">
        <f t="shared" si="43"/>
        <v>26.597850000000005</v>
      </c>
      <c r="K586" s="29">
        <f t="shared" ref="K586:K649" si="45">IF(I586&gt;J586,K585*H586/H585,100000)</f>
        <v>131728.66520787741</v>
      </c>
    </row>
    <row r="587" spans="1:11" ht="18" x14ac:dyDescent="0.2">
      <c r="A587" s="31">
        <v>40273</v>
      </c>
      <c r="B587" s="30">
        <v>0.39</v>
      </c>
      <c r="C587" s="29">
        <f t="shared" si="40"/>
        <v>0.32600000000000007</v>
      </c>
      <c r="D587" s="29">
        <f t="shared" si="42"/>
        <v>0.42425000000000018</v>
      </c>
      <c r="E587" s="29">
        <f t="shared" si="44"/>
        <v>100000</v>
      </c>
      <c r="H587" s="3">
        <v>30.67</v>
      </c>
      <c r="I587" s="29">
        <f t="shared" si="41"/>
        <v>26.705600000000004</v>
      </c>
      <c r="J587" s="29">
        <f t="shared" si="43"/>
        <v>26.647000000000002</v>
      </c>
      <c r="K587" s="29">
        <f t="shared" si="45"/>
        <v>134223.1947483588</v>
      </c>
    </row>
    <row r="588" spans="1:11" ht="18" x14ac:dyDescent="0.2">
      <c r="A588" s="31">
        <v>40280</v>
      </c>
      <c r="B588" s="30">
        <v>0.39</v>
      </c>
      <c r="C588" s="29">
        <f t="shared" si="40"/>
        <v>0.32840000000000003</v>
      </c>
      <c r="D588" s="29">
        <f t="shared" si="42"/>
        <v>0.42455000000000015</v>
      </c>
      <c r="E588" s="29">
        <f t="shared" si="44"/>
        <v>100000</v>
      </c>
      <c r="H588" s="3">
        <v>30.39</v>
      </c>
      <c r="I588" s="29">
        <f t="shared" si="41"/>
        <v>26.705000000000005</v>
      </c>
      <c r="J588" s="29">
        <f t="shared" si="43"/>
        <v>26.695450000000005</v>
      </c>
      <c r="K588" s="29">
        <f t="shared" si="45"/>
        <v>132997.81181619249</v>
      </c>
    </row>
    <row r="589" spans="1:11" ht="18" x14ac:dyDescent="0.2">
      <c r="A589" s="31">
        <v>40287</v>
      </c>
      <c r="B589" s="30">
        <v>0.38</v>
      </c>
      <c r="C589" s="29">
        <f t="shared" si="40"/>
        <v>0.33179999999999998</v>
      </c>
      <c r="D589" s="29">
        <f t="shared" si="42"/>
        <v>0.42490000000000011</v>
      </c>
      <c r="E589" s="29">
        <f t="shared" si="44"/>
        <v>100000</v>
      </c>
      <c r="H589" s="3">
        <v>29.98</v>
      </c>
      <c r="I589" s="29">
        <f t="shared" si="41"/>
        <v>26.68760000000001</v>
      </c>
      <c r="J589" s="29">
        <f t="shared" si="43"/>
        <v>26.742200000000004</v>
      </c>
      <c r="K589" s="29">
        <f t="shared" si="45"/>
        <v>100000</v>
      </c>
    </row>
    <row r="590" spans="1:11" ht="18" x14ac:dyDescent="0.2">
      <c r="A590" s="31">
        <v>40294</v>
      </c>
      <c r="B590" s="30">
        <v>0.36</v>
      </c>
      <c r="C590" s="29">
        <f t="shared" si="40"/>
        <v>0.33500000000000002</v>
      </c>
      <c r="D590" s="29">
        <f t="shared" si="42"/>
        <v>0.42505000000000009</v>
      </c>
      <c r="E590" s="29">
        <f t="shared" si="44"/>
        <v>100000</v>
      </c>
      <c r="H590" s="3">
        <v>28.4</v>
      </c>
      <c r="I590" s="29">
        <f t="shared" si="41"/>
        <v>26.688800000000011</v>
      </c>
      <c r="J590" s="29">
        <f t="shared" si="43"/>
        <v>26.779199999999996</v>
      </c>
      <c r="K590" s="29">
        <f t="shared" si="45"/>
        <v>100000</v>
      </c>
    </row>
    <row r="591" spans="1:11" ht="18" x14ac:dyDescent="0.2">
      <c r="A591" s="31">
        <v>40301</v>
      </c>
      <c r="B591" s="30">
        <v>0.32</v>
      </c>
      <c r="C591" s="29">
        <f t="shared" si="40"/>
        <v>0.33680000000000004</v>
      </c>
      <c r="D591" s="29">
        <f t="shared" si="42"/>
        <v>0.42515000000000008</v>
      </c>
      <c r="E591" s="29">
        <f t="shared" si="44"/>
        <v>100000</v>
      </c>
      <c r="H591" s="3">
        <v>27.19</v>
      </c>
      <c r="I591" s="29">
        <f t="shared" si="41"/>
        <v>26.65900000000001</v>
      </c>
      <c r="J591" s="29">
        <f t="shared" si="43"/>
        <v>26.811599999999995</v>
      </c>
      <c r="K591" s="29">
        <f t="shared" si="45"/>
        <v>100000</v>
      </c>
    </row>
    <row r="592" spans="1:11" ht="18" x14ac:dyDescent="0.2">
      <c r="A592" s="31">
        <v>40308</v>
      </c>
      <c r="B592" s="30">
        <v>0.3</v>
      </c>
      <c r="C592" s="29">
        <f t="shared" si="40"/>
        <v>0.33800000000000013</v>
      </c>
      <c r="D592" s="29">
        <f t="shared" si="42"/>
        <v>0.42529999999999996</v>
      </c>
      <c r="E592" s="29">
        <f t="shared" si="44"/>
        <v>100000</v>
      </c>
      <c r="H592" s="3">
        <v>26.61</v>
      </c>
      <c r="I592" s="29">
        <f t="shared" si="41"/>
        <v>26.659000000000006</v>
      </c>
      <c r="J592" s="29">
        <f t="shared" si="43"/>
        <v>26.842599999999994</v>
      </c>
      <c r="K592" s="29">
        <f t="shared" si="45"/>
        <v>100000</v>
      </c>
    </row>
    <row r="593" spans="1:11" ht="18" x14ac:dyDescent="0.2">
      <c r="A593" s="31">
        <v>40315</v>
      </c>
      <c r="B593" s="30">
        <v>0.28999999999999998</v>
      </c>
      <c r="C593" s="29">
        <f t="shared" si="40"/>
        <v>0.3388000000000001</v>
      </c>
      <c r="D593" s="29">
        <f t="shared" si="42"/>
        <v>0.4254</v>
      </c>
      <c r="E593" s="29">
        <f t="shared" si="44"/>
        <v>100000</v>
      </c>
      <c r="H593" s="3">
        <v>26.72</v>
      </c>
      <c r="I593" s="29">
        <f t="shared" si="41"/>
        <v>26.638800000000007</v>
      </c>
      <c r="J593" s="29">
        <f t="shared" si="43"/>
        <v>26.873899999999995</v>
      </c>
      <c r="K593" s="29">
        <f t="shared" si="45"/>
        <v>100000</v>
      </c>
    </row>
    <row r="594" spans="1:11" ht="18" x14ac:dyDescent="0.2">
      <c r="A594" s="31">
        <v>40322</v>
      </c>
      <c r="B594" s="30">
        <v>0.3</v>
      </c>
      <c r="C594" s="29">
        <f t="shared" si="40"/>
        <v>0.33960000000000007</v>
      </c>
      <c r="D594" s="29">
        <f t="shared" si="42"/>
        <v>0.42514999999999992</v>
      </c>
      <c r="E594" s="29">
        <f t="shared" si="44"/>
        <v>100000</v>
      </c>
      <c r="H594" s="3">
        <v>26.4</v>
      </c>
      <c r="I594" s="29">
        <f t="shared" si="41"/>
        <v>26.658200000000008</v>
      </c>
      <c r="J594" s="29">
        <f t="shared" si="43"/>
        <v>26.900499999999994</v>
      </c>
      <c r="K594" s="29">
        <f t="shared" si="45"/>
        <v>100000</v>
      </c>
    </row>
    <row r="595" spans="1:11" ht="18" x14ac:dyDescent="0.2">
      <c r="A595" s="31">
        <v>40329</v>
      </c>
      <c r="B595" s="30">
        <v>0.28000000000000003</v>
      </c>
      <c r="C595" s="29">
        <f t="shared" si="40"/>
        <v>0.34000000000000008</v>
      </c>
      <c r="D595" s="29">
        <f t="shared" si="42"/>
        <v>0.42469999999999991</v>
      </c>
      <c r="E595" s="29">
        <f t="shared" si="44"/>
        <v>100000</v>
      </c>
      <c r="H595" s="3">
        <v>25.1</v>
      </c>
      <c r="I595" s="29">
        <f t="shared" si="41"/>
        <v>26.677600000000005</v>
      </c>
      <c r="J595" s="29">
        <f t="shared" si="43"/>
        <v>26.921349999999993</v>
      </c>
      <c r="K595" s="29">
        <f t="shared" si="45"/>
        <v>100000</v>
      </c>
    </row>
    <row r="596" spans="1:11" ht="18" x14ac:dyDescent="0.2">
      <c r="A596" s="31">
        <v>40336</v>
      </c>
      <c r="B596" s="30">
        <v>0.27</v>
      </c>
      <c r="C596" s="29">
        <f t="shared" si="40"/>
        <v>0.34000000000000008</v>
      </c>
      <c r="D596" s="29">
        <f t="shared" si="42"/>
        <v>0.4242499999999999</v>
      </c>
      <c r="E596" s="29">
        <f t="shared" si="44"/>
        <v>100000</v>
      </c>
      <c r="H596" s="3">
        <v>25.41</v>
      </c>
      <c r="I596" s="29">
        <f t="shared" si="41"/>
        <v>26.693200000000004</v>
      </c>
      <c r="J596" s="29">
        <f t="shared" si="43"/>
        <v>26.945099999999993</v>
      </c>
      <c r="K596" s="29">
        <f t="shared" si="45"/>
        <v>100000</v>
      </c>
    </row>
    <row r="597" spans="1:11" ht="18" x14ac:dyDescent="0.2">
      <c r="A597" s="31">
        <v>40343</v>
      </c>
      <c r="B597" s="30">
        <v>0.28000000000000003</v>
      </c>
      <c r="C597" s="29">
        <f t="shared" si="40"/>
        <v>0.34060000000000007</v>
      </c>
      <c r="D597" s="29">
        <f t="shared" si="42"/>
        <v>0.42354999999999987</v>
      </c>
      <c r="E597" s="29">
        <f t="shared" si="44"/>
        <v>100000</v>
      </c>
      <c r="H597" s="3">
        <v>26.14</v>
      </c>
      <c r="I597" s="29">
        <f t="shared" si="41"/>
        <v>26.751000000000008</v>
      </c>
      <c r="J597" s="29">
        <f t="shared" si="43"/>
        <v>26.972199999999994</v>
      </c>
      <c r="K597" s="29">
        <f t="shared" si="45"/>
        <v>100000</v>
      </c>
    </row>
    <row r="598" spans="1:11" ht="18" x14ac:dyDescent="0.2">
      <c r="A598" s="31">
        <v>40350</v>
      </c>
      <c r="B598" s="30">
        <v>0.25</v>
      </c>
      <c r="C598" s="29">
        <f t="shared" si="40"/>
        <v>0.3408000000000001</v>
      </c>
      <c r="D598" s="29">
        <f t="shared" si="42"/>
        <v>0.42279999999999984</v>
      </c>
      <c r="E598" s="29">
        <f t="shared" si="44"/>
        <v>100000</v>
      </c>
      <c r="H598" s="3">
        <v>26.31</v>
      </c>
      <c r="I598" s="29">
        <f t="shared" si="41"/>
        <v>26.82020000000001</v>
      </c>
      <c r="J598" s="29">
        <f t="shared" si="43"/>
        <v>27.002899999999997</v>
      </c>
      <c r="K598" s="29">
        <f t="shared" si="45"/>
        <v>100000</v>
      </c>
    </row>
    <row r="599" spans="1:11" ht="18" x14ac:dyDescent="0.2">
      <c r="A599" s="31">
        <v>40357</v>
      </c>
      <c r="B599" s="30">
        <v>0.23</v>
      </c>
      <c r="C599" s="29">
        <f t="shared" si="40"/>
        <v>0.3398000000000001</v>
      </c>
      <c r="D599" s="29">
        <f t="shared" si="42"/>
        <v>0.42179999999999995</v>
      </c>
      <c r="E599" s="29">
        <f t="shared" si="44"/>
        <v>100000</v>
      </c>
      <c r="H599" s="3">
        <v>23.9</v>
      </c>
      <c r="I599" s="29">
        <f t="shared" si="41"/>
        <v>26.915600000000008</v>
      </c>
      <c r="J599" s="29">
        <f t="shared" si="43"/>
        <v>27.020899999999997</v>
      </c>
      <c r="K599" s="29">
        <f t="shared" si="45"/>
        <v>100000</v>
      </c>
    </row>
    <row r="600" spans="1:11" ht="18" x14ac:dyDescent="0.2">
      <c r="A600" s="31">
        <v>40364</v>
      </c>
      <c r="B600" s="30">
        <v>0.24</v>
      </c>
      <c r="C600" s="29">
        <f t="shared" si="40"/>
        <v>0.33860000000000007</v>
      </c>
      <c r="D600" s="29">
        <f t="shared" si="42"/>
        <v>0.42089999999999989</v>
      </c>
      <c r="E600" s="29">
        <f t="shared" si="44"/>
        <v>100000</v>
      </c>
      <c r="H600" s="3">
        <v>25.95</v>
      </c>
      <c r="I600" s="29">
        <f t="shared" si="41"/>
        <v>26.87360000000001</v>
      </c>
      <c r="J600" s="29">
        <f t="shared" si="43"/>
        <v>27.051749999999998</v>
      </c>
      <c r="K600" s="29">
        <f t="shared" si="45"/>
        <v>100000</v>
      </c>
    </row>
    <row r="601" spans="1:11" ht="18" x14ac:dyDescent="0.2">
      <c r="A601" s="31">
        <v>40371</v>
      </c>
      <c r="B601" s="30">
        <v>0.23</v>
      </c>
      <c r="C601" s="29">
        <f t="shared" si="40"/>
        <v>0.3372</v>
      </c>
      <c r="D601" s="29">
        <f t="shared" si="42"/>
        <v>0.41979999999999995</v>
      </c>
      <c r="E601" s="29">
        <f t="shared" si="44"/>
        <v>100000</v>
      </c>
      <c r="H601" s="3">
        <v>26.05</v>
      </c>
      <c r="I601" s="29">
        <f t="shared" si="41"/>
        <v>26.879200000000012</v>
      </c>
      <c r="J601" s="29">
        <f t="shared" si="43"/>
        <v>27.081749999999996</v>
      </c>
      <c r="K601" s="29">
        <f t="shared" si="45"/>
        <v>100000</v>
      </c>
    </row>
    <row r="602" spans="1:11" ht="18" x14ac:dyDescent="0.2">
      <c r="A602" s="31">
        <v>40378</v>
      </c>
      <c r="B602" s="30">
        <v>0.24</v>
      </c>
      <c r="C602" s="29">
        <f t="shared" si="40"/>
        <v>0.33579999999999993</v>
      </c>
      <c r="D602" s="29">
        <f t="shared" si="42"/>
        <v>0.41869999999999996</v>
      </c>
      <c r="E602" s="29">
        <f t="shared" si="44"/>
        <v>100000</v>
      </c>
      <c r="H602" s="3">
        <v>26.61</v>
      </c>
      <c r="I602" s="29">
        <f t="shared" si="41"/>
        <v>26.87060000000001</v>
      </c>
      <c r="J602" s="29">
        <f t="shared" si="43"/>
        <v>27.112449999999995</v>
      </c>
      <c r="K602" s="29">
        <f t="shared" si="45"/>
        <v>100000</v>
      </c>
    </row>
    <row r="603" spans="1:11" ht="18" x14ac:dyDescent="0.2">
      <c r="A603" s="31">
        <v>40385</v>
      </c>
      <c r="B603" s="30">
        <v>0.21</v>
      </c>
      <c r="C603" s="29">
        <f t="shared" si="40"/>
        <v>0.33379999999999993</v>
      </c>
      <c r="D603" s="29">
        <f t="shared" si="42"/>
        <v>0.41749999999999993</v>
      </c>
      <c r="E603" s="29">
        <f t="shared" si="44"/>
        <v>100000</v>
      </c>
      <c r="H603" s="3">
        <v>26.91</v>
      </c>
      <c r="I603" s="29">
        <f t="shared" si="41"/>
        <v>26.869200000000006</v>
      </c>
      <c r="J603" s="29">
        <f t="shared" si="43"/>
        <v>27.144149999999996</v>
      </c>
      <c r="K603" s="29">
        <f t="shared" si="45"/>
        <v>100000</v>
      </c>
    </row>
    <row r="604" spans="1:11" ht="18" x14ac:dyDescent="0.2">
      <c r="A604" s="31">
        <v>40392</v>
      </c>
      <c r="B604" s="30">
        <v>0.22</v>
      </c>
      <c r="C604" s="29">
        <f t="shared" si="40"/>
        <v>0.33179999999999998</v>
      </c>
      <c r="D604" s="29">
        <f t="shared" si="42"/>
        <v>0.41624999999999984</v>
      </c>
      <c r="E604" s="29">
        <f t="shared" si="44"/>
        <v>100000</v>
      </c>
      <c r="H604" s="3">
        <v>27.01</v>
      </c>
      <c r="I604" s="29">
        <f t="shared" si="41"/>
        <v>26.866000000000003</v>
      </c>
      <c r="J604" s="29">
        <f t="shared" si="43"/>
        <v>27.179049999999993</v>
      </c>
      <c r="K604" s="29">
        <f t="shared" si="45"/>
        <v>100000</v>
      </c>
    </row>
    <row r="605" spans="1:11" ht="18" x14ac:dyDescent="0.2">
      <c r="A605" s="31">
        <v>40399</v>
      </c>
      <c r="B605" s="30">
        <v>0.22</v>
      </c>
      <c r="C605" s="29">
        <f t="shared" si="40"/>
        <v>0.32939999999999997</v>
      </c>
      <c r="D605" s="29">
        <f t="shared" si="42"/>
        <v>0.4147499999999999</v>
      </c>
      <c r="E605" s="29">
        <f t="shared" si="44"/>
        <v>100000</v>
      </c>
      <c r="H605" s="3">
        <v>25.05</v>
      </c>
      <c r="I605" s="29">
        <f t="shared" si="41"/>
        <v>26.916800000000009</v>
      </c>
      <c r="J605" s="29">
        <f t="shared" si="43"/>
        <v>27.204599999999996</v>
      </c>
      <c r="K605" s="29">
        <f t="shared" si="45"/>
        <v>100000</v>
      </c>
    </row>
    <row r="606" spans="1:11" ht="18" x14ac:dyDescent="0.2">
      <c r="A606" s="31">
        <v>40406</v>
      </c>
      <c r="B606" s="30">
        <v>0.23</v>
      </c>
      <c r="C606" s="29">
        <f t="shared" si="40"/>
        <v>0.32700000000000012</v>
      </c>
      <c r="D606" s="29">
        <f t="shared" si="42"/>
        <v>0.41344999999999993</v>
      </c>
      <c r="E606" s="29">
        <f t="shared" si="44"/>
        <v>100000</v>
      </c>
      <c r="H606" s="3">
        <v>24.81</v>
      </c>
      <c r="I606" s="29">
        <f t="shared" si="41"/>
        <v>26.846000000000004</v>
      </c>
      <c r="J606" s="29">
        <f t="shared" si="43"/>
        <v>27.228999999999996</v>
      </c>
      <c r="K606" s="29">
        <f t="shared" si="45"/>
        <v>100000</v>
      </c>
    </row>
    <row r="607" spans="1:11" ht="18" x14ac:dyDescent="0.2">
      <c r="A607" s="31">
        <v>40413</v>
      </c>
      <c r="B607" s="30">
        <v>0.23</v>
      </c>
      <c r="C607" s="29">
        <f t="shared" si="40"/>
        <v>0.3242000000000001</v>
      </c>
      <c r="D607" s="29">
        <f t="shared" si="42"/>
        <v>0.41214999999999996</v>
      </c>
      <c r="E607" s="29">
        <f t="shared" si="44"/>
        <v>100000</v>
      </c>
      <c r="H607" s="3">
        <v>24.45</v>
      </c>
      <c r="I607" s="29">
        <f t="shared" si="41"/>
        <v>26.771600000000003</v>
      </c>
      <c r="J607" s="29">
        <f t="shared" si="43"/>
        <v>27.250099999999996</v>
      </c>
      <c r="K607" s="29">
        <f t="shared" si="45"/>
        <v>100000</v>
      </c>
    </row>
    <row r="608" spans="1:11" ht="18" x14ac:dyDescent="0.2">
      <c r="A608" s="31">
        <v>40420</v>
      </c>
      <c r="B608" s="30">
        <v>0.23</v>
      </c>
      <c r="C608" s="29">
        <f t="shared" si="40"/>
        <v>0.32180000000000014</v>
      </c>
      <c r="D608" s="29">
        <f t="shared" si="42"/>
        <v>0.41079999999999989</v>
      </c>
      <c r="E608" s="29">
        <f t="shared" si="44"/>
        <v>100000</v>
      </c>
      <c r="H608" s="3">
        <v>26.16</v>
      </c>
      <c r="I608" s="29">
        <f t="shared" si="41"/>
        <v>26.725800000000003</v>
      </c>
      <c r="J608" s="29">
        <f t="shared" si="43"/>
        <v>27.276599999999995</v>
      </c>
      <c r="K608" s="29">
        <f t="shared" si="45"/>
        <v>100000</v>
      </c>
    </row>
    <row r="609" spans="1:11" ht="18" x14ac:dyDescent="0.2">
      <c r="A609" s="31">
        <v>40427</v>
      </c>
      <c r="B609" s="30">
        <v>0.23</v>
      </c>
      <c r="C609" s="29">
        <f t="shared" si="40"/>
        <v>0.31980000000000014</v>
      </c>
      <c r="D609" s="29">
        <f t="shared" si="42"/>
        <v>0.4093</v>
      </c>
      <c r="E609" s="29">
        <f t="shared" si="44"/>
        <v>100000</v>
      </c>
      <c r="H609" s="3">
        <v>26.56</v>
      </c>
      <c r="I609" s="29">
        <f t="shared" si="41"/>
        <v>26.637800000000002</v>
      </c>
      <c r="J609" s="29">
        <f t="shared" si="43"/>
        <v>27.301199999999998</v>
      </c>
      <c r="K609" s="29">
        <f t="shared" si="45"/>
        <v>100000</v>
      </c>
    </row>
    <row r="610" spans="1:11" ht="18" x14ac:dyDescent="0.2">
      <c r="A610" s="31">
        <v>40434</v>
      </c>
      <c r="B610" s="30">
        <v>0.24</v>
      </c>
      <c r="C610" s="29">
        <f t="shared" si="40"/>
        <v>0.31820000000000015</v>
      </c>
      <c r="D610" s="29">
        <f t="shared" si="42"/>
        <v>0.40769999999999995</v>
      </c>
      <c r="E610" s="29">
        <f t="shared" si="44"/>
        <v>100000</v>
      </c>
      <c r="H610" s="3">
        <v>26.76</v>
      </c>
      <c r="I610" s="29">
        <f t="shared" si="41"/>
        <v>26.542200000000001</v>
      </c>
      <c r="J610" s="29">
        <f t="shared" si="43"/>
        <v>27.324249999999996</v>
      </c>
      <c r="K610" s="29">
        <f t="shared" si="45"/>
        <v>100000</v>
      </c>
    </row>
    <row r="611" spans="1:11" ht="18" x14ac:dyDescent="0.2">
      <c r="A611" s="31">
        <v>40441</v>
      </c>
      <c r="B611" s="30">
        <v>0.28000000000000003</v>
      </c>
      <c r="C611" s="29">
        <f t="shared" si="40"/>
        <v>0.31740000000000013</v>
      </c>
      <c r="D611" s="29">
        <f t="shared" si="42"/>
        <v>0.40625</v>
      </c>
      <c r="E611" s="29">
        <f t="shared" si="44"/>
        <v>100000</v>
      </c>
      <c r="H611" s="3">
        <v>26.55</v>
      </c>
      <c r="I611" s="29">
        <f t="shared" si="41"/>
        <v>26.480999999999998</v>
      </c>
      <c r="J611" s="29">
        <f t="shared" si="43"/>
        <v>27.343400000000003</v>
      </c>
      <c r="K611" s="29">
        <f t="shared" si="45"/>
        <v>100000</v>
      </c>
    </row>
    <row r="612" spans="1:11" ht="18" x14ac:dyDescent="0.2">
      <c r="A612" s="31">
        <v>40448</v>
      </c>
      <c r="B612" s="30">
        <v>0.26</v>
      </c>
      <c r="C612" s="29">
        <f t="shared" si="40"/>
        <v>0.3166000000000001</v>
      </c>
      <c r="D612" s="29">
        <f t="shared" si="42"/>
        <v>0.40485000000000004</v>
      </c>
      <c r="E612" s="29">
        <f t="shared" si="44"/>
        <v>100000</v>
      </c>
      <c r="H612" s="3">
        <v>25.92</v>
      </c>
      <c r="I612" s="29">
        <f t="shared" si="41"/>
        <v>26.466799999999992</v>
      </c>
      <c r="J612" s="29">
        <f t="shared" si="43"/>
        <v>27.360100000000003</v>
      </c>
      <c r="K612" s="29">
        <f t="shared" si="45"/>
        <v>100000</v>
      </c>
    </row>
    <row r="613" spans="1:11" ht="18" x14ac:dyDescent="0.2">
      <c r="A613" s="31">
        <v>40455</v>
      </c>
      <c r="B613" s="30">
        <v>0.25</v>
      </c>
      <c r="C613" s="29">
        <f t="shared" si="40"/>
        <v>0.3156000000000001</v>
      </c>
      <c r="D613" s="29">
        <f t="shared" si="42"/>
        <v>0.40340000000000009</v>
      </c>
      <c r="E613" s="29">
        <f t="shared" si="44"/>
        <v>100000</v>
      </c>
      <c r="H613" s="3">
        <v>26.26</v>
      </c>
      <c r="I613" s="29">
        <f t="shared" si="41"/>
        <v>26.470399999999998</v>
      </c>
      <c r="J613" s="29">
        <f t="shared" si="43"/>
        <v>27.376050000000006</v>
      </c>
      <c r="K613" s="29">
        <f t="shared" si="45"/>
        <v>100000</v>
      </c>
    </row>
    <row r="614" spans="1:11" ht="18" x14ac:dyDescent="0.2">
      <c r="A614" s="31">
        <v>40462</v>
      </c>
      <c r="B614" s="30">
        <v>0.26</v>
      </c>
      <c r="C614" s="29">
        <f t="shared" si="40"/>
        <v>0.31540000000000012</v>
      </c>
      <c r="D614" s="29">
        <f t="shared" si="42"/>
        <v>0.40185000000000015</v>
      </c>
      <c r="E614" s="29">
        <f t="shared" si="44"/>
        <v>100000</v>
      </c>
      <c r="H614" s="3">
        <v>24.85</v>
      </c>
      <c r="I614" s="29">
        <f t="shared" si="41"/>
        <v>26.531799999999997</v>
      </c>
      <c r="J614" s="29">
        <f t="shared" si="43"/>
        <v>27.384550000000011</v>
      </c>
      <c r="K614" s="29">
        <f t="shared" si="45"/>
        <v>100000</v>
      </c>
    </row>
    <row r="615" spans="1:11" ht="18" x14ac:dyDescent="0.2">
      <c r="A615" s="31">
        <v>40469</v>
      </c>
      <c r="B615" s="30">
        <v>0.27</v>
      </c>
      <c r="C615" s="29">
        <f t="shared" si="40"/>
        <v>0.31480000000000014</v>
      </c>
      <c r="D615" s="29">
        <f t="shared" si="42"/>
        <v>0.40035000000000009</v>
      </c>
      <c r="E615" s="29">
        <f t="shared" si="44"/>
        <v>100000</v>
      </c>
      <c r="H615" s="3">
        <v>25.22</v>
      </c>
      <c r="I615" s="29">
        <f t="shared" si="41"/>
        <v>26.488799999999998</v>
      </c>
      <c r="J615" s="29">
        <f t="shared" si="43"/>
        <v>27.394500000000011</v>
      </c>
      <c r="K615" s="29">
        <f t="shared" si="45"/>
        <v>100000</v>
      </c>
    </row>
    <row r="616" spans="1:11" ht="18" x14ac:dyDescent="0.2">
      <c r="A616" s="31">
        <v>40476</v>
      </c>
      <c r="B616" s="30">
        <v>0.28000000000000003</v>
      </c>
      <c r="C616" s="29">
        <f t="shared" si="40"/>
        <v>0.31420000000000009</v>
      </c>
      <c r="D616" s="29">
        <f t="shared" si="42"/>
        <v>0.39890000000000014</v>
      </c>
      <c r="E616" s="29">
        <f t="shared" si="44"/>
        <v>100000</v>
      </c>
      <c r="H616" s="3">
        <v>25.17</v>
      </c>
      <c r="I616" s="29">
        <f t="shared" si="41"/>
        <v>26.498999999999995</v>
      </c>
      <c r="J616" s="29">
        <f t="shared" si="43"/>
        <v>27.402250000000013</v>
      </c>
      <c r="K616" s="29">
        <f t="shared" si="45"/>
        <v>100000</v>
      </c>
    </row>
    <row r="617" spans="1:11" ht="18" x14ac:dyDescent="0.2">
      <c r="A617" s="31">
        <v>40483</v>
      </c>
      <c r="B617" s="30">
        <v>0.28999999999999998</v>
      </c>
      <c r="C617" s="29">
        <f t="shared" si="40"/>
        <v>0.31400000000000006</v>
      </c>
      <c r="D617" s="29">
        <f t="shared" si="42"/>
        <v>0.39780000000000015</v>
      </c>
      <c r="E617" s="29">
        <f t="shared" si="44"/>
        <v>100000</v>
      </c>
      <c r="H617" s="3">
        <v>27.38</v>
      </c>
      <c r="I617" s="29">
        <f t="shared" si="41"/>
        <v>26.551199999999998</v>
      </c>
      <c r="J617" s="29">
        <f t="shared" si="43"/>
        <v>27.419800000000013</v>
      </c>
      <c r="K617" s="29">
        <f t="shared" si="45"/>
        <v>100000</v>
      </c>
    </row>
    <row r="618" spans="1:11" ht="18" x14ac:dyDescent="0.2">
      <c r="A618" s="31">
        <v>40490</v>
      </c>
      <c r="B618" s="30">
        <v>0.3</v>
      </c>
      <c r="C618" s="29">
        <f t="shared" si="40"/>
        <v>0.31420000000000003</v>
      </c>
      <c r="D618" s="29">
        <f t="shared" si="42"/>
        <v>0.39660000000000017</v>
      </c>
      <c r="E618" s="29">
        <f t="shared" si="44"/>
        <v>100000</v>
      </c>
      <c r="H618" s="3">
        <v>26.49</v>
      </c>
      <c r="I618" s="29">
        <f t="shared" si="41"/>
        <v>26.801399999999997</v>
      </c>
      <c r="J618" s="29">
        <f t="shared" si="43"/>
        <v>27.434450000000012</v>
      </c>
      <c r="K618" s="29">
        <f t="shared" si="45"/>
        <v>100000</v>
      </c>
    </row>
    <row r="619" spans="1:11" ht="18" x14ac:dyDescent="0.2">
      <c r="A619" s="31">
        <v>40497</v>
      </c>
      <c r="B619" s="30">
        <v>0.32</v>
      </c>
      <c r="C619" s="29">
        <f t="shared" si="40"/>
        <v>0.31400000000000006</v>
      </c>
      <c r="D619" s="29">
        <f t="shared" si="42"/>
        <v>0.3957500000000001</v>
      </c>
      <c r="E619" s="29">
        <f t="shared" si="44"/>
        <v>100000</v>
      </c>
      <c r="H619" s="3">
        <v>26.36</v>
      </c>
      <c r="I619" s="29">
        <f t="shared" si="41"/>
        <v>26.916800000000002</v>
      </c>
      <c r="J619" s="29">
        <f t="shared" si="43"/>
        <v>27.447450000000014</v>
      </c>
      <c r="K619" s="29">
        <f t="shared" si="45"/>
        <v>100000</v>
      </c>
    </row>
    <row r="620" spans="1:11" ht="18" x14ac:dyDescent="0.2">
      <c r="A620" s="31">
        <v>40504</v>
      </c>
      <c r="B620" s="30">
        <v>0.31</v>
      </c>
      <c r="C620" s="29">
        <f t="shared" si="40"/>
        <v>0.31320000000000003</v>
      </c>
      <c r="D620" s="29">
        <f t="shared" si="42"/>
        <v>0.39490000000000014</v>
      </c>
      <c r="E620" s="29">
        <f t="shared" si="44"/>
        <v>100000</v>
      </c>
      <c r="H620" s="3">
        <v>25.08</v>
      </c>
      <c r="I620" s="29">
        <f t="shared" si="41"/>
        <v>26.943799999999996</v>
      </c>
      <c r="J620" s="29">
        <f t="shared" si="43"/>
        <v>27.453350000000004</v>
      </c>
      <c r="K620" s="29">
        <f t="shared" si="45"/>
        <v>100000</v>
      </c>
    </row>
    <row r="621" spans="1:11" ht="18" x14ac:dyDescent="0.2">
      <c r="A621" s="31">
        <v>40511</v>
      </c>
      <c r="B621" s="30">
        <v>0.34</v>
      </c>
      <c r="C621" s="29">
        <f t="shared" si="40"/>
        <v>0.31220000000000003</v>
      </c>
      <c r="D621" s="29">
        <f t="shared" si="42"/>
        <v>0.39415000000000022</v>
      </c>
      <c r="E621" s="29">
        <f t="shared" si="44"/>
        <v>100000</v>
      </c>
      <c r="H621" s="3">
        <v>26.49</v>
      </c>
      <c r="I621" s="29">
        <f t="shared" si="41"/>
        <v>26.900199999999995</v>
      </c>
      <c r="J621" s="29">
        <f t="shared" si="43"/>
        <v>27.471900000000005</v>
      </c>
      <c r="K621" s="29">
        <f t="shared" si="45"/>
        <v>100000</v>
      </c>
    </row>
    <row r="622" spans="1:11" ht="18" x14ac:dyDescent="0.2">
      <c r="A622" s="31">
        <v>40518</v>
      </c>
      <c r="B622" s="30">
        <v>0.34</v>
      </c>
      <c r="C622" s="29">
        <f t="shared" si="40"/>
        <v>0.31080000000000008</v>
      </c>
      <c r="D622" s="29">
        <f t="shared" si="42"/>
        <v>0.39335000000000014</v>
      </c>
      <c r="E622" s="29">
        <f t="shared" si="44"/>
        <v>100000</v>
      </c>
      <c r="H622" s="3">
        <v>27.71</v>
      </c>
      <c r="I622" s="29">
        <f t="shared" si="41"/>
        <v>26.884999999999994</v>
      </c>
      <c r="J622" s="29">
        <f t="shared" si="43"/>
        <v>27.491450000000004</v>
      </c>
      <c r="K622" s="29">
        <f t="shared" si="45"/>
        <v>100000</v>
      </c>
    </row>
    <row r="623" spans="1:11" ht="18" x14ac:dyDescent="0.2">
      <c r="A623" s="31">
        <v>40525</v>
      </c>
      <c r="B623" s="30">
        <v>0.33</v>
      </c>
      <c r="C623" s="29">
        <f t="shared" si="40"/>
        <v>0.30880000000000007</v>
      </c>
      <c r="D623" s="29">
        <f t="shared" si="42"/>
        <v>0.39250000000000013</v>
      </c>
      <c r="E623" s="29">
        <f t="shared" si="44"/>
        <v>100000</v>
      </c>
      <c r="H623" s="3">
        <v>26.53</v>
      </c>
      <c r="I623" s="29">
        <f t="shared" si="41"/>
        <v>26.881599999999999</v>
      </c>
      <c r="J623" s="29">
        <f t="shared" si="43"/>
        <v>27.505750000000006</v>
      </c>
      <c r="K623" s="29">
        <f t="shared" si="45"/>
        <v>100000</v>
      </c>
    </row>
    <row r="624" spans="1:11" ht="18" x14ac:dyDescent="0.2">
      <c r="A624" s="31">
        <v>40532</v>
      </c>
      <c r="B624" s="30">
        <v>0.34</v>
      </c>
      <c r="C624" s="29">
        <f t="shared" si="40"/>
        <v>0.30700000000000005</v>
      </c>
      <c r="D624" s="29">
        <f t="shared" si="42"/>
        <v>0.39170000000000021</v>
      </c>
      <c r="E624" s="29">
        <f t="shared" si="44"/>
        <v>100000</v>
      </c>
      <c r="H624" s="3">
        <v>28.15</v>
      </c>
      <c r="I624" s="29">
        <f t="shared" si="41"/>
        <v>26.857599999999994</v>
      </c>
      <c r="J624" s="29">
        <f t="shared" si="43"/>
        <v>27.527000000000001</v>
      </c>
      <c r="K624" s="29">
        <f t="shared" si="45"/>
        <v>100000</v>
      </c>
    </row>
    <row r="625" spans="1:11" ht="18" x14ac:dyDescent="0.2">
      <c r="A625" s="31">
        <v>40539</v>
      </c>
      <c r="B625" s="30">
        <v>0.35</v>
      </c>
      <c r="C625" s="29">
        <f t="shared" si="40"/>
        <v>0.30620000000000003</v>
      </c>
      <c r="D625" s="29">
        <f t="shared" si="42"/>
        <v>0.39120000000000021</v>
      </c>
      <c r="E625" s="29">
        <f t="shared" si="44"/>
        <v>100000</v>
      </c>
      <c r="H625" s="3">
        <v>28.37</v>
      </c>
      <c r="I625" s="29">
        <f t="shared" si="41"/>
        <v>26.825799999999994</v>
      </c>
      <c r="J625" s="29">
        <f t="shared" si="43"/>
        <v>27.546750000000003</v>
      </c>
      <c r="K625" s="29">
        <f t="shared" si="45"/>
        <v>100000</v>
      </c>
    </row>
    <row r="626" spans="1:11" ht="18" x14ac:dyDescent="0.2">
      <c r="A626" s="31">
        <v>40546</v>
      </c>
      <c r="B626" s="30">
        <v>0.46</v>
      </c>
      <c r="C626" s="29">
        <f t="shared" si="40"/>
        <v>0.30780000000000007</v>
      </c>
      <c r="D626" s="29">
        <f t="shared" si="42"/>
        <v>0.39115000000000016</v>
      </c>
      <c r="E626" s="29">
        <f t="shared" si="44"/>
        <v>100000</v>
      </c>
      <c r="H626" s="3">
        <v>29.19</v>
      </c>
      <c r="I626" s="29">
        <f t="shared" si="41"/>
        <v>26.810999999999993</v>
      </c>
      <c r="J626" s="29">
        <f t="shared" si="43"/>
        <v>27.56795</v>
      </c>
      <c r="K626" s="29">
        <f t="shared" si="45"/>
        <v>100000</v>
      </c>
    </row>
    <row r="627" spans="1:11" ht="18" x14ac:dyDescent="0.2">
      <c r="A627" s="31">
        <v>40553</v>
      </c>
      <c r="B627" s="30">
        <v>0.54</v>
      </c>
      <c r="C627" s="29">
        <f t="shared" ref="C627:C690" si="46">AVERAGE(B578:B627)</f>
        <v>0.3116000000000001</v>
      </c>
      <c r="D627" s="29">
        <f t="shared" si="42"/>
        <v>0.39170000000000021</v>
      </c>
      <c r="E627" s="29">
        <f t="shared" si="44"/>
        <v>100000</v>
      </c>
      <c r="H627" s="3">
        <v>30.07</v>
      </c>
      <c r="I627" s="29">
        <f t="shared" si="41"/>
        <v>26.872999999999994</v>
      </c>
      <c r="J627" s="29">
        <f t="shared" si="43"/>
        <v>27.593800000000002</v>
      </c>
      <c r="K627" s="29">
        <f t="shared" si="45"/>
        <v>100000</v>
      </c>
    </row>
    <row r="628" spans="1:11" ht="18" x14ac:dyDescent="0.2">
      <c r="A628" s="31">
        <v>40560</v>
      </c>
      <c r="B628" s="30">
        <v>0.51</v>
      </c>
      <c r="C628" s="29">
        <f t="shared" si="46"/>
        <v>0.31440000000000007</v>
      </c>
      <c r="D628" s="29">
        <f t="shared" si="42"/>
        <v>0.39195000000000024</v>
      </c>
      <c r="E628" s="29">
        <f t="shared" si="44"/>
        <v>100000</v>
      </c>
      <c r="H628" s="3">
        <v>30.33</v>
      </c>
      <c r="I628" s="29">
        <f t="shared" ref="I628:I691" si="47">AVERAGE(H578:H627)</f>
        <v>26.95539999999999</v>
      </c>
      <c r="J628" s="29">
        <f t="shared" si="43"/>
        <v>27.622299999999999</v>
      </c>
      <c r="K628" s="29">
        <f t="shared" si="45"/>
        <v>100000</v>
      </c>
    </row>
    <row r="629" spans="1:11" ht="18" x14ac:dyDescent="0.2">
      <c r="A629" s="31">
        <v>40567</v>
      </c>
      <c r="B629" s="30">
        <v>0.54</v>
      </c>
      <c r="C629" s="29">
        <f t="shared" si="46"/>
        <v>0.31720000000000004</v>
      </c>
      <c r="D629" s="29">
        <f t="shared" si="42"/>
        <v>0.39245000000000019</v>
      </c>
      <c r="E629" s="29">
        <f t="shared" si="44"/>
        <v>100000</v>
      </c>
      <c r="H629" s="3">
        <v>29.82</v>
      </c>
      <c r="I629" s="29">
        <f t="shared" si="47"/>
        <v>27.05159999999999</v>
      </c>
      <c r="J629" s="29">
        <f t="shared" si="43"/>
        <v>27.647450000000003</v>
      </c>
      <c r="K629" s="29">
        <f t="shared" si="45"/>
        <v>100000</v>
      </c>
    </row>
    <row r="630" spans="1:11" ht="18" x14ac:dyDescent="0.2">
      <c r="A630" s="31">
        <v>40574</v>
      </c>
      <c r="B630" s="30">
        <v>0.59</v>
      </c>
      <c r="C630" s="29">
        <f t="shared" si="46"/>
        <v>0.32140000000000007</v>
      </c>
      <c r="D630" s="29">
        <f t="shared" si="42"/>
        <v>0.39305000000000012</v>
      </c>
      <c r="E630" s="29">
        <f t="shared" si="44"/>
        <v>100000</v>
      </c>
      <c r="H630" s="3">
        <v>29.86</v>
      </c>
      <c r="I630" s="29">
        <f t="shared" si="47"/>
        <v>27.128999999999987</v>
      </c>
      <c r="J630" s="29">
        <f t="shared" si="43"/>
        <v>27.6707</v>
      </c>
      <c r="K630" s="29">
        <f t="shared" si="45"/>
        <v>100000</v>
      </c>
    </row>
    <row r="631" spans="1:11" ht="18" x14ac:dyDescent="0.2">
      <c r="A631" s="31">
        <v>40581</v>
      </c>
      <c r="B631" s="30">
        <v>0.54</v>
      </c>
      <c r="C631" s="29">
        <f t="shared" si="46"/>
        <v>0.32480000000000003</v>
      </c>
      <c r="D631" s="29">
        <f t="shared" si="42"/>
        <v>0.39340000000000019</v>
      </c>
      <c r="E631" s="29">
        <f t="shared" si="44"/>
        <v>100000</v>
      </c>
      <c r="H631" s="3">
        <v>31.18</v>
      </c>
      <c r="I631" s="29">
        <f t="shared" si="47"/>
        <v>27.192799999999988</v>
      </c>
      <c r="J631" s="29">
        <f t="shared" si="43"/>
        <v>27.70195</v>
      </c>
      <c r="K631" s="29">
        <f t="shared" si="45"/>
        <v>100000</v>
      </c>
    </row>
    <row r="632" spans="1:11" ht="18" x14ac:dyDescent="0.2">
      <c r="A632" s="31">
        <v>40588</v>
      </c>
      <c r="B632" s="30">
        <v>0.59</v>
      </c>
      <c r="C632" s="29">
        <f t="shared" si="46"/>
        <v>0.32880000000000004</v>
      </c>
      <c r="D632" s="29">
        <f t="shared" si="42"/>
        <v>0.39390000000000014</v>
      </c>
      <c r="E632" s="29">
        <f t="shared" si="44"/>
        <v>100000</v>
      </c>
      <c r="H632" s="3">
        <v>32.14</v>
      </c>
      <c r="I632" s="29">
        <f t="shared" si="47"/>
        <v>27.256999999999991</v>
      </c>
      <c r="J632" s="29">
        <f t="shared" si="43"/>
        <v>27.737800000000004</v>
      </c>
      <c r="K632" s="29">
        <f t="shared" si="45"/>
        <v>100000</v>
      </c>
    </row>
    <row r="633" spans="1:11" ht="18" x14ac:dyDescent="0.2">
      <c r="A633" s="31">
        <v>40595</v>
      </c>
      <c r="B633" s="30">
        <v>0.53</v>
      </c>
      <c r="C633" s="29">
        <f t="shared" si="46"/>
        <v>0.33140000000000003</v>
      </c>
      <c r="D633" s="29">
        <f t="shared" si="42"/>
        <v>0.39400000000000013</v>
      </c>
      <c r="E633" s="29">
        <f t="shared" si="44"/>
        <v>100000</v>
      </c>
      <c r="H633" s="3">
        <v>31.26</v>
      </c>
      <c r="I633" s="29">
        <f t="shared" si="47"/>
        <v>27.329199999999993</v>
      </c>
      <c r="J633" s="29">
        <f t="shared" si="43"/>
        <v>27.766750000000002</v>
      </c>
      <c r="K633" s="29">
        <f t="shared" si="45"/>
        <v>100000</v>
      </c>
    </row>
    <row r="634" spans="1:11" ht="18" x14ac:dyDescent="0.2">
      <c r="A634" s="31">
        <v>40602</v>
      </c>
      <c r="B634" s="30">
        <v>0.48</v>
      </c>
      <c r="C634" s="29">
        <f t="shared" si="46"/>
        <v>0.33300000000000013</v>
      </c>
      <c r="D634" s="29">
        <f t="shared" si="42"/>
        <v>0.39380000000000026</v>
      </c>
      <c r="E634" s="29">
        <f t="shared" si="44"/>
        <v>100000</v>
      </c>
      <c r="H634" s="3">
        <v>30.48</v>
      </c>
      <c r="I634" s="29">
        <f t="shared" si="47"/>
        <v>27.37939999999999</v>
      </c>
      <c r="J634" s="29">
        <f t="shared" si="43"/>
        <v>27.790849999999999</v>
      </c>
      <c r="K634" s="29">
        <f t="shared" si="45"/>
        <v>100000</v>
      </c>
    </row>
    <row r="635" spans="1:11" ht="18" x14ac:dyDescent="0.2">
      <c r="A635" s="31">
        <v>40609</v>
      </c>
      <c r="B635" s="30">
        <v>0.41</v>
      </c>
      <c r="C635" s="29">
        <f t="shared" si="46"/>
        <v>0.3332</v>
      </c>
      <c r="D635" s="29">
        <f t="shared" si="42"/>
        <v>0.39315000000000028</v>
      </c>
      <c r="E635" s="29">
        <f t="shared" si="44"/>
        <v>100000</v>
      </c>
      <c r="H635" s="3">
        <v>30.63</v>
      </c>
      <c r="I635" s="29">
        <f t="shared" si="47"/>
        <v>27.409999999999997</v>
      </c>
      <c r="J635" s="29">
        <f t="shared" si="43"/>
        <v>27.806999999999999</v>
      </c>
      <c r="K635" s="29">
        <f t="shared" si="45"/>
        <v>100000</v>
      </c>
    </row>
    <row r="636" spans="1:11" ht="18" x14ac:dyDescent="0.2">
      <c r="A636" s="31">
        <v>40616</v>
      </c>
      <c r="B636" s="30">
        <v>0.4</v>
      </c>
      <c r="C636" s="29">
        <f t="shared" si="46"/>
        <v>0.33339999999999997</v>
      </c>
      <c r="D636" s="29">
        <f t="shared" si="42"/>
        <v>0.39245000000000024</v>
      </c>
      <c r="E636" s="29">
        <f t="shared" si="44"/>
        <v>100000</v>
      </c>
      <c r="H636" s="3">
        <v>30.63</v>
      </c>
      <c r="I636" s="29">
        <f t="shared" si="47"/>
        <v>27.422599999999999</v>
      </c>
      <c r="J636" s="29">
        <f t="shared" si="43"/>
        <v>27.81935</v>
      </c>
      <c r="K636" s="29">
        <f t="shared" si="45"/>
        <v>100000</v>
      </c>
    </row>
    <row r="637" spans="1:11" ht="18" x14ac:dyDescent="0.2">
      <c r="A637" s="31">
        <v>40623</v>
      </c>
      <c r="B637" s="30">
        <v>0.43</v>
      </c>
      <c r="C637" s="29">
        <f t="shared" si="46"/>
        <v>0.33420000000000011</v>
      </c>
      <c r="D637" s="29">
        <f t="shared" si="42"/>
        <v>0.39205000000000029</v>
      </c>
      <c r="E637" s="29">
        <f t="shared" si="44"/>
        <v>100000</v>
      </c>
      <c r="H637" s="3">
        <v>30.71</v>
      </c>
      <c r="I637" s="29">
        <f t="shared" si="47"/>
        <v>27.433200000000003</v>
      </c>
      <c r="J637" s="29">
        <f t="shared" si="43"/>
        <v>27.839099999999998</v>
      </c>
      <c r="K637" s="29">
        <f t="shared" si="45"/>
        <v>100000</v>
      </c>
    </row>
    <row r="638" spans="1:11" ht="18" x14ac:dyDescent="0.2">
      <c r="A638" s="31">
        <v>40630</v>
      </c>
      <c r="B638" s="30">
        <v>0.42</v>
      </c>
      <c r="C638" s="29">
        <f t="shared" si="46"/>
        <v>0.33480000000000004</v>
      </c>
      <c r="D638" s="29">
        <f t="shared" si="42"/>
        <v>0.39150000000000029</v>
      </c>
      <c r="E638" s="29">
        <f t="shared" si="44"/>
        <v>100000</v>
      </c>
      <c r="H638" s="3">
        <v>31.04</v>
      </c>
      <c r="I638" s="29">
        <f t="shared" si="47"/>
        <v>27.434000000000001</v>
      </c>
      <c r="J638" s="29">
        <f t="shared" si="43"/>
        <v>27.86525</v>
      </c>
      <c r="K638" s="29">
        <f t="shared" si="45"/>
        <v>100000</v>
      </c>
    </row>
    <row r="639" spans="1:11" ht="18" x14ac:dyDescent="0.2">
      <c r="A639" s="31">
        <v>40637</v>
      </c>
      <c r="B639" s="30">
        <v>0.4</v>
      </c>
      <c r="C639" s="29">
        <f t="shared" si="46"/>
        <v>0.33520000000000005</v>
      </c>
      <c r="D639" s="29">
        <f t="shared" si="42"/>
        <v>0.39070000000000027</v>
      </c>
      <c r="E639" s="29">
        <f t="shared" si="44"/>
        <v>100000</v>
      </c>
      <c r="H639" s="3">
        <v>31.36</v>
      </c>
      <c r="I639" s="29">
        <f t="shared" si="47"/>
        <v>27.447000000000003</v>
      </c>
      <c r="J639" s="29">
        <f t="shared" si="43"/>
        <v>27.891549999999992</v>
      </c>
      <c r="K639" s="29">
        <f t="shared" si="45"/>
        <v>100000</v>
      </c>
    </row>
    <row r="640" spans="1:11" ht="18" x14ac:dyDescent="0.2">
      <c r="A640" s="31">
        <v>40644</v>
      </c>
      <c r="B640" s="30">
        <v>0.43</v>
      </c>
      <c r="C640" s="29">
        <f t="shared" si="46"/>
        <v>0.33660000000000001</v>
      </c>
      <c r="D640" s="29">
        <f t="shared" si="42"/>
        <v>0.38985000000000036</v>
      </c>
      <c r="E640" s="29">
        <f t="shared" si="44"/>
        <v>100000</v>
      </c>
      <c r="H640" s="3">
        <v>30.22</v>
      </c>
      <c r="I640" s="29">
        <f t="shared" si="47"/>
        <v>27.474600000000006</v>
      </c>
      <c r="J640" s="29">
        <f t="shared" si="43"/>
        <v>27.910399999999996</v>
      </c>
      <c r="K640" s="29">
        <f t="shared" si="45"/>
        <v>100000</v>
      </c>
    </row>
    <row r="641" spans="1:11" ht="18" x14ac:dyDescent="0.2">
      <c r="A641" s="31">
        <v>40651</v>
      </c>
      <c r="B641" s="30">
        <v>0.42</v>
      </c>
      <c r="C641" s="29">
        <f t="shared" si="46"/>
        <v>0.33860000000000007</v>
      </c>
      <c r="D641" s="29">
        <f t="shared" si="42"/>
        <v>0.38860000000000045</v>
      </c>
      <c r="E641" s="29">
        <f t="shared" si="44"/>
        <v>100000</v>
      </c>
      <c r="H641" s="3">
        <v>30.08</v>
      </c>
      <c r="I641" s="29">
        <f t="shared" si="47"/>
        <v>27.51100000000001</v>
      </c>
      <c r="J641" s="29">
        <f t="shared" si="43"/>
        <v>27.933699999999995</v>
      </c>
      <c r="K641" s="29">
        <f t="shared" si="45"/>
        <v>100000</v>
      </c>
    </row>
    <row r="642" spans="1:11" ht="18" x14ac:dyDescent="0.2">
      <c r="A642" s="31">
        <v>40658</v>
      </c>
      <c r="B642" s="30">
        <v>0.46</v>
      </c>
      <c r="C642" s="29">
        <f t="shared" si="46"/>
        <v>0.34180000000000005</v>
      </c>
      <c r="D642" s="29">
        <f t="shared" si="42"/>
        <v>0.38775000000000032</v>
      </c>
      <c r="E642" s="29">
        <f t="shared" si="44"/>
        <v>100000</v>
      </c>
      <c r="H642" s="3">
        <v>30.72</v>
      </c>
      <c r="I642" s="29">
        <f t="shared" si="47"/>
        <v>27.56880000000001</v>
      </c>
      <c r="J642" s="29">
        <f t="shared" si="43"/>
        <v>27.966099999999994</v>
      </c>
      <c r="K642" s="29">
        <f t="shared" si="45"/>
        <v>100000</v>
      </c>
    </row>
    <row r="643" spans="1:11" ht="18" x14ac:dyDescent="0.2">
      <c r="A643" s="31">
        <v>40665</v>
      </c>
      <c r="B643" s="30">
        <v>0.44</v>
      </c>
      <c r="C643" s="29">
        <f t="shared" si="46"/>
        <v>0.34480000000000011</v>
      </c>
      <c r="D643" s="29">
        <f t="shared" si="42"/>
        <v>0.38660000000000028</v>
      </c>
      <c r="E643" s="29">
        <f t="shared" si="44"/>
        <v>100000</v>
      </c>
      <c r="H643" s="3">
        <v>30.32</v>
      </c>
      <c r="I643" s="29">
        <f t="shared" si="47"/>
        <v>27.651000000000007</v>
      </c>
      <c r="J643" s="29">
        <f t="shared" si="43"/>
        <v>27.994349999999994</v>
      </c>
      <c r="K643" s="29">
        <f t="shared" si="45"/>
        <v>100000</v>
      </c>
    </row>
    <row r="644" spans="1:11" ht="18" x14ac:dyDescent="0.2">
      <c r="A644" s="31">
        <v>40672</v>
      </c>
      <c r="B644" s="30">
        <v>0.42</v>
      </c>
      <c r="C644" s="29">
        <f t="shared" si="46"/>
        <v>0.34720000000000012</v>
      </c>
      <c r="D644" s="29">
        <f t="shared" si="42"/>
        <v>0.38520000000000026</v>
      </c>
      <c r="E644" s="29">
        <f t="shared" si="44"/>
        <v>100000</v>
      </c>
      <c r="H644" s="3">
        <v>29.05</v>
      </c>
      <c r="I644" s="29">
        <f t="shared" si="47"/>
        <v>27.723000000000006</v>
      </c>
      <c r="J644" s="29">
        <f t="shared" si="43"/>
        <v>28.01285</v>
      </c>
      <c r="K644" s="29">
        <f t="shared" si="45"/>
        <v>100000</v>
      </c>
    </row>
    <row r="645" spans="1:11" ht="18" x14ac:dyDescent="0.2">
      <c r="A645" s="31">
        <v>40679</v>
      </c>
      <c r="B645" s="30">
        <v>0.41</v>
      </c>
      <c r="C645" s="29">
        <f t="shared" si="46"/>
        <v>0.34980000000000006</v>
      </c>
      <c r="D645" s="29">
        <f t="shared" si="42"/>
        <v>0.38380000000000014</v>
      </c>
      <c r="E645" s="29">
        <f t="shared" si="44"/>
        <v>100000</v>
      </c>
      <c r="H645" s="3">
        <v>29.04</v>
      </c>
      <c r="I645" s="29">
        <f t="shared" si="47"/>
        <v>27.776000000000007</v>
      </c>
      <c r="J645" s="29">
        <f t="shared" si="43"/>
        <v>28.030050000000003</v>
      </c>
      <c r="K645" s="29">
        <f t="shared" si="45"/>
        <v>100000</v>
      </c>
    </row>
    <row r="646" spans="1:11" ht="18" x14ac:dyDescent="0.2">
      <c r="A646" s="31">
        <v>40686</v>
      </c>
      <c r="B646" s="30">
        <v>0.45</v>
      </c>
      <c r="C646" s="29">
        <f t="shared" si="46"/>
        <v>0.35340000000000005</v>
      </c>
      <c r="D646" s="29">
        <f t="shared" si="42"/>
        <v>0.38265000000000021</v>
      </c>
      <c r="E646" s="29">
        <f t="shared" si="44"/>
        <v>100000</v>
      </c>
      <c r="H646" s="3">
        <v>28.81</v>
      </c>
      <c r="I646" s="29">
        <f t="shared" si="47"/>
        <v>27.854800000000004</v>
      </c>
      <c r="J646" s="29">
        <f t="shared" si="43"/>
        <v>28.049650000000007</v>
      </c>
      <c r="K646" s="29">
        <f t="shared" si="45"/>
        <v>100000</v>
      </c>
    </row>
    <row r="647" spans="1:11" ht="18" x14ac:dyDescent="0.2">
      <c r="A647" s="31">
        <v>40693</v>
      </c>
      <c r="B647" s="30">
        <v>0.42</v>
      </c>
      <c r="C647" s="29">
        <f t="shared" si="46"/>
        <v>0.35620000000000007</v>
      </c>
      <c r="D647" s="29">
        <f t="shared" si="42"/>
        <v>0.38150000000000028</v>
      </c>
      <c r="E647" s="29">
        <f t="shared" si="44"/>
        <v>100000</v>
      </c>
      <c r="H647" s="3">
        <v>27.99</v>
      </c>
      <c r="I647" s="29">
        <f t="shared" si="47"/>
        <v>27.922800000000002</v>
      </c>
      <c r="J647" s="29">
        <f t="shared" si="43"/>
        <v>28.058300000000003</v>
      </c>
      <c r="K647" s="29">
        <f t="shared" si="45"/>
        <v>100000</v>
      </c>
    </row>
    <row r="648" spans="1:11" ht="18" x14ac:dyDescent="0.2">
      <c r="A648" s="31">
        <v>40700</v>
      </c>
      <c r="B648" s="30">
        <v>0.39</v>
      </c>
      <c r="C648" s="29">
        <f t="shared" si="46"/>
        <v>0.35900000000000004</v>
      </c>
      <c r="D648" s="29">
        <f t="shared" si="42"/>
        <v>0.38010000000000027</v>
      </c>
      <c r="E648" s="29">
        <f t="shared" si="44"/>
        <v>100000</v>
      </c>
      <c r="H648" s="3">
        <v>27.64</v>
      </c>
      <c r="I648" s="29">
        <f t="shared" si="47"/>
        <v>27.959800000000005</v>
      </c>
      <c r="J648" s="29">
        <f t="shared" si="43"/>
        <v>28.058100000000003</v>
      </c>
      <c r="K648" s="29">
        <f t="shared" si="45"/>
        <v>100000</v>
      </c>
    </row>
    <row r="649" spans="1:11" ht="18" x14ac:dyDescent="0.2">
      <c r="A649" s="31">
        <v>40707</v>
      </c>
      <c r="B649" s="30">
        <v>0.36</v>
      </c>
      <c r="C649" s="29">
        <f t="shared" si="46"/>
        <v>0.36160000000000003</v>
      </c>
      <c r="D649" s="29">
        <f t="shared" ref="D649:D712" si="48">AVERAGE(B450:B649)</f>
        <v>0.37845000000000018</v>
      </c>
      <c r="E649" s="29">
        <f t="shared" si="44"/>
        <v>100000</v>
      </c>
      <c r="H649" s="3">
        <v>27.47</v>
      </c>
      <c r="I649" s="29">
        <f t="shared" si="47"/>
        <v>27.9864</v>
      </c>
      <c r="J649" s="29">
        <f t="shared" ref="J649:J712" si="49">AVERAGE(H450:H649)</f>
        <v>28.058150000000005</v>
      </c>
      <c r="K649" s="29">
        <f t="shared" si="45"/>
        <v>100000</v>
      </c>
    </row>
    <row r="650" spans="1:11" ht="18" x14ac:dyDescent="0.2">
      <c r="A650" s="31">
        <v>40714</v>
      </c>
      <c r="B650" s="30">
        <v>0.36</v>
      </c>
      <c r="C650" s="29">
        <f t="shared" si="46"/>
        <v>0.36399999999999993</v>
      </c>
      <c r="D650" s="29">
        <f t="shared" si="48"/>
        <v>0.37655000000000027</v>
      </c>
      <c r="E650" s="29">
        <f t="shared" ref="E650:E713" si="50">IF( C650&gt;D650,E649*B650/B649,100000)</f>
        <v>100000</v>
      </c>
      <c r="H650" s="3">
        <v>26.59</v>
      </c>
      <c r="I650" s="29">
        <f t="shared" si="47"/>
        <v>28.057799999999997</v>
      </c>
      <c r="J650" s="29">
        <f t="shared" si="49"/>
        <v>28.057400000000001</v>
      </c>
      <c r="K650" s="29">
        <f t="shared" ref="K650:K713" si="51">IF(I650&gt;J650,K649*H650/H649,100000)</f>
        <v>96796.505278485623</v>
      </c>
    </row>
    <row r="651" spans="1:11" ht="18" x14ac:dyDescent="0.2">
      <c r="A651" s="31">
        <v>40721</v>
      </c>
      <c r="B651" s="30">
        <v>0.37</v>
      </c>
      <c r="C651" s="29">
        <f t="shared" si="46"/>
        <v>0.36680000000000001</v>
      </c>
      <c r="D651" s="29">
        <f t="shared" si="48"/>
        <v>0.37450000000000033</v>
      </c>
      <c r="E651" s="29">
        <f t="shared" si="50"/>
        <v>100000</v>
      </c>
      <c r="H651" s="3">
        <v>27.99</v>
      </c>
      <c r="I651" s="29">
        <f t="shared" si="47"/>
        <v>28.070599999999999</v>
      </c>
      <c r="J651" s="29">
        <f t="shared" si="49"/>
        <v>28.058249999999997</v>
      </c>
      <c r="K651" s="29">
        <f t="shared" si="51"/>
        <v>101892.97415362213</v>
      </c>
    </row>
    <row r="652" spans="1:11" ht="18" x14ac:dyDescent="0.2">
      <c r="A652" s="31">
        <v>40728</v>
      </c>
      <c r="B652" s="30">
        <v>0.35</v>
      </c>
      <c r="C652" s="29">
        <f t="shared" si="46"/>
        <v>0.36900000000000005</v>
      </c>
      <c r="D652" s="29">
        <f t="shared" si="48"/>
        <v>0.37240000000000018</v>
      </c>
      <c r="E652" s="29">
        <f t="shared" si="50"/>
        <v>100000</v>
      </c>
      <c r="H652" s="3">
        <v>27.6</v>
      </c>
      <c r="I652" s="29">
        <f t="shared" si="47"/>
        <v>28.109400000000001</v>
      </c>
      <c r="J652" s="29">
        <f t="shared" si="49"/>
        <v>28.057749999999995</v>
      </c>
      <c r="K652" s="29">
        <f t="shared" si="51"/>
        <v>100473.24353840554</v>
      </c>
    </row>
    <row r="653" spans="1:11" ht="18" x14ac:dyDescent="0.2">
      <c r="A653" s="31">
        <v>40735</v>
      </c>
      <c r="B653" s="30">
        <v>0.32</v>
      </c>
      <c r="C653" s="29">
        <f t="shared" si="46"/>
        <v>0.37119999999999997</v>
      </c>
      <c r="D653" s="29">
        <f t="shared" si="48"/>
        <v>0.37030000000000007</v>
      </c>
      <c r="E653" s="29">
        <f t="shared" si="50"/>
        <v>91428.571428571435</v>
      </c>
      <c r="H653" s="3">
        <v>27.08</v>
      </c>
      <c r="I653" s="29">
        <f t="shared" si="47"/>
        <v>28.129199999999997</v>
      </c>
      <c r="J653" s="29">
        <f t="shared" si="49"/>
        <v>28.053999999999995</v>
      </c>
      <c r="K653" s="29">
        <f t="shared" si="51"/>
        <v>98580.269384783402</v>
      </c>
    </row>
    <row r="654" spans="1:11" ht="18" x14ac:dyDescent="0.2">
      <c r="A654" s="31">
        <v>40742</v>
      </c>
      <c r="B654" s="30">
        <v>0.34</v>
      </c>
      <c r="C654" s="29">
        <f t="shared" si="46"/>
        <v>0.37359999999999999</v>
      </c>
      <c r="D654" s="29">
        <f t="shared" si="48"/>
        <v>0.36805000000000015</v>
      </c>
      <c r="E654" s="29">
        <f t="shared" si="50"/>
        <v>97142.857142857159</v>
      </c>
      <c r="H654" s="3">
        <v>28.58</v>
      </c>
      <c r="I654" s="29">
        <f t="shared" si="47"/>
        <v>28.132599999999996</v>
      </c>
      <c r="J654" s="29">
        <f t="shared" si="49"/>
        <v>28.059149999999999</v>
      </c>
      <c r="K654" s="29">
        <f t="shared" si="51"/>
        <v>104040.77175100108</v>
      </c>
    </row>
    <row r="655" spans="1:11" ht="18" x14ac:dyDescent="0.2">
      <c r="A655" s="31">
        <v>40749</v>
      </c>
      <c r="B655" s="30">
        <v>0.32</v>
      </c>
      <c r="C655" s="29">
        <f t="shared" si="46"/>
        <v>0.37560000000000004</v>
      </c>
      <c r="D655" s="29">
        <f t="shared" si="48"/>
        <v>0.36550000000000005</v>
      </c>
      <c r="E655" s="29">
        <f t="shared" si="50"/>
        <v>91428.571428571435</v>
      </c>
      <c r="H655" s="3">
        <v>27.4</v>
      </c>
      <c r="I655" s="29">
        <f t="shared" si="47"/>
        <v>28.163999999999998</v>
      </c>
      <c r="J655" s="29">
        <f t="shared" si="49"/>
        <v>28.053299999999993</v>
      </c>
      <c r="K655" s="29">
        <f t="shared" si="51"/>
        <v>99745.176556243168</v>
      </c>
    </row>
    <row r="656" spans="1:11" ht="18" x14ac:dyDescent="0.2">
      <c r="A656" s="31">
        <v>40756</v>
      </c>
      <c r="B656" s="30">
        <v>0.3</v>
      </c>
      <c r="C656" s="29">
        <f t="shared" si="46"/>
        <v>0.377</v>
      </c>
      <c r="D656" s="29">
        <f t="shared" si="48"/>
        <v>0.36275000000000007</v>
      </c>
      <c r="E656" s="29">
        <f t="shared" si="50"/>
        <v>85714.285714285725</v>
      </c>
      <c r="H656" s="3">
        <v>25.47</v>
      </c>
      <c r="I656" s="29">
        <f t="shared" si="47"/>
        <v>28.210999999999999</v>
      </c>
      <c r="J656" s="29">
        <f t="shared" si="49"/>
        <v>28.038150000000002</v>
      </c>
      <c r="K656" s="29">
        <f t="shared" si="51"/>
        <v>92719.330178376404</v>
      </c>
    </row>
    <row r="657" spans="1:11" ht="18" x14ac:dyDescent="0.2">
      <c r="A657" s="31">
        <v>40763</v>
      </c>
      <c r="B657" s="30">
        <v>0.3</v>
      </c>
      <c r="C657" s="29">
        <f t="shared" si="46"/>
        <v>0.37840000000000001</v>
      </c>
      <c r="D657" s="29">
        <f t="shared" si="48"/>
        <v>0.36009999999999992</v>
      </c>
      <c r="E657" s="29">
        <f t="shared" si="50"/>
        <v>85714.285714285725</v>
      </c>
      <c r="H657" s="3">
        <v>24.32</v>
      </c>
      <c r="I657" s="29">
        <f t="shared" si="47"/>
        <v>28.2242</v>
      </c>
      <c r="J657" s="29">
        <f t="shared" si="49"/>
        <v>28.016849999999998</v>
      </c>
      <c r="K657" s="29">
        <f t="shared" si="51"/>
        <v>88532.945030942836</v>
      </c>
    </row>
    <row r="658" spans="1:11" ht="18" x14ac:dyDescent="0.2">
      <c r="A658" s="31">
        <v>40770</v>
      </c>
      <c r="B658" s="30">
        <v>0.27</v>
      </c>
      <c r="C658" s="29">
        <f t="shared" si="46"/>
        <v>0.37920000000000004</v>
      </c>
      <c r="D658" s="29">
        <f t="shared" si="48"/>
        <v>0.35714999999999991</v>
      </c>
      <c r="E658" s="29">
        <f t="shared" si="50"/>
        <v>77142.857142857159</v>
      </c>
      <c r="H658" s="3">
        <v>23.27</v>
      </c>
      <c r="I658" s="29">
        <f t="shared" si="47"/>
        <v>28.221599999999999</v>
      </c>
      <c r="J658" s="29">
        <f t="shared" si="49"/>
        <v>27.990600000000001</v>
      </c>
      <c r="K658" s="29">
        <f t="shared" si="51"/>
        <v>84710.593374590448</v>
      </c>
    </row>
    <row r="659" spans="1:11" ht="18" x14ac:dyDescent="0.2">
      <c r="A659" s="31">
        <v>40777</v>
      </c>
      <c r="B659" s="30">
        <v>0.3</v>
      </c>
      <c r="C659" s="29">
        <f t="shared" si="46"/>
        <v>0.3806000000000001</v>
      </c>
      <c r="D659" s="29">
        <f t="shared" si="48"/>
        <v>0.35469999999999979</v>
      </c>
      <c r="E659" s="29">
        <f t="shared" si="50"/>
        <v>85714.285714285725</v>
      </c>
      <c r="H659" s="3">
        <v>24.53</v>
      </c>
      <c r="I659" s="29">
        <f t="shared" si="47"/>
        <v>28.163800000000002</v>
      </c>
      <c r="J659" s="29">
        <f t="shared" si="49"/>
        <v>27.96565</v>
      </c>
      <c r="K659" s="29">
        <f t="shared" si="51"/>
        <v>89297.415362213316</v>
      </c>
    </row>
    <row r="660" spans="1:11" ht="18" x14ac:dyDescent="0.2">
      <c r="A660" s="31">
        <v>40784</v>
      </c>
      <c r="B660" s="30">
        <v>0.3</v>
      </c>
      <c r="C660" s="29">
        <f t="shared" si="46"/>
        <v>0.38180000000000008</v>
      </c>
      <c r="D660" s="29">
        <f t="shared" si="48"/>
        <v>0.35199999999999981</v>
      </c>
      <c r="E660" s="29">
        <f t="shared" si="50"/>
        <v>85714.285714285725</v>
      </c>
      <c r="H660" s="3">
        <v>23.46</v>
      </c>
      <c r="I660" s="29">
        <f t="shared" si="47"/>
        <v>28.123199999999997</v>
      </c>
      <c r="J660" s="29">
        <f t="shared" si="49"/>
        <v>27.938549999999999</v>
      </c>
      <c r="K660" s="29">
        <f t="shared" si="51"/>
        <v>85402.257007644686</v>
      </c>
    </row>
    <row r="661" spans="1:11" ht="18" x14ac:dyDescent="0.2">
      <c r="A661" s="31">
        <v>40791</v>
      </c>
      <c r="B661" s="30">
        <v>0.32</v>
      </c>
      <c r="C661" s="29">
        <f t="shared" si="46"/>
        <v>0.38260000000000005</v>
      </c>
      <c r="D661" s="29">
        <f t="shared" si="48"/>
        <v>0.34979999999999978</v>
      </c>
      <c r="E661" s="29">
        <f t="shared" si="50"/>
        <v>91428.571428571435</v>
      </c>
      <c r="H661" s="3">
        <v>21.73</v>
      </c>
      <c r="I661" s="29">
        <f t="shared" si="47"/>
        <v>28.057199999999998</v>
      </c>
      <c r="J661" s="29">
        <f t="shared" si="49"/>
        <v>27.902249999999999</v>
      </c>
      <c r="K661" s="29">
        <f t="shared" si="51"/>
        <v>79104.477611940281</v>
      </c>
    </row>
    <row r="662" spans="1:11" ht="18" x14ac:dyDescent="0.2">
      <c r="A662" s="31">
        <v>40798</v>
      </c>
      <c r="B662" s="30">
        <v>0.35</v>
      </c>
      <c r="C662" s="29">
        <f t="shared" si="46"/>
        <v>0.38440000000000007</v>
      </c>
      <c r="D662" s="29">
        <f t="shared" si="48"/>
        <v>0.34784999999999977</v>
      </c>
      <c r="E662" s="29">
        <f t="shared" si="50"/>
        <v>100000</v>
      </c>
      <c r="H662" s="3">
        <v>22.64</v>
      </c>
      <c r="I662" s="29">
        <f t="shared" si="47"/>
        <v>27.960799999999995</v>
      </c>
      <c r="J662" s="29">
        <f t="shared" si="49"/>
        <v>27.871749999999999</v>
      </c>
      <c r="K662" s="29">
        <f t="shared" si="51"/>
        <v>82417.182380779021</v>
      </c>
    </row>
    <row r="663" spans="1:11" ht="18" x14ac:dyDescent="0.2">
      <c r="A663" s="31">
        <v>40805</v>
      </c>
      <c r="B663" s="30">
        <v>0.32</v>
      </c>
      <c r="C663" s="29">
        <f t="shared" si="46"/>
        <v>0.38580000000000003</v>
      </c>
      <c r="D663" s="29">
        <f t="shared" si="48"/>
        <v>0.34599999999999975</v>
      </c>
      <c r="E663" s="29">
        <f t="shared" si="50"/>
        <v>91428.571428571435</v>
      </c>
      <c r="H663" s="3">
        <v>20.04</v>
      </c>
      <c r="I663" s="29">
        <f t="shared" si="47"/>
        <v>27.895199999999996</v>
      </c>
      <c r="J663" s="29">
        <f t="shared" si="49"/>
        <v>27.826049999999995</v>
      </c>
      <c r="K663" s="29">
        <f t="shared" si="51"/>
        <v>72952.311612668345</v>
      </c>
    </row>
    <row r="664" spans="1:11" ht="18" x14ac:dyDescent="0.2">
      <c r="A664" s="31">
        <v>40812</v>
      </c>
      <c r="B664" s="30">
        <v>0.28999999999999998</v>
      </c>
      <c r="C664" s="29">
        <f t="shared" si="46"/>
        <v>0.38640000000000008</v>
      </c>
      <c r="D664" s="29">
        <f t="shared" si="48"/>
        <v>0.34384999999999977</v>
      </c>
      <c r="E664" s="29">
        <f t="shared" si="50"/>
        <v>82857.142857142855</v>
      </c>
      <c r="H664" s="3">
        <v>20.399999999999999</v>
      </c>
      <c r="I664" s="29">
        <f t="shared" si="47"/>
        <v>27.770799999999994</v>
      </c>
      <c r="J664" s="29">
        <f t="shared" si="49"/>
        <v>27.781999999999993</v>
      </c>
      <c r="K664" s="29">
        <f t="shared" si="51"/>
        <v>100000</v>
      </c>
    </row>
    <row r="665" spans="1:11" ht="18" x14ac:dyDescent="0.2">
      <c r="A665" s="31">
        <v>40819</v>
      </c>
      <c r="B665" s="30">
        <v>0.32</v>
      </c>
      <c r="C665" s="29">
        <f t="shared" si="46"/>
        <v>0.38740000000000002</v>
      </c>
      <c r="D665" s="29">
        <f t="shared" si="48"/>
        <v>0.34154999999999974</v>
      </c>
      <c r="E665" s="29">
        <f t="shared" si="50"/>
        <v>91428.571428571435</v>
      </c>
      <c r="H665" s="3">
        <v>20.8</v>
      </c>
      <c r="I665" s="29">
        <f t="shared" si="47"/>
        <v>27.681799999999999</v>
      </c>
      <c r="J665" s="29">
        <f t="shared" si="49"/>
        <v>27.741099999999992</v>
      </c>
      <c r="K665" s="29">
        <f t="shared" si="51"/>
        <v>100000</v>
      </c>
    </row>
    <row r="666" spans="1:11" ht="18" x14ac:dyDescent="0.2">
      <c r="A666" s="31">
        <v>40826</v>
      </c>
      <c r="B666" s="30">
        <v>0.36</v>
      </c>
      <c r="C666" s="29">
        <f t="shared" si="46"/>
        <v>0.38900000000000001</v>
      </c>
      <c r="D666" s="29">
        <f t="shared" si="48"/>
        <v>0.33934999999999976</v>
      </c>
      <c r="E666" s="29">
        <f t="shared" si="50"/>
        <v>102857.14285714287</v>
      </c>
      <c r="H666" s="3">
        <v>21.79</v>
      </c>
      <c r="I666" s="29">
        <f t="shared" si="47"/>
        <v>27.593399999999995</v>
      </c>
      <c r="J666" s="29">
        <f t="shared" si="49"/>
        <v>27.709049999999994</v>
      </c>
      <c r="K666" s="29">
        <f t="shared" si="51"/>
        <v>100000</v>
      </c>
    </row>
    <row r="667" spans="1:11" ht="18" x14ac:dyDescent="0.2">
      <c r="A667" s="31">
        <v>40833</v>
      </c>
      <c r="B667" s="30">
        <v>0.33</v>
      </c>
      <c r="C667" s="29">
        <f t="shared" si="46"/>
        <v>0.38979999999999998</v>
      </c>
      <c r="D667" s="29">
        <f t="shared" si="48"/>
        <v>0.33694999999999981</v>
      </c>
      <c r="E667" s="29">
        <f t="shared" si="50"/>
        <v>94285.71428571429</v>
      </c>
      <c r="H667" s="3">
        <v>22.84</v>
      </c>
      <c r="I667" s="29">
        <f t="shared" si="47"/>
        <v>27.5258</v>
      </c>
      <c r="J667" s="29">
        <f t="shared" si="49"/>
        <v>27.679949999999995</v>
      </c>
      <c r="K667" s="29">
        <f t="shared" si="51"/>
        <v>100000</v>
      </c>
    </row>
    <row r="668" spans="1:11" ht="18" x14ac:dyDescent="0.2">
      <c r="A668" s="31">
        <v>40840</v>
      </c>
      <c r="B668" s="30">
        <v>0.36</v>
      </c>
      <c r="C668" s="29">
        <f t="shared" si="46"/>
        <v>0.39099999999999996</v>
      </c>
      <c r="D668" s="29">
        <f t="shared" si="48"/>
        <v>0.33474999999999988</v>
      </c>
      <c r="E668" s="29">
        <f t="shared" si="50"/>
        <v>102857.14285714286</v>
      </c>
      <c r="H668" s="3">
        <v>25.07</v>
      </c>
      <c r="I668" s="29">
        <f t="shared" si="47"/>
        <v>27.434999999999999</v>
      </c>
      <c r="J668" s="29">
        <f t="shared" si="49"/>
        <v>27.657249999999991</v>
      </c>
      <c r="K668" s="29">
        <f t="shared" si="51"/>
        <v>100000</v>
      </c>
    </row>
    <row r="669" spans="1:11" ht="18" x14ac:dyDescent="0.2">
      <c r="A669" s="31">
        <v>40847</v>
      </c>
      <c r="B669" s="30">
        <v>0.34</v>
      </c>
      <c r="C669" s="29">
        <f t="shared" si="46"/>
        <v>0.39140000000000003</v>
      </c>
      <c r="D669" s="29">
        <f t="shared" si="48"/>
        <v>0.33299999999999991</v>
      </c>
      <c r="E669" s="29">
        <f t="shared" si="50"/>
        <v>97142.857142857145</v>
      </c>
      <c r="H669" s="3">
        <v>23.21</v>
      </c>
      <c r="I669" s="29">
        <f t="shared" si="47"/>
        <v>27.406600000000005</v>
      </c>
      <c r="J669" s="29">
        <f t="shared" si="49"/>
        <v>27.626499999999986</v>
      </c>
      <c r="K669" s="29">
        <f t="shared" si="51"/>
        <v>100000</v>
      </c>
    </row>
    <row r="670" spans="1:11" ht="18" x14ac:dyDescent="0.2">
      <c r="A670" s="31">
        <v>40854</v>
      </c>
      <c r="B670" s="30">
        <v>0.34</v>
      </c>
      <c r="C670" s="29">
        <f t="shared" si="46"/>
        <v>0.39199999999999996</v>
      </c>
      <c r="D670" s="29">
        <f t="shared" si="48"/>
        <v>0.33159999999999995</v>
      </c>
      <c r="E670" s="29">
        <f t="shared" si="50"/>
        <v>97142.857142857159</v>
      </c>
      <c r="H670" s="3">
        <v>22.74</v>
      </c>
      <c r="I670" s="29">
        <f t="shared" si="47"/>
        <v>27.343600000000002</v>
      </c>
      <c r="J670" s="29">
        <f t="shared" si="49"/>
        <v>27.59214999999999</v>
      </c>
      <c r="K670" s="29">
        <f t="shared" si="51"/>
        <v>100000</v>
      </c>
    </row>
    <row r="671" spans="1:11" ht="18" x14ac:dyDescent="0.2">
      <c r="A671" s="31">
        <v>40861</v>
      </c>
      <c r="B671" s="30">
        <v>0.32</v>
      </c>
      <c r="C671" s="29">
        <f t="shared" si="46"/>
        <v>0.39159999999999995</v>
      </c>
      <c r="D671" s="29">
        <f t="shared" si="48"/>
        <v>0.33034999999999998</v>
      </c>
      <c r="E671" s="29">
        <f t="shared" si="50"/>
        <v>91428.571428571435</v>
      </c>
      <c r="H671" s="3">
        <v>20.92</v>
      </c>
      <c r="I671" s="29">
        <f t="shared" si="47"/>
        <v>27.296799999999998</v>
      </c>
      <c r="J671" s="29">
        <f t="shared" si="49"/>
        <v>27.54624999999999</v>
      </c>
      <c r="K671" s="29">
        <f t="shared" si="51"/>
        <v>100000</v>
      </c>
    </row>
    <row r="672" spans="1:11" ht="18" x14ac:dyDescent="0.2">
      <c r="A672" s="31">
        <v>40868</v>
      </c>
      <c r="B672" s="30">
        <v>0.32</v>
      </c>
      <c r="C672" s="29">
        <f t="shared" si="46"/>
        <v>0.39119999999999999</v>
      </c>
      <c r="D672" s="29">
        <f t="shared" si="48"/>
        <v>0.32909999999999995</v>
      </c>
      <c r="E672" s="29">
        <f t="shared" si="50"/>
        <v>91428.571428571435</v>
      </c>
      <c r="H672" s="3">
        <v>19.46</v>
      </c>
      <c r="I672" s="29">
        <f t="shared" si="47"/>
        <v>27.185400000000005</v>
      </c>
      <c r="J672" s="29">
        <f t="shared" si="49"/>
        <v>27.490149999999993</v>
      </c>
      <c r="K672" s="29">
        <f t="shared" si="51"/>
        <v>100000</v>
      </c>
    </row>
    <row r="673" spans="1:11" ht="18" x14ac:dyDescent="0.2">
      <c r="A673" s="31">
        <v>40875</v>
      </c>
      <c r="B673" s="30">
        <v>0.36</v>
      </c>
      <c r="C673" s="29">
        <f t="shared" si="46"/>
        <v>0.39179999999999993</v>
      </c>
      <c r="D673" s="29">
        <f t="shared" si="48"/>
        <v>0.32779999999999987</v>
      </c>
      <c r="E673" s="29">
        <f t="shared" si="50"/>
        <v>102857.14285714287</v>
      </c>
      <c r="H673" s="3">
        <v>22.09</v>
      </c>
      <c r="I673" s="29">
        <f t="shared" si="47"/>
        <v>27.020400000000009</v>
      </c>
      <c r="J673" s="29">
        <f t="shared" si="49"/>
        <v>27.443399999999993</v>
      </c>
      <c r="K673" s="29">
        <f t="shared" si="51"/>
        <v>100000</v>
      </c>
    </row>
    <row r="674" spans="1:11" ht="18" x14ac:dyDescent="0.2">
      <c r="A674" s="31">
        <v>40882</v>
      </c>
      <c r="B674" s="30">
        <v>0.34</v>
      </c>
      <c r="C674" s="29">
        <f t="shared" si="46"/>
        <v>0.39179999999999998</v>
      </c>
      <c r="D674" s="29">
        <f t="shared" si="48"/>
        <v>0.32665</v>
      </c>
      <c r="E674" s="29">
        <f t="shared" si="50"/>
        <v>97142.857142857174</v>
      </c>
      <c r="H674" s="3">
        <v>22.67</v>
      </c>
      <c r="I674" s="29">
        <f t="shared" si="47"/>
        <v>26.931600000000007</v>
      </c>
      <c r="J674" s="29">
        <f t="shared" si="49"/>
        <v>27.401099999999996</v>
      </c>
      <c r="K674" s="29">
        <f t="shared" si="51"/>
        <v>100000</v>
      </c>
    </row>
    <row r="675" spans="1:11" ht="18" x14ac:dyDescent="0.2">
      <c r="A675" s="31">
        <v>40889</v>
      </c>
      <c r="B675" s="30">
        <v>0.31</v>
      </c>
      <c r="C675" s="29">
        <f t="shared" si="46"/>
        <v>0.39099999999999985</v>
      </c>
      <c r="D675" s="29">
        <f t="shared" si="48"/>
        <v>0.32565</v>
      </c>
      <c r="E675" s="29">
        <f t="shared" si="50"/>
        <v>88571.428571428594</v>
      </c>
      <c r="H675" s="3">
        <v>21.79</v>
      </c>
      <c r="I675" s="29">
        <f t="shared" si="47"/>
        <v>26.822000000000003</v>
      </c>
      <c r="J675" s="29">
        <f t="shared" si="49"/>
        <v>27.351849999999999</v>
      </c>
      <c r="K675" s="29">
        <f t="shared" si="51"/>
        <v>100000</v>
      </c>
    </row>
    <row r="676" spans="1:11" ht="18" x14ac:dyDescent="0.2">
      <c r="A676" s="31">
        <v>40896</v>
      </c>
      <c r="B676" s="30">
        <v>0.32</v>
      </c>
      <c r="C676" s="29">
        <f t="shared" si="46"/>
        <v>0.38819999999999993</v>
      </c>
      <c r="D676" s="29">
        <f t="shared" si="48"/>
        <v>0.32469999999999993</v>
      </c>
      <c r="E676" s="29">
        <f t="shared" si="50"/>
        <v>91428.571428571464</v>
      </c>
      <c r="H676" s="3">
        <v>22.94</v>
      </c>
      <c r="I676" s="29">
        <f t="shared" si="47"/>
        <v>26.6904</v>
      </c>
      <c r="J676" s="29">
        <f t="shared" si="49"/>
        <v>27.309049999999999</v>
      </c>
      <c r="K676" s="29">
        <f t="shared" si="51"/>
        <v>100000</v>
      </c>
    </row>
    <row r="677" spans="1:11" ht="18" x14ac:dyDescent="0.2">
      <c r="A677" s="31">
        <v>40903</v>
      </c>
      <c r="B677" s="30">
        <v>0.32</v>
      </c>
      <c r="C677" s="29">
        <f t="shared" si="46"/>
        <v>0.38379999999999997</v>
      </c>
      <c r="D677" s="29">
        <f t="shared" si="48"/>
        <v>0.32384999999999992</v>
      </c>
      <c r="E677" s="29">
        <f t="shared" si="50"/>
        <v>91428.571428571464</v>
      </c>
      <c r="H677" s="3">
        <v>22.72</v>
      </c>
      <c r="I677" s="29">
        <f t="shared" si="47"/>
        <v>26.565400000000004</v>
      </c>
      <c r="J677" s="29">
        <f t="shared" si="49"/>
        <v>27.273899999999998</v>
      </c>
      <c r="K677" s="29">
        <f t="shared" si="51"/>
        <v>100000</v>
      </c>
    </row>
    <row r="678" spans="1:11" ht="18" x14ac:dyDescent="0.2">
      <c r="A678" s="31">
        <v>40910</v>
      </c>
      <c r="B678" s="30">
        <v>0.33</v>
      </c>
      <c r="C678" s="29">
        <f t="shared" si="46"/>
        <v>0.38019999999999998</v>
      </c>
      <c r="D678" s="29">
        <f t="shared" si="48"/>
        <v>0.32324999999999998</v>
      </c>
      <c r="E678" s="29">
        <f t="shared" si="50"/>
        <v>94285.714285714319</v>
      </c>
      <c r="H678" s="3">
        <v>24.16</v>
      </c>
      <c r="I678" s="29">
        <f t="shared" si="47"/>
        <v>26.418400000000002</v>
      </c>
      <c r="J678" s="29">
        <f t="shared" si="49"/>
        <v>27.244</v>
      </c>
      <c r="K678" s="29">
        <f t="shared" si="51"/>
        <v>100000</v>
      </c>
    </row>
    <row r="679" spans="1:11" ht="18" x14ac:dyDescent="0.2">
      <c r="A679" s="31">
        <v>40917</v>
      </c>
      <c r="B679" s="30">
        <v>0.31</v>
      </c>
      <c r="C679" s="29">
        <f t="shared" si="46"/>
        <v>0.37559999999999993</v>
      </c>
      <c r="D679" s="29">
        <f t="shared" si="48"/>
        <v>0.32270000000000004</v>
      </c>
      <c r="E679" s="29">
        <f t="shared" si="50"/>
        <v>88571.428571428594</v>
      </c>
      <c r="H679" s="3">
        <v>24.72</v>
      </c>
      <c r="I679" s="29">
        <f t="shared" si="47"/>
        <v>26.295000000000005</v>
      </c>
      <c r="J679" s="29">
        <f t="shared" si="49"/>
        <v>27.222450000000002</v>
      </c>
      <c r="K679" s="29">
        <f t="shared" si="51"/>
        <v>100000</v>
      </c>
    </row>
    <row r="680" spans="1:11" ht="18" x14ac:dyDescent="0.2">
      <c r="A680" s="31">
        <v>40924</v>
      </c>
      <c r="B680" s="30">
        <v>0.33</v>
      </c>
      <c r="C680" s="29">
        <f t="shared" si="46"/>
        <v>0.3703999999999999</v>
      </c>
      <c r="D680" s="29">
        <f t="shared" si="48"/>
        <v>0.32224999999999993</v>
      </c>
      <c r="E680" s="29">
        <f t="shared" si="50"/>
        <v>94285.714285714319</v>
      </c>
      <c r="H680" s="3">
        <v>25.71</v>
      </c>
      <c r="I680" s="29">
        <f t="shared" si="47"/>
        <v>26.193000000000005</v>
      </c>
      <c r="J680" s="29">
        <f t="shared" si="49"/>
        <v>27.201250000000005</v>
      </c>
      <c r="K680" s="29">
        <f t="shared" si="51"/>
        <v>100000</v>
      </c>
    </row>
    <row r="681" spans="1:11" ht="18" x14ac:dyDescent="0.2">
      <c r="A681" s="31">
        <v>40931</v>
      </c>
      <c r="B681" s="30">
        <v>0.34</v>
      </c>
      <c r="C681" s="29">
        <f t="shared" si="46"/>
        <v>0.36639999999999995</v>
      </c>
      <c r="D681" s="29">
        <f t="shared" si="48"/>
        <v>0.32170000000000004</v>
      </c>
      <c r="E681" s="29">
        <f t="shared" si="50"/>
        <v>97142.857142857174</v>
      </c>
      <c r="H681" s="3">
        <v>25.61</v>
      </c>
      <c r="I681" s="29">
        <f t="shared" si="47"/>
        <v>26.11000000000001</v>
      </c>
      <c r="J681" s="29">
        <f t="shared" si="49"/>
        <v>27.179950000000005</v>
      </c>
      <c r="K681" s="29">
        <f t="shared" si="51"/>
        <v>100000</v>
      </c>
    </row>
    <row r="682" spans="1:11" ht="18" x14ac:dyDescent="0.2">
      <c r="A682" s="31">
        <v>40938</v>
      </c>
      <c r="B682" s="30">
        <v>0.36</v>
      </c>
      <c r="C682" s="29">
        <f t="shared" si="46"/>
        <v>0.3617999999999999</v>
      </c>
      <c r="D682" s="29">
        <f t="shared" si="48"/>
        <v>0.32134999999999997</v>
      </c>
      <c r="E682" s="29">
        <f t="shared" si="50"/>
        <v>102857.14285714287</v>
      </c>
      <c r="H682" s="3">
        <v>26.35</v>
      </c>
      <c r="I682" s="29">
        <f t="shared" si="47"/>
        <v>25.998600000000007</v>
      </c>
      <c r="J682" s="29">
        <f t="shared" si="49"/>
        <v>27.161150000000006</v>
      </c>
      <c r="K682" s="29">
        <f t="shared" si="51"/>
        <v>100000</v>
      </c>
    </row>
    <row r="683" spans="1:11" ht="18" x14ac:dyDescent="0.2">
      <c r="A683" s="31">
        <v>40945</v>
      </c>
      <c r="B683" s="30">
        <v>0.36</v>
      </c>
      <c r="C683" s="29">
        <f t="shared" si="46"/>
        <v>0.35839999999999994</v>
      </c>
      <c r="D683" s="29">
        <f t="shared" si="48"/>
        <v>0.32105000000000006</v>
      </c>
      <c r="E683" s="29">
        <f t="shared" si="50"/>
        <v>102857.14285714288</v>
      </c>
      <c r="H683" s="3">
        <v>25.89</v>
      </c>
      <c r="I683" s="29">
        <f t="shared" si="47"/>
        <v>25.882800000000007</v>
      </c>
      <c r="J683" s="29">
        <f t="shared" si="49"/>
        <v>27.138000000000005</v>
      </c>
      <c r="K683" s="29">
        <f t="shared" si="51"/>
        <v>100000</v>
      </c>
    </row>
    <row r="684" spans="1:11" ht="18" x14ac:dyDescent="0.2">
      <c r="A684" s="31">
        <v>40952</v>
      </c>
      <c r="B684" s="30">
        <v>0.36</v>
      </c>
      <c r="C684" s="29">
        <f t="shared" si="46"/>
        <v>0.35600000000000004</v>
      </c>
      <c r="D684" s="29">
        <f t="shared" si="48"/>
        <v>0.32064999999999999</v>
      </c>
      <c r="E684" s="29">
        <f t="shared" si="50"/>
        <v>102857.14285714288</v>
      </c>
      <c r="H684" s="3">
        <v>26.48</v>
      </c>
      <c r="I684" s="29">
        <f t="shared" si="47"/>
        <v>25.775400000000005</v>
      </c>
      <c r="J684" s="29">
        <f t="shared" si="49"/>
        <v>27.107099999999999</v>
      </c>
      <c r="K684" s="29">
        <f t="shared" si="51"/>
        <v>100000</v>
      </c>
    </row>
    <row r="685" spans="1:11" ht="18" x14ac:dyDescent="0.2">
      <c r="A685" s="31">
        <v>40959</v>
      </c>
      <c r="B685" s="30">
        <v>0.36</v>
      </c>
      <c r="C685" s="29">
        <f t="shared" si="46"/>
        <v>0.35499999999999998</v>
      </c>
      <c r="D685" s="29">
        <f t="shared" si="48"/>
        <v>0.32014999999999999</v>
      </c>
      <c r="E685" s="29">
        <f t="shared" si="50"/>
        <v>102857.14285714288</v>
      </c>
      <c r="H685" s="3">
        <v>26.35</v>
      </c>
      <c r="I685" s="29">
        <f t="shared" si="47"/>
        <v>25.695400000000003</v>
      </c>
      <c r="J685" s="29">
        <f t="shared" si="49"/>
        <v>27.075500000000005</v>
      </c>
      <c r="K685" s="29">
        <f t="shared" si="51"/>
        <v>100000</v>
      </c>
    </row>
    <row r="686" spans="1:11" ht="18" x14ac:dyDescent="0.2">
      <c r="A686" s="31">
        <v>40966</v>
      </c>
      <c r="B686" s="30">
        <v>0.35</v>
      </c>
      <c r="C686" s="29">
        <f t="shared" si="46"/>
        <v>0.35400000000000004</v>
      </c>
      <c r="D686" s="29">
        <f t="shared" si="48"/>
        <v>0.31929999999999997</v>
      </c>
      <c r="E686" s="29">
        <f t="shared" si="50"/>
        <v>100000.00000000003</v>
      </c>
      <c r="H686" s="3">
        <v>27.96</v>
      </c>
      <c r="I686" s="29">
        <f t="shared" si="47"/>
        <v>25.6098</v>
      </c>
      <c r="J686" s="29">
        <f t="shared" si="49"/>
        <v>27.051700000000004</v>
      </c>
      <c r="K686" s="29">
        <f t="shared" si="51"/>
        <v>100000</v>
      </c>
    </row>
    <row r="687" spans="1:11" ht="18" x14ac:dyDescent="0.2">
      <c r="A687" s="31">
        <v>40973</v>
      </c>
      <c r="B687" s="30">
        <v>0.34</v>
      </c>
      <c r="C687" s="29">
        <f t="shared" si="46"/>
        <v>0.35220000000000007</v>
      </c>
      <c r="D687" s="29">
        <f t="shared" si="48"/>
        <v>0.31840000000000002</v>
      </c>
      <c r="E687" s="29">
        <f t="shared" si="50"/>
        <v>97142.857142857189</v>
      </c>
      <c r="H687" s="3">
        <v>28.24</v>
      </c>
      <c r="I687" s="29">
        <f t="shared" si="47"/>
        <v>25.556400000000004</v>
      </c>
      <c r="J687" s="29">
        <f t="shared" si="49"/>
        <v>27.030800000000003</v>
      </c>
      <c r="K687" s="29">
        <f t="shared" si="51"/>
        <v>100000</v>
      </c>
    </row>
    <row r="688" spans="1:11" ht="18" x14ac:dyDescent="0.2">
      <c r="A688" s="31">
        <v>40980</v>
      </c>
      <c r="B688" s="30">
        <v>0.33</v>
      </c>
      <c r="C688" s="29">
        <f t="shared" si="46"/>
        <v>0.35039999999999999</v>
      </c>
      <c r="D688" s="29">
        <f t="shared" si="48"/>
        <v>0.31725000000000003</v>
      </c>
      <c r="E688" s="29">
        <f t="shared" si="50"/>
        <v>94285.714285714334</v>
      </c>
      <c r="H688" s="3">
        <v>30.68</v>
      </c>
      <c r="I688" s="29">
        <f t="shared" si="47"/>
        <v>25.507000000000001</v>
      </c>
      <c r="J688" s="29">
        <f t="shared" si="49"/>
        <v>27.020900000000005</v>
      </c>
      <c r="K688" s="29">
        <f t="shared" si="51"/>
        <v>100000</v>
      </c>
    </row>
    <row r="689" spans="1:11" ht="18" x14ac:dyDescent="0.2">
      <c r="A689" s="31">
        <v>40987</v>
      </c>
      <c r="B689" s="30">
        <v>0.33</v>
      </c>
      <c r="C689" s="29">
        <f t="shared" si="46"/>
        <v>0.34899999999999992</v>
      </c>
      <c r="D689" s="29">
        <f t="shared" si="48"/>
        <v>0.31625000000000003</v>
      </c>
      <c r="E689" s="29">
        <f t="shared" si="50"/>
        <v>94285.714285714334</v>
      </c>
      <c r="H689" s="3">
        <v>31.08</v>
      </c>
      <c r="I689" s="29">
        <f t="shared" si="47"/>
        <v>25.499799999999997</v>
      </c>
      <c r="J689" s="29">
        <f t="shared" si="49"/>
        <v>27.015800000000009</v>
      </c>
      <c r="K689" s="29">
        <f t="shared" si="51"/>
        <v>100000</v>
      </c>
    </row>
    <row r="690" spans="1:11" ht="18" x14ac:dyDescent="0.2">
      <c r="A690" s="31">
        <v>40994</v>
      </c>
      <c r="B690" s="30">
        <v>0.35</v>
      </c>
      <c r="C690" s="29">
        <f t="shared" si="46"/>
        <v>0.34739999999999988</v>
      </c>
      <c r="D690" s="29">
        <f t="shared" si="48"/>
        <v>0.31515000000000004</v>
      </c>
      <c r="E690" s="29">
        <f t="shared" si="50"/>
        <v>100000.00000000004</v>
      </c>
      <c r="H690" s="3">
        <v>31.65</v>
      </c>
      <c r="I690" s="29">
        <f t="shared" si="47"/>
        <v>25.494199999999996</v>
      </c>
      <c r="J690" s="29">
        <f t="shared" si="49"/>
        <v>27.012700000000006</v>
      </c>
      <c r="K690" s="29">
        <f t="shared" si="51"/>
        <v>100000</v>
      </c>
    </row>
    <row r="691" spans="1:11" ht="18" x14ac:dyDescent="0.2">
      <c r="A691" s="31">
        <v>41001</v>
      </c>
      <c r="B691" s="30">
        <v>0.34</v>
      </c>
      <c r="C691" s="29">
        <f t="shared" ref="C691:C754" si="52">AVERAGE(B642:B691)</f>
        <v>0.34579999999999989</v>
      </c>
      <c r="D691" s="29">
        <f t="shared" si="48"/>
        <v>0.31410000000000005</v>
      </c>
      <c r="E691" s="29">
        <f t="shared" si="50"/>
        <v>97142.857142857189</v>
      </c>
      <c r="H691" s="3">
        <v>30.52</v>
      </c>
      <c r="I691" s="29">
        <f t="shared" si="47"/>
        <v>25.522800000000004</v>
      </c>
      <c r="J691" s="29">
        <f t="shared" si="49"/>
        <v>27.008600000000005</v>
      </c>
      <c r="K691" s="29">
        <f t="shared" si="51"/>
        <v>100000</v>
      </c>
    </row>
    <row r="692" spans="1:11" ht="18" x14ac:dyDescent="0.2">
      <c r="A692" s="31">
        <v>41008</v>
      </c>
      <c r="B692" s="30">
        <v>0.32</v>
      </c>
      <c r="C692" s="29">
        <f t="shared" si="52"/>
        <v>0.34299999999999997</v>
      </c>
      <c r="D692" s="29">
        <f t="shared" si="48"/>
        <v>0.31325000000000008</v>
      </c>
      <c r="E692" s="29">
        <f t="shared" si="50"/>
        <v>91428.571428571464</v>
      </c>
      <c r="H692" s="3">
        <v>29.93</v>
      </c>
      <c r="I692" s="29">
        <f t="shared" ref="I692:I755" si="53">AVERAGE(H642:H691)</f>
        <v>25.531600000000005</v>
      </c>
      <c r="J692" s="29">
        <f t="shared" si="49"/>
        <v>27.001100000000005</v>
      </c>
      <c r="K692" s="29">
        <f t="shared" si="51"/>
        <v>100000</v>
      </c>
    </row>
    <row r="693" spans="1:11" ht="18" x14ac:dyDescent="0.2">
      <c r="A693" s="31">
        <v>41015</v>
      </c>
      <c r="B693" s="30">
        <v>0.31</v>
      </c>
      <c r="C693" s="29">
        <f t="shared" si="52"/>
        <v>0.34039999999999992</v>
      </c>
      <c r="D693" s="29">
        <f t="shared" si="48"/>
        <v>0.31255000000000011</v>
      </c>
      <c r="E693" s="29">
        <f t="shared" si="50"/>
        <v>88571.428571428594</v>
      </c>
      <c r="H693" s="3">
        <v>29.6</v>
      </c>
      <c r="I693" s="29">
        <f t="shared" si="53"/>
        <v>25.515800000000002</v>
      </c>
      <c r="J693" s="29">
        <f t="shared" si="49"/>
        <v>26.997650000000007</v>
      </c>
      <c r="K693" s="29">
        <f t="shared" si="51"/>
        <v>100000</v>
      </c>
    </row>
    <row r="694" spans="1:11" ht="18" x14ac:dyDescent="0.2">
      <c r="A694" s="31">
        <v>41022</v>
      </c>
      <c r="B694" s="30">
        <v>0.3</v>
      </c>
      <c r="C694" s="29">
        <f t="shared" si="52"/>
        <v>0.33799999999999991</v>
      </c>
      <c r="D694" s="29">
        <f t="shared" si="48"/>
        <v>0.31185000000000007</v>
      </c>
      <c r="E694" s="29">
        <f t="shared" si="50"/>
        <v>85714.285714285725</v>
      </c>
      <c r="H694" s="3">
        <v>30.02</v>
      </c>
      <c r="I694" s="29">
        <f t="shared" si="53"/>
        <v>25.501400000000004</v>
      </c>
      <c r="J694" s="29">
        <f t="shared" si="49"/>
        <v>26.997150000000012</v>
      </c>
      <c r="K694" s="29">
        <f t="shared" si="51"/>
        <v>100000</v>
      </c>
    </row>
    <row r="695" spans="1:11" ht="18" x14ac:dyDescent="0.2">
      <c r="A695" s="31">
        <v>41029</v>
      </c>
      <c r="B695" s="30">
        <v>0.28000000000000003</v>
      </c>
      <c r="C695" s="29">
        <f t="shared" si="52"/>
        <v>0.33539999999999998</v>
      </c>
      <c r="D695" s="29">
        <f t="shared" si="48"/>
        <v>0.31180000000000008</v>
      </c>
      <c r="E695" s="29">
        <f t="shared" si="50"/>
        <v>80000.000000000015</v>
      </c>
      <c r="H695" s="3">
        <v>28.92</v>
      </c>
      <c r="I695" s="29">
        <f t="shared" si="53"/>
        <v>25.520800000000005</v>
      </c>
      <c r="J695" s="29">
        <f t="shared" si="49"/>
        <v>26.989550000000008</v>
      </c>
      <c r="K695" s="29">
        <f t="shared" si="51"/>
        <v>100000</v>
      </c>
    </row>
    <row r="696" spans="1:11" ht="18" x14ac:dyDescent="0.2">
      <c r="A696" s="31">
        <v>41036</v>
      </c>
      <c r="B696" s="30">
        <v>0.3</v>
      </c>
      <c r="C696" s="29">
        <f t="shared" si="52"/>
        <v>0.33240000000000003</v>
      </c>
      <c r="D696" s="29">
        <f t="shared" si="48"/>
        <v>0.31195000000000012</v>
      </c>
      <c r="E696" s="29">
        <f t="shared" si="50"/>
        <v>85714.285714285725</v>
      </c>
      <c r="H696" s="3">
        <v>25.6</v>
      </c>
      <c r="I696" s="29">
        <f t="shared" si="53"/>
        <v>25.518400000000007</v>
      </c>
      <c r="J696" s="29">
        <f t="shared" si="49"/>
        <v>26.960750000000008</v>
      </c>
      <c r="K696" s="29">
        <f t="shared" si="51"/>
        <v>100000</v>
      </c>
    </row>
    <row r="697" spans="1:11" ht="18" x14ac:dyDescent="0.2">
      <c r="A697" s="31">
        <v>41043</v>
      </c>
      <c r="B697" s="30">
        <v>0.28000000000000003</v>
      </c>
      <c r="C697" s="29">
        <f t="shared" si="52"/>
        <v>0.3296</v>
      </c>
      <c r="D697" s="29">
        <f t="shared" si="48"/>
        <v>0.31205000000000011</v>
      </c>
      <c r="E697" s="29">
        <f t="shared" si="50"/>
        <v>80000.000000000015</v>
      </c>
      <c r="H697" s="3">
        <v>23.2</v>
      </c>
      <c r="I697" s="29">
        <f t="shared" si="53"/>
        <v>25.454200000000004</v>
      </c>
      <c r="J697" s="29">
        <f t="shared" si="49"/>
        <v>26.92775000000001</v>
      </c>
      <c r="K697" s="29">
        <f t="shared" si="51"/>
        <v>100000</v>
      </c>
    </row>
    <row r="698" spans="1:11" ht="18" x14ac:dyDescent="0.2">
      <c r="A698" s="31">
        <v>41050</v>
      </c>
      <c r="B698" s="30">
        <v>0.28000000000000003</v>
      </c>
      <c r="C698" s="29">
        <f t="shared" si="52"/>
        <v>0.32740000000000002</v>
      </c>
      <c r="D698" s="29">
        <f t="shared" si="48"/>
        <v>0.31215000000000015</v>
      </c>
      <c r="E698" s="29">
        <f t="shared" si="50"/>
        <v>80000.000000000015</v>
      </c>
      <c r="H698" s="3">
        <v>23.21</v>
      </c>
      <c r="I698" s="29">
        <f t="shared" si="53"/>
        <v>25.358400000000003</v>
      </c>
      <c r="J698" s="29">
        <f t="shared" si="49"/>
        <v>26.905250000000009</v>
      </c>
      <c r="K698" s="29">
        <f t="shared" si="51"/>
        <v>100000</v>
      </c>
    </row>
    <row r="699" spans="1:11" ht="18" x14ac:dyDescent="0.2">
      <c r="A699" s="31">
        <v>41057</v>
      </c>
      <c r="B699" s="30">
        <v>0.27</v>
      </c>
      <c r="C699" s="29">
        <f t="shared" si="52"/>
        <v>0.3256</v>
      </c>
      <c r="D699" s="29">
        <f t="shared" si="48"/>
        <v>0.31225000000000014</v>
      </c>
      <c r="E699" s="29">
        <f t="shared" si="50"/>
        <v>77142.857142857145</v>
      </c>
      <c r="H699" s="3">
        <v>22.12</v>
      </c>
      <c r="I699" s="29">
        <f t="shared" si="53"/>
        <v>25.269800000000004</v>
      </c>
      <c r="J699" s="29">
        <f t="shared" si="49"/>
        <v>26.879100000000008</v>
      </c>
      <c r="K699" s="29">
        <f t="shared" si="51"/>
        <v>100000</v>
      </c>
    </row>
    <row r="700" spans="1:11" ht="18" x14ac:dyDescent="0.2">
      <c r="A700" s="31">
        <v>41064</v>
      </c>
      <c r="B700" s="30">
        <v>0.28000000000000003</v>
      </c>
      <c r="C700" s="29">
        <f t="shared" si="52"/>
        <v>0.32400000000000001</v>
      </c>
      <c r="D700" s="29">
        <f t="shared" si="48"/>
        <v>0.31240000000000018</v>
      </c>
      <c r="E700" s="29">
        <f t="shared" si="50"/>
        <v>80000.000000000015</v>
      </c>
      <c r="H700" s="3">
        <v>23.33</v>
      </c>
      <c r="I700" s="29">
        <f t="shared" si="53"/>
        <v>25.162800000000001</v>
      </c>
      <c r="J700" s="29">
        <f t="shared" si="49"/>
        <v>26.857150000000001</v>
      </c>
      <c r="K700" s="29">
        <f t="shared" si="51"/>
        <v>100000</v>
      </c>
    </row>
    <row r="701" spans="1:11" ht="18" x14ac:dyDescent="0.2">
      <c r="A701" s="31">
        <v>41071</v>
      </c>
      <c r="B701" s="30">
        <v>0.28000000000000003</v>
      </c>
      <c r="C701" s="29">
        <f t="shared" si="52"/>
        <v>0.32219999999999993</v>
      </c>
      <c r="D701" s="29">
        <f t="shared" si="48"/>
        <v>0.31230000000000013</v>
      </c>
      <c r="E701" s="29">
        <f t="shared" si="50"/>
        <v>80000.000000000015</v>
      </c>
      <c r="H701" s="3">
        <v>24.27</v>
      </c>
      <c r="I701" s="29">
        <f t="shared" si="53"/>
        <v>25.097599999999996</v>
      </c>
      <c r="J701" s="29">
        <f t="shared" si="49"/>
        <v>26.831250000000004</v>
      </c>
      <c r="K701" s="29">
        <f t="shared" si="51"/>
        <v>100000</v>
      </c>
    </row>
    <row r="702" spans="1:11" ht="18" x14ac:dyDescent="0.2">
      <c r="A702" s="31">
        <v>41078</v>
      </c>
      <c r="B702" s="30">
        <v>0.3</v>
      </c>
      <c r="C702" s="29">
        <f t="shared" si="52"/>
        <v>0.32119999999999993</v>
      </c>
      <c r="D702" s="29">
        <f t="shared" si="48"/>
        <v>0.31225000000000014</v>
      </c>
      <c r="E702" s="29">
        <f t="shared" si="50"/>
        <v>85714.285714285725</v>
      </c>
      <c r="H702" s="3">
        <v>24.93</v>
      </c>
      <c r="I702" s="29">
        <f t="shared" si="53"/>
        <v>25.023199999999996</v>
      </c>
      <c r="J702" s="29">
        <f t="shared" si="49"/>
        <v>26.811950000000007</v>
      </c>
      <c r="K702" s="29">
        <f t="shared" si="51"/>
        <v>100000</v>
      </c>
    </row>
    <row r="703" spans="1:11" ht="18" x14ac:dyDescent="0.2">
      <c r="A703" s="31">
        <v>41085</v>
      </c>
      <c r="B703" s="30">
        <v>0.32</v>
      </c>
      <c r="C703" s="29">
        <f t="shared" si="52"/>
        <v>0.32119999999999993</v>
      </c>
      <c r="D703" s="29">
        <f t="shared" si="48"/>
        <v>0.31240000000000018</v>
      </c>
      <c r="E703" s="29">
        <f t="shared" si="50"/>
        <v>91428.571428571435</v>
      </c>
      <c r="H703" s="3">
        <v>24.75</v>
      </c>
      <c r="I703" s="29">
        <f t="shared" si="53"/>
        <v>24.969799999999999</v>
      </c>
      <c r="J703" s="29">
        <f t="shared" si="49"/>
        <v>26.796250000000004</v>
      </c>
      <c r="K703" s="29">
        <f t="shared" si="51"/>
        <v>100000</v>
      </c>
    </row>
    <row r="704" spans="1:11" ht="18" x14ac:dyDescent="0.2">
      <c r="A704" s="31">
        <v>41092</v>
      </c>
      <c r="B704" s="30">
        <v>0.31</v>
      </c>
      <c r="C704" s="29">
        <f t="shared" si="52"/>
        <v>0.32059999999999994</v>
      </c>
      <c r="D704" s="29">
        <f t="shared" si="48"/>
        <v>0.31260000000000016</v>
      </c>
      <c r="E704" s="29">
        <f t="shared" si="50"/>
        <v>88571.42857142858</v>
      </c>
      <c r="H704" s="3">
        <v>23.48</v>
      </c>
      <c r="I704" s="29">
        <f t="shared" si="53"/>
        <v>24.923200000000001</v>
      </c>
      <c r="J704" s="29">
        <f t="shared" si="49"/>
        <v>26.777300000000004</v>
      </c>
      <c r="K704" s="29">
        <f t="shared" si="51"/>
        <v>100000</v>
      </c>
    </row>
    <row r="705" spans="1:11" ht="18" x14ac:dyDescent="0.2">
      <c r="A705" s="31">
        <v>41099</v>
      </c>
      <c r="B705" s="30">
        <v>0.28999999999999998</v>
      </c>
      <c r="C705" s="29">
        <f t="shared" si="52"/>
        <v>0.31999999999999995</v>
      </c>
      <c r="D705" s="29">
        <f t="shared" si="48"/>
        <v>0.31290000000000012</v>
      </c>
      <c r="E705" s="29">
        <f t="shared" si="50"/>
        <v>82857.142857142855</v>
      </c>
      <c r="H705" s="3">
        <v>25.2</v>
      </c>
      <c r="I705" s="29">
        <f t="shared" si="53"/>
        <v>24.821199999999997</v>
      </c>
      <c r="J705" s="29">
        <f t="shared" si="49"/>
        <v>26.760650000000005</v>
      </c>
      <c r="K705" s="29">
        <f t="shared" si="51"/>
        <v>100000</v>
      </c>
    </row>
    <row r="706" spans="1:11" ht="18" x14ac:dyDescent="0.2">
      <c r="A706" s="31">
        <v>41106</v>
      </c>
      <c r="B706" s="30">
        <v>0.28999999999999998</v>
      </c>
      <c r="C706" s="29">
        <f t="shared" si="52"/>
        <v>0.31979999999999992</v>
      </c>
      <c r="D706" s="29">
        <f t="shared" si="48"/>
        <v>0.31305000000000011</v>
      </c>
      <c r="E706" s="29">
        <f t="shared" si="50"/>
        <v>82857.142857142855</v>
      </c>
      <c r="H706" s="3">
        <v>23.68</v>
      </c>
      <c r="I706" s="29">
        <f t="shared" si="53"/>
        <v>24.777199999999997</v>
      </c>
      <c r="J706" s="29">
        <f t="shared" si="49"/>
        <v>26.731400000000008</v>
      </c>
      <c r="K706" s="29">
        <f t="shared" si="51"/>
        <v>100000</v>
      </c>
    </row>
    <row r="707" spans="1:11" ht="18" x14ac:dyDescent="0.2">
      <c r="A707" s="31">
        <v>41113</v>
      </c>
      <c r="B707" s="30">
        <v>0.31</v>
      </c>
      <c r="C707" s="29">
        <f t="shared" si="52"/>
        <v>0.31999999999999995</v>
      </c>
      <c r="D707" s="29">
        <f t="shared" si="48"/>
        <v>0.31325000000000014</v>
      </c>
      <c r="E707" s="29">
        <f t="shared" si="50"/>
        <v>88571.42857142858</v>
      </c>
      <c r="H707" s="3">
        <v>25.77</v>
      </c>
      <c r="I707" s="29">
        <f t="shared" si="53"/>
        <v>24.741400000000002</v>
      </c>
      <c r="J707" s="29">
        <f t="shared" si="49"/>
        <v>26.716700000000007</v>
      </c>
      <c r="K707" s="29">
        <f t="shared" si="51"/>
        <v>100000</v>
      </c>
    </row>
    <row r="708" spans="1:11" ht="18" x14ac:dyDescent="0.2">
      <c r="A708" s="31">
        <v>41120</v>
      </c>
      <c r="B708" s="30">
        <v>0.31</v>
      </c>
      <c r="C708" s="29">
        <f t="shared" si="52"/>
        <v>0.32079999999999992</v>
      </c>
      <c r="D708" s="29">
        <f t="shared" si="48"/>
        <v>0.31375000000000014</v>
      </c>
      <c r="E708" s="29">
        <f t="shared" si="50"/>
        <v>88571.42857142858</v>
      </c>
      <c r="H708" s="3">
        <v>25.21</v>
      </c>
      <c r="I708" s="29">
        <f t="shared" si="53"/>
        <v>24.770400000000006</v>
      </c>
      <c r="J708" s="29">
        <f t="shared" si="49"/>
        <v>26.709600000000009</v>
      </c>
      <c r="K708" s="29">
        <f t="shared" si="51"/>
        <v>100000</v>
      </c>
    </row>
    <row r="709" spans="1:11" ht="18" x14ac:dyDescent="0.2">
      <c r="A709" s="31">
        <v>41127</v>
      </c>
      <c r="B709" s="30">
        <v>0.34</v>
      </c>
      <c r="C709" s="29">
        <f t="shared" si="52"/>
        <v>0.32159999999999994</v>
      </c>
      <c r="D709" s="29">
        <f t="shared" si="48"/>
        <v>0.31465000000000015</v>
      </c>
      <c r="E709" s="29">
        <f t="shared" si="50"/>
        <v>97142.857142857159</v>
      </c>
      <c r="H709" s="3">
        <v>25.83</v>
      </c>
      <c r="I709" s="29">
        <f t="shared" si="53"/>
        <v>24.809200000000004</v>
      </c>
      <c r="J709" s="29">
        <f t="shared" si="49"/>
        <v>26.69090000000001</v>
      </c>
      <c r="K709" s="29">
        <f t="shared" si="51"/>
        <v>100000</v>
      </c>
    </row>
    <row r="710" spans="1:11" ht="18" x14ac:dyDescent="0.2">
      <c r="A710" s="31">
        <v>41134</v>
      </c>
      <c r="B710" s="30">
        <v>0.34</v>
      </c>
      <c r="C710" s="29">
        <f t="shared" si="52"/>
        <v>0.32239999999999996</v>
      </c>
      <c r="D710" s="29">
        <f t="shared" si="48"/>
        <v>0.31545000000000017</v>
      </c>
      <c r="E710" s="29">
        <f t="shared" si="50"/>
        <v>97142.857142857159</v>
      </c>
      <c r="H710" s="3">
        <v>25.83</v>
      </c>
      <c r="I710" s="29">
        <f t="shared" si="53"/>
        <v>24.835200000000004</v>
      </c>
      <c r="J710" s="29">
        <f t="shared" si="49"/>
        <v>26.677850000000014</v>
      </c>
      <c r="K710" s="29">
        <f t="shared" si="51"/>
        <v>100000</v>
      </c>
    </row>
    <row r="711" spans="1:11" ht="18" x14ac:dyDescent="0.2">
      <c r="A711" s="31">
        <v>41141</v>
      </c>
      <c r="B711" s="30">
        <v>0.33</v>
      </c>
      <c r="C711" s="29">
        <f t="shared" si="52"/>
        <v>0.3226</v>
      </c>
      <c r="D711" s="29">
        <f t="shared" si="48"/>
        <v>0.31635000000000013</v>
      </c>
      <c r="E711" s="29">
        <f t="shared" si="50"/>
        <v>94285.71428571429</v>
      </c>
      <c r="H711" s="3">
        <v>25.96</v>
      </c>
      <c r="I711" s="29">
        <f t="shared" si="53"/>
        <v>24.882600000000004</v>
      </c>
      <c r="J711" s="29">
        <f t="shared" si="49"/>
        <v>26.658200000000011</v>
      </c>
      <c r="K711" s="29">
        <f t="shared" si="51"/>
        <v>100000</v>
      </c>
    </row>
    <row r="712" spans="1:11" ht="18" x14ac:dyDescent="0.2">
      <c r="A712" s="31">
        <v>41148</v>
      </c>
      <c r="B712" s="30">
        <v>0.32</v>
      </c>
      <c r="C712" s="29">
        <f t="shared" si="52"/>
        <v>0.32199999999999995</v>
      </c>
      <c r="D712" s="29">
        <f t="shared" si="48"/>
        <v>0.31695000000000012</v>
      </c>
      <c r="E712" s="29">
        <f t="shared" si="50"/>
        <v>91428.57142857142</v>
      </c>
      <c r="H712" s="3">
        <v>25.94</v>
      </c>
      <c r="I712" s="29">
        <f t="shared" si="53"/>
        <v>24.967200000000002</v>
      </c>
      <c r="J712" s="29">
        <f t="shared" si="49"/>
        <v>26.651600000000009</v>
      </c>
      <c r="K712" s="29">
        <f t="shared" si="51"/>
        <v>100000</v>
      </c>
    </row>
    <row r="713" spans="1:11" ht="18" x14ac:dyDescent="0.2">
      <c r="A713" s="31">
        <v>41155</v>
      </c>
      <c r="B713" s="30">
        <v>0.31</v>
      </c>
      <c r="C713" s="29">
        <f t="shared" si="52"/>
        <v>0.32179999999999997</v>
      </c>
      <c r="D713" s="29">
        <f t="shared" ref="D713:D776" si="54">AVERAGE(B514:B713)</f>
        <v>0.31750000000000012</v>
      </c>
      <c r="E713" s="29">
        <f t="shared" si="50"/>
        <v>88571.428571428565</v>
      </c>
      <c r="H713" s="3">
        <v>27.45</v>
      </c>
      <c r="I713" s="29">
        <f t="shared" si="53"/>
        <v>25.033200000000001</v>
      </c>
      <c r="J713" s="29">
        <f t="shared" ref="J713:J776" si="55">AVERAGE(H514:H713)</f>
        <v>26.655250000000006</v>
      </c>
      <c r="K713" s="29">
        <f t="shared" si="51"/>
        <v>100000</v>
      </c>
    </row>
    <row r="714" spans="1:11" ht="18" x14ac:dyDescent="0.2">
      <c r="A714" s="31">
        <v>41162</v>
      </c>
      <c r="B714" s="30">
        <v>0.32</v>
      </c>
      <c r="C714" s="29">
        <f t="shared" si="52"/>
        <v>0.32239999999999996</v>
      </c>
      <c r="D714" s="29">
        <f t="shared" si="54"/>
        <v>0.31830000000000014</v>
      </c>
      <c r="E714" s="29">
        <f t="shared" ref="E714:E777" si="56">IF( C714&gt;D714,E713*B714/B713,100000)</f>
        <v>91428.57142857142</v>
      </c>
      <c r="H714" s="3">
        <v>29.04</v>
      </c>
      <c r="I714" s="29">
        <f t="shared" si="53"/>
        <v>25.181400000000004</v>
      </c>
      <c r="J714" s="29">
        <f t="shared" si="55"/>
        <v>26.66435000000001</v>
      </c>
      <c r="K714" s="29">
        <f t="shared" ref="K714:K777" si="57">IF(I714&gt;J714,K713*H714/H713,100000)</f>
        <v>100000</v>
      </c>
    </row>
    <row r="715" spans="1:11" ht="18" x14ac:dyDescent="0.2">
      <c r="A715" s="31">
        <v>41169</v>
      </c>
      <c r="B715" s="30">
        <v>0.31</v>
      </c>
      <c r="C715" s="29">
        <f t="shared" si="52"/>
        <v>0.32219999999999999</v>
      </c>
      <c r="D715" s="29">
        <f t="shared" si="54"/>
        <v>0.31910000000000016</v>
      </c>
      <c r="E715" s="29">
        <f t="shared" si="56"/>
        <v>88571.428571428565</v>
      </c>
      <c r="H715" s="3">
        <v>28.56</v>
      </c>
      <c r="I715" s="29">
        <f t="shared" si="53"/>
        <v>25.354200000000002</v>
      </c>
      <c r="J715" s="29">
        <f t="shared" si="55"/>
        <v>26.67465000000001</v>
      </c>
      <c r="K715" s="29">
        <f t="shared" si="57"/>
        <v>100000</v>
      </c>
    </row>
    <row r="716" spans="1:11" ht="18" x14ac:dyDescent="0.2">
      <c r="A716" s="31">
        <v>41176</v>
      </c>
      <c r="B716" s="30">
        <v>0.31</v>
      </c>
      <c r="C716" s="29">
        <f t="shared" si="52"/>
        <v>0.32120000000000004</v>
      </c>
      <c r="D716" s="29">
        <f t="shared" si="54"/>
        <v>0.3198000000000002</v>
      </c>
      <c r="E716" s="29">
        <f t="shared" si="56"/>
        <v>88571.428571428565</v>
      </c>
      <c r="H716" s="3">
        <v>28.28</v>
      </c>
      <c r="I716" s="29">
        <f t="shared" si="53"/>
        <v>25.509399999999999</v>
      </c>
      <c r="J716" s="29">
        <f t="shared" si="55"/>
        <v>26.67195000000001</v>
      </c>
      <c r="K716" s="29">
        <f t="shared" si="57"/>
        <v>100000</v>
      </c>
    </row>
    <row r="717" spans="1:11" ht="18" x14ac:dyDescent="0.2">
      <c r="A717" s="31">
        <v>41183</v>
      </c>
      <c r="B717" s="30">
        <v>0.3</v>
      </c>
      <c r="C717" s="29">
        <f t="shared" si="52"/>
        <v>0.3206</v>
      </c>
      <c r="D717" s="29">
        <f t="shared" si="54"/>
        <v>0.32045000000000018</v>
      </c>
      <c r="E717" s="29">
        <f t="shared" si="56"/>
        <v>85714.28571428571</v>
      </c>
      <c r="H717" s="3">
        <v>29.14</v>
      </c>
      <c r="I717" s="29">
        <f t="shared" si="53"/>
        <v>25.639200000000002</v>
      </c>
      <c r="J717" s="29">
        <f t="shared" si="55"/>
        <v>26.672100000000015</v>
      </c>
      <c r="K717" s="29">
        <f t="shared" si="57"/>
        <v>100000</v>
      </c>
    </row>
    <row r="718" spans="1:11" ht="18" x14ac:dyDescent="0.2">
      <c r="A718" s="31">
        <v>41190</v>
      </c>
      <c r="B718" s="30">
        <v>0.28999999999999998</v>
      </c>
      <c r="C718" s="29">
        <f t="shared" si="52"/>
        <v>0.31920000000000004</v>
      </c>
      <c r="D718" s="29">
        <f t="shared" si="54"/>
        <v>0.32090000000000019</v>
      </c>
      <c r="E718" s="29">
        <f t="shared" si="56"/>
        <v>100000</v>
      </c>
      <c r="H718" s="3">
        <v>29.29</v>
      </c>
      <c r="I718" s="29">
        <f t="shared" si="53"/>
        <v>25.7652</v>
      </c>
      <c r="J718" s="29">
        <f t="shared" si="55"/>
        <v>26.675800000000013</v>
      </c>
      <c r="K718" s="29">
        <f t="shared" si="57"/>
        <v>100000</v>
      </c>
    </row>
    <row r="719" spans="1:11" ht="18" x14ac:dyDescent="0.2">
      <c r="A719" s="31">
        <v>41197</v>
      </c>
      <c r="B719" s="30">
        <v>0.28000000000000003</v>
      </c>
      <c r="C719" s="29">
        <f t="shared" si="52"/>
        <v>0.318</v>
      </c>
      <c r="D719" s="29">
        <f t="shared" si="54"/>
        <v>0.32130000000000014</v>
      </c>
      <c r="E719" s="29">
        <f t="shared" si="56"/>
        <v>100000</v>
      </c>
      <c r="H719" s="3">
        <v>29.78</v>
      </c>
      <c r="I719" s="29">
        <f t="shared" si="53"/>
        <v>25.849599999999999</v>
      </c>
      <c r="J719" s="29">
        <f t="shared" si="55"/>
        <v>26.685400000000012</v>
      </c>
      <c r="K719" s="29">
        <f t="shared" si="57"/>
        <v>100000</v>
      </c>
    </row>
    <row r="720" spans="1:11" ht="18" x14ac:dyDescent="0.2">
      <c r="A720" s="31">
        <v>41204</v>
      </c>
      <c r="B720" s="30">
        <v>0.28000000000000003</v>
      </c>
      <c r="C720" s="29">
        <f t="shared" si="52"/>
        <v>0.31679999999999997</v>
      </c>
      <c r="D720" s="29">
        <f t="shared" si="54"/>
        <v>0.32185000000000019</v>
      </c>
      <c r="E720" s="29">
        <f t="shared" si="56"/>
        <v>100000</v>
      </c>
      <c r="H720" s="3">
        <v>28.96</v>
      </c>
      <c r="I720" s="29">
        <f t="shared" si="53"/>
        <v>25.981000000000005</v>
      </c>
      <c r="J720" s="29">
        <f t="shared" si="55"/>
        <v>26.693600000000014</v>
      </c>
      <c r="K720" s="29">
        <f t="shared" si="57"/>
        <v>100000</v>
      </c>
    </row>
    <row r="721" spans="1:11" ht="18" x14ac:dyDescent="0.2">
      <c r="A721" s="31">
        <v>41211</v>
      </c>
      <c r="B721" s="30">
        <v>0.28999999999999998</v>
      </c>
      <c r="C721" s="29">
        <f t="shared" si="52"/>
        <v>0.31619999999999993</v>
      </c>
      <c r="D721" s="29">
        <f t="shared" si="54"/>
        <v>0.3223000000000002</v>
      </c>
      <c r="E721" s="29">
        <f t="shared" si="56"/>
        <v>100000</v>
      </c>
      <c r="H721" s="3">
        <v>29.85</v>
      </c>
      <c r="I721" s="29">
        <f t="shared" si="53"/>
        <v>26.105400000000003</v>
      </c>
      <c r="J721" s="29">
        <f t="shared" si="55"/>
        <v>26.713600000000021</v>
      </c>
      <c r="K721" s="29">
        <f t="shared" si="57"/>
        <v>100000</v>
      </c>
    </row>
    <row r="722" spans="1:11" ht="18" x14ac:dyDescent="0.2">
      <c r="A722" s="31">
        <v>41218</v>
      </c>
      <c r="B722" s="30">
        <v>0.28000000000000003</v>
      </c>
      <c r="C722" s="29">
        <f t="shared" si="52"/>
        <v>0.3153999999999999</v>
      </c>
      <c r="D722" s="29">
        <f t="shared" si="54"/>
        <v>0.3228000000000002</v>
      </c>
      <c r="E722" s="29">
        <f t="shared" si="56"/>
        <v>100000</v>
      </c>
      <c r="H722" s="3">
        <v>28.58</v>
      </c>
      <c r="I722" s="29">
        <f t="shared" si="53"/>
        <v>26.284000000000002</v>
      </c>
      <c r="J722" s="29">
        <f t="shared" si="55"/>
        <v>26.72630000000002</v>
      </c>
      <c r="K722" s="29">
        <f t="shared" si="57"/>
        <v>100000</v>
      </c>
    </row>
    <row r="723" spans="1:11" ht="18" x14ac:dyDescent="0.2">
      <c r="A723" s="31">
        <v>41225</v>
      </c>
      <c r="B723" s="30">
        <v>0.26</v>
      </c>
      <c r="C723" s="29">
        <f t="shared" si="52"/>
        <v>0.3133999999999999</v>
      </c>
      <c r="D723" s="29">
        <f t="shared" si="54"/>
        <v>0.32320000000000021</v>
      </c>
      <c r="E723" s="29">
        <f t="shared" si="56"/>
        <v>100000</v>
      </c>
      <c r="H723" s="3">
        <v>27.82</v>
      </c>
      <c r="I723" s="29">
        <f t="shared" si="53"/>
        <v>26.4664</v>
      </c>
      <c r="J723" s="29">
        <f t="shared" si="55"/>
        <v>26.739250000000016</v>
      </c>
      <c r="K723" s="29">
        <f t="shared" si="57"/>
        <v>100000</v>
      </c>
    </row>
    <row r="724" spans="1:11" ht="18" x14ac:dyDescent="0.2">
      <c r="A724" s="31">
        <v>41232</v>
      </c>
      <c r="B724" s="30">
        <v>0.27</v>
      </c>
      <c r="C724" s="29">
        <f t="shared" si="52"/>
        <v>0.31199999999999994</v>
      </c>
      <c r="D724" s="29">
        <f t="shared" si="54"/>
        <v>0.32365000000000016</v>
      </c>
      <c r="E724" s="29">
        <f t="shared" si="56"/>
        <v>100000</v>
      </c>
      <c r="H724" s="3">
        <v>28.92</v>
      </c>
      <c r="I724" s="29">
        <f t="shared" si="53"/>
        <v>26.581</v>
      </c>
      <c r="J724" s="29">
        <f t="shared" si="55"/>
        <v>26.744800000000019</v>
      </c>
      <c r="K724" s="29">
        <f t="shared" si="57"/>
        <v>100000</v>
      </c>
    </row>
    <row r="725" spans="1:11" ht="18" x14ac:dyDescent="0.2">
      <c r="A725" s="31">
        <v>41239</v>
      </c>
      <c r="B725" s="30">
        <v>0.28000000000000003</v>
      </c>
      <c r="C725" s="29">
        <f t="shared" si="52"/>
        <v>0.31139999999999995</v>
      </c>
      <c r="D725" s="29">
        <f t="shared" si="54"/>
        <v>0.32415000000000016</v>
      </c>
      <c r="E725" s="29">
        <f t="shared" si="56"/>
        <v>100000</v>
      </c>
      <c r="H725" s="3">
        <v>28.91</v>
      </c>
      <c r="I725" s="29">
        <f t="shared" si="53"/>
        <v>26.706</v>
      </c>
      <c r="J725" s="29">
        <f t="shared" si="55"/>
        <v>26.735650000000014</v>
      </c>
      <c r="K725" s="29">
        <f t="shared" si="57"/>
        <v>100000</v>
      </c>
    </row>
    <row r="726" spans="1:11" ht="18" x14ac:dyDescent="0.2">
      <c r="A726" s="31">
        <v>41246</v>
      </c>
      <c r="B726" s="30">
        <v>0.28000000000000003</v>
      </c>
      <c r="C726" s="29">
        <f t="shared" si="52"/>
        <v>0.31059999999999993</v>
      </c>
      <c r="D726" s="29">
        <f t="shared" si="54"/>
        <v>0.32440000000000019</v>
      </c>
      <c r="E726" s="29">
        <f t="shared" si="56"/>
        <v>100000</v>
      </c>
      <c r="H726" s="3">
        <v>29.95</v>
      </c>
      <c r="I726" s="29">
        <f t="shared" si="53"/>
        <v>26.848400000000005</v>
      </c>
      <c r="J726" s="29">
        <f t="shared" si="55"/>
        <v>26.745800000000013</v>
      </c>
      <c r="K726" s="29">
        <f t="shared" si="57"/>
        <v>103597.37115185057</v>
      </c>
    </row>
    <row r="727" spans="1:11" ht="18" x14ac:dyDescent="0.2">
      <c r="A727" s="31">
        <v>41253</v>
      </c>
      <c r="B727" s="30">
        <v>0.28999999999999998</v>
      </c>
      <c r="C727" s="29">
        <f t="shared" si="52"/>
        <v>0.30999999999999989</v>
      </c>
      <c r="D727" s="29">
        <f t="shared" si="54"/>
        <v>0.32490000000000024</v>
      </c>
      <c r="E727" s="29">
        <f t="shared" si="56"/>
        <v>100000</v>
      </c>
      <c r="H727" s="3">
        <v>30.13</v>
      </c>
      <c r="I727" s="29">
        <f t="shared" si="53"/>
        <v>26.988600000000005</v>
      </c>
      <c r="J727" s="29">
        <f t="shared" si="55"/>
        <v>26.758650000000017</v>
      </c>
      <c r="K727" s="29">
        <f t="shared" si="57"/>
        <v>104219.99308197855</v>
      </c>
    </row>
    <row r="728" spans="1:11" ht="18" x14ac:dyDescent="0.2">
      <c r="A728" s="31">
        <v>41260</v>
      </c>
      <c r="B728" s="30">
        <v>0.28000000000000003</v>
      </c>
      <c r="C728" s="29">
        <f t="shared" si="52"/>
        <v>0.30899999999999989</v>
      </c>
      <c r="D728" s="29">
        <f t="shared" si="54"/>
        <v>0.32545000000000024</v>
      </c>
      <c r="E728" s="29">
        <f t="shared" si="56"/>
        <v>100000</v>
      </c>
      <c r="H728" s="3">
        <v>30.96</v>
      </c>
      <c r="I728" s="29">
        <f t="shared" si="53"/>
        <v>27.136800000000008</v>
      </c>
      <c r="J728" s="29">
        <f t="shared" si="55"/>
        <v>26.773500000000013</v>
      </c>
      <c r="K728" s="29">
        <f t="shared" si="57"/>
        <v>107090.97198201314</v>
      </c>
    </row>
    <row r="729" spans="1:11" ht="18" x14ac:dyDescent="0.2">
      <c r="A729" s="31">
        <v>41267</v>
      </c>
      <c r="B729" s="30">
        <v>0.28000000000000003</v>
      </c>
      <c r="C729" s="29">
        <f t="shared" si="52"/>
        <v>0.3083999999999999</v>
      </c>
      <c r="D729" s="29">
        <f t="shared" si="54"/>
        <v>0.32590000000000019</v>
      </c>
      <c r="E729" s="29">
        <f t="shared" si="56"/>
        <v>100000</v>
      </c>
      <c r="H729" s="3">
        <v>30.43</v>
      </c>
      <c r="I729" s="29">
        <f t="shared" si="53"/>
        <v>27.272800000000007</v>
      </c>
      <c r="J729" s="29">
        <f t="shared" si="55"/>
        <v>26.796150000000011</v>
      </c>
      <c r="K729" s="29">
        <f t="shared" si="57"/>
        <v>105257.69629885853</v>
      </c>
    </row>
    <row r="730" spans="1:11" ht="18" x14ac:dyDescent="0.2">
      <c r="A730" s="31">
        <v>41274</v>
      </c>
      <c r="B730" s="30">
        <v>0.3</v>
      </c>
      <c r="C730" s="29">
        <f t="shared" si="52"/>
        <v>0.30779999999999996</v>
      </c>
      <c r="D730" s="29">
        <f t="shared" si="54"/>
        <v>0.32645000000000018</v>
      </c>
      <c r="E730" s="29">
        <f t="shared" si="56"/>
        <v>100000</v>
      </c>
      <c r="H730" s="3">
        <v>31.92</v>
      </c>
      <c r="I730" s="29">
        <f t="shared" si="53"/>
        <v>27.387000000000008</v>
      </c>
      <c r="J730" s="29">
        <f t="shared" si="55"/>
        <v>26.836100000000016</v>
      </c>
      <c r="K730" s="29">
        <f t="shared" si="57"/>
        <v>110411.62227602905</v>
      </c>
    </row>
    <row r="731" spans="1:11" ht="18" x14ac:dyDescent="0.2">
      <c r="A731" s="31">
        <v>41281</v>
      </c>
      <c r="B731" s="30">
        <v>0.28000000000000003</v>
      </c>
      <c r="C731" s="29">
        <f t="shared" si="52"/>
        <v>0.30659999999999993</v>
      </c>
      <c r="D731" s="29">
        <f t="shared" si="54"/>
        <v>0.32675000000000021</v>
      </c>
      <c r="E731" s="29">
        <f t="shared" si="56"/>
        <v>100000</v>
      </c>
      <c r="H731" s="3">
        <v>32.69</v>
      </c>
      <c r="I731" s="29">
        <f t="shared" si="53"/>
        <v>27.511200000000009</v>
      </c>
      <c r="J731" s="29">
        <f t="shared" si="55"/>
        <v>26.883150000000015</v>
      </c>
      <c r="K731" s="29">
        <f t="shared" si="57"/>
        <v>113075.06053268764</v>
      </c>
    </row>
    <row r="732" spans="1:11" ht="18" x14ac:dyDescent="0.2">
      <c r="A732" s="31">
        <v>41288</v>
      </c>
      <c r="B732" s="30">
        <v>0.28000000000000003</v>
      </c>
      <c r="C732" s="29">
        <f t="shared" si="52"/>
        <v>0.30499999999999988</v>
      </c>
      <c r="D732" s="29">
        <f t="shared" si="54"/>
        <v>0.32705000000000012</v>
      </c>
      <c r="E732" s="29">
        <f t="shared" si="56"/>
        <v>100000</v>
      </c>
      <c r="H732" s="3">
        <v>32.92</v>
      </c>
      <c r="I732" s="29">
        <f t="shared" si="53"/>
        <v>27.652800000000006</v>
      </c>
      <c r="J732" s="29">
        <f t="shared" si="55"/>
        <v>26.90130000000001</v>
      </c>
      <c r="K732" s="29">
        <f t="shared" si="57"/>
        <v>113870.6329989623</v>
      </c>
    </row>
    <row r="733" spans="1:11" ht="18" x14ac:dyDescent="0.2">
      <c r="A733" s="31">
        <v>41295</v>
      </c>
      <c r="B733" s="30">
        <v>0.28999999999999998</v>
      </c>
      <c r="C733" s="29">
        <f t="shared" si="52"/>
        <v>0.30359999999999987</v>
      </c>
      <c r="D733" s="29">
        <f t="shared" si="54"/>
        <v>0.3273000000000002</v>
      </c>
      <c r="E733" s="29">
        <f t="shared" si="56"/>
        <v>100000</v>
      </c>
      <c r="H733" s="3">
        <v>33.409999999999997</v>
      </c>
      <c r="I733" s="29">
        <f t="shared" si="53"/>
        <v>27.784200000000009</v>
      </c>
      <c r="J733" s="29">
        <f t="shared" si="55"/>
        <v>26.932300000000012</v>
      </c>
      <c r="K733" s="29">
        <f t="shared" si="57"/>
        <v>115565.54825319958</v>
      </c>
    </row>
    <row r="734" spans="1:11" ht="18" x14ac:dyDescent="0.2">
      <c r="A734" s="31">
        <v>41302</v>
      </c>
      <c r="B734" s="30">
        <v>0.28999999999999998</v>
      </c>
      <c r="C734" s="29">
        <f t="shared" si="52"/>
        <v>0.30219999999999986</v>
      </c>
      <c r="D734" s="29">
        <f t="shared" si="54"/>
        <v>0.32745000000000019</v>
      </c>
      <c r="E734" s="29">
        <f t="shared" si="56"/>
        <v>100000</v>
      </c>
      <c r="H734" s="3">
        <v>33.9</v>
      </c>
      <c r="I734" s="29">
        <f t="shared" si="53"/>
        <v>27.93460000000001</v>
      </c>
      <c r="J734" s="29">
        <f t="shared" si="55"/>
        <v>26.956600000000009</v>
      </c>
      <c r="K734" s="29">
        <f t="shared" si="57"/>
        <v>117260.46350743689</v>
      </c>
    </row>
    <row r="735" spans="1:11" ht="18" x14ac:dyDescent="0.2">
      <c r="A735" s="31">
        <v>41309</v>
      </c>
      <c r="B735" s="30">
        <v>0.28999999999999998</v>
      </c>
      <c r="C735" s="29">
        <f t="shared" si="52"/>
        <v>0.30079999999999985</v>
      </c>
      <c r="D735" s="29">
        <f t="shared" si="54"/>
        <v>0.32750000000000029</v>
      </c>
      <c r="E735" s="29">
        <f t="shared" si="56"/>
        <v>100000</v>
      </c>
      <c r="H735" s="3">
        <v>34.46</v>
      </c>
      <c r="I735" s="29">
        <f t="shared" si="53"/>
        <v>28.083000000000016</v>
      </c>
      <c r="J735" s="29">
        <f t="shared" si="55"/>
        <v>26.992300000000004</v>
      </c>
      <c r="K735" s="29">
        <f t="shared" si="57"/>
        <v>119197.5095122795</v>
      </c>
    </row>
    <row r="736" spans="1:11" ht="18" x14ac:dyDescent="0.2">
      <c r="A736" s="31">
        <v>41316</v>
      </c>
      <c r="B736" s="30">
        <v>0.28999999999999998</v>
      </c>
      <c r="C736" s="29">
        <f t="shared" si="52"/>
        <v>0.29959999999999981</v>
      </c>
      <c r="D736" s="29">
        <f t="shared" si="54"/>
        <v>0.32760000000000028</v>
      </c>
      <c r="E736" s="29">
        <f t="shared" si="56"/>
        <v>100000</v>
      </c>
      <c r="H736" s="3">
        <v>34.630000000000003</v>
      </c>
      <c r="I736" s="29">
        <f t="shared" si="53"/>
        <v>28.245200000000018</v>
      </c>
      <c r="J736" s="29">
        <f t="shared" si="55"/>
        <v>27.018450000000009</v>
      </c>
      <c r="K736" s="29">
        <f t="shared" si="57"/>
        <v>119785.54133517816</v>
      </c>
    </row>
    <row r="737" spans="1:11" ht="18" x14ac:dyDescent="0.2">
      <c r="A737" s="31">
        <v>41323</v>
      </c>
      <c r="B737" s="30">
        <v>0.28999999999999998</v>
      </c>
      <c r="C737" s="29">
        <f t="shared" si="52"/>
        <v>0.29859999999999975</v>
      </c>
      <c r="D737" s="29">
        <f t="shared" si="54"/>
        <v>0.32775000000000032</v>
      </c>
      <c r="E737" s="29">
        <f t="shared" si="56"/>
        <v>100000</v>
      </c>
      <c r="H737" s="3">
        <v>34.65</v>
      </c>
      <c r="I737" s="29">
        <f t="shared" si="53"/>
        <v>28.37860000000002</v>
      </c>
      <c r="J737" s="29">
        <f t="shared" si="55"/>
        <v>27.038200000000007</v>
      </c>
      <c r="K737" s="29">
        <f t="shared" si="57"/>
        <v>119854.72154963682</v>
      </c>
    </row>
    <row r="738" spans="1:11" ht="18" x14ac:dyDescent="0.2">
      <c r="A738" s="31">
        <v>41330</v>
      </c>
      <c r="B738" s="30">
        <v>0.28999999999999998</v>
      </c>
      <c r="C738" s="29">
        <f t="shared" si="52"/>
        <v>0.29779999999999979</v>
      </c>
      <c r="D738" s="29">
        <f t="shared" si="54"/>
        <v>0.32785000000000042</v>
      </c>
      <c r="E738" s="29">
        <f t="shared" si="56"/>
        <v>100000</v>
      </c>
      <c r="H738" s="3">
        <v>34.65</v>
      </c>
      <c r="I738" s="29">
        <f t="shared" si="53"/>
        <v>28.50680000000002</v>
      </c>
      <c r="J738" s="29">
        <f t="shared" si="55"/>
        <v>27.055150000000005</v>
      </c>
      <c r="K738" s="29">
        <f t="shared" si="57"/>
        <v>119854.72154963682</v>
      </c>
    </row>
    <row r="739" spans="1:11" ht="18" x14ac:dyDescent="0.2">
      <c r="A739" s="31">
        <v>41337</v>
      </c>
      <c r="B739" s="30">
        <v>0.3</v>
      </c>
      <c r="C739" s="29">
        <f t="shared" si="52"/>
        <v>0.29719999999999974</v>
      </c>
      <c r="D739" s="29">
        <f t="shared" si="54"/>
        <v>0.32830000000000031</v>
      </c>
      <c r="E739" s="29">
        <f t="shared" si="56"/>
        <v>100000</v>
      </c>
      <c r="H739" s="3">
        <v>35.57</v>
      </c>
      <c r="I739" s="29">
        <f t="shared" si="53"/>
        <v>28.586200000000023</v>
      </c>
      <c r="J739" s="29">
        <f t="shared" si="55"/>
        <v>27.083399999999997</v>
      </c>
      <c r="K739" s="29">
        <f t="shared" si="57"/>
        <v>123037.0114147354</v>
      </c>
    </row>
    <row r="740" spans="1:11" ht="18" x14ac:dyDescent="0.2">
      <c r="A740" s="31">
        <v>41344</v>
      </c>
      <c r="B740" s="30">
        <v>0.28999999999999998</v>
      </c>
      <c r="C740" s="29">
        <f t="shared" si="52"/>
        <v>0.29599999999999971</v>
      </c>
      <c r="D740" s="29">
        <f t="shared" si="54"/>
        <v>0.32875000000000038</v>
      </c>
      <c r="E740" s="29">
        <f t="shared" si="56"/>
        <v>100000</v>
      </c>
      <c r="H740" s="3">
        <v>35.44</v>
      </c>
      <c r="I740" s="29">
        <f t="shared" si="53"/>
        <v>28.676000000000016</v>
      </c>
      <c r="J740" s="29">
        <f t="shared" si="55"/>
        <v>27.111149999999995</v>
      </c>
      <c r="K740" s="29">
        <f t="shared" si="57"/>
        <v>122587.34002075408</v>
      </c>
    </row>
    <row r="741" spans="1:11" ht="18" x14ac:dyDescent="0.2">
      <c r="A741" s="31">
        <v>41351</v>
      </c>
      <c r="B741" s="30">
        <v>0.28999999999999998</v>
      </c>
      <c r="C741" s="29">
        <f t="shared" si="52"/>
        <v>0.29499999999999971</v>
      </c>
      <c r="D741" s="29">
        <f t="shared" si="54"/>
        <v>0.32905000000000034</v>
      </c>
      <c r="E741" s="29">
        <f t="shared" si="56"/>
        <v>100000</v>
      </c>
      <c r="H741" s="3">
        <v>34.56</v>
      </c>
      <c r="I741" s="29">
        <f t="shared" si="53"/>
        <v>28.751800000000017</v>
      </c>
      <c r="J741" s="29">
        <f t="shared" si="55"/>
        <v>27.147999999999993</v>
      </c>
      <c r="K741" s="29">
        <f t="shared" si="57"/>
        <v>119543.41058457286</v>
      </c>
    </row>
    <row r="742" spans="1:11" ht="18" x14ac:dyDescent="0.2">
      <c r="A742" s="31">
        <v>41365</v>
      </c>
      <c r="B742" s="30">
        <v>0.28999999999999998</v>
      </c>
      <c r="C742" s="29">
        <f t="shared" si="52"/>
        <v>0.29439999999999972</v>
      </c>
      <c r="D742" s="29">
        <f t="shared" si="54"/>
        <v>0.32930000000000037</v>
      </c>
      <c r="E742" s="29">
        <f t="shared" si="56"/>
        <v>100000</v>
      </c>
      <c r="H742" s="3">
        <v>33.950000000000003</v>
      </c>
      <c r="I742" s="29">
        <f t="shared" si="53"/>
        <v>28.83260000000001</v>
      </c>
      <c r="J742" s="29">
        <f t="shared" si="55"/>
        <v>27.179649999999992</v>
      </c>
      <c r="K742" s="29">
        <f t="shared" si="57"/>
        <v>117433.41404358359</v>
      </c>
    </row>
    <row r="743" spans="1:11" ht="18" x14ac:dyDescent="0.2">
      <c r="A743" s="31">
        <v>41372</v>
      </c>
      <c r="B743" s="30">
        <v>0.3</v>
      </c>
      <c r="C743" s="29">
        <f t="shared" si="52"/>
        <v>0.29419999999999974</v>
      </c>
      <c r="D743" s="29">
        <f t="shared" si="54"/>
        <v>0.32955000000000034</v>
      </c>
      <c r="E743" s="29">
        <f t="shared" si="56"/>
        <v>100000</v>
      </c>
      <c r="H743" s="3">
        <v>34.94</v>
      </c>
      <c r="I743" s="29">
        <f t="shared" si="53"/>
        <v>28.913000000000011</v>
      </c>
      <c r="J743" s="29">
        <f t="shared" si="55"/>
        <v>27.225599999999989</v>
      </c>
      <c r="K743" s="29">
        <f t="shared" si="57"/>
        <v>120857.83465928749</v>
      </c>
    </row>
    <row r="744" spans="1:11" ht="18" x14ac:dyDescent="0.2">
      <c r="A744" s="31">
        <v>41379</v>
      </c>
      <c r="B744" s="30">
        <v>0.28999999999999998</v>
      </c>
      <c r="C744" s="29">
        <f t="shared" si="52"/>
        <v>0.29399999999999976</v>
      </c>
      <c r="D744" s="29">
        <f t="shared" si="54"/>
        <v>0.32970000000000033</v>
      </c>
      <c r="E744" s="29">
        <f t="shared" si="56"/>
        <v>100000</v>
      </c>
      <c r="H744" s="3">
        <v>33.67</v>
      </c>
      <c r="I744" s="29">
        <f t="shared" si="53"/>
        <v>29.019800000000011</v>
      </c>
      <c r="J744" s="29">
        <f t="shared" si="55"/>
        <v>27.266799999999989</v>
      </c>
      <c r="K744" s="29">
        <f t="shared" si="57"/>
        <v>116464.89104116228</v>
      </c>
    </row>
    <row r="745" spans="1:11" ht="18" x14ac:dyDescent="0.2">
      <c r="A745" s="31">
        <v>41386</v>
      </c>
      <c r="B745" s="30">
        <v>0.31</v>
      </c>
      <c r="C745" s="29">
        <f t="shared" si="52"/>
        <v>0.29459999999999975</v>
      </c>
      <c r="D745" s="29">
        <f t="shared" si="54"/>
        <v>0.32995000000000035</v>
      </c>
      <c r="E745" s="29">
        <f t="shared" si="56"/>
        <v>100000</v>
      </c>
      <c r="H745" s="3">
        <v>34.85</v>
      </c>
      <c r="I745" s="29">
        <f t="shared" si="53"/>
        <v>29.092800000000011</v>
      </c>
      <c r="J745" s="29">
        <f t="shared" si="55"/>
        <v>27.319449999999993</v>
      </c>
      <c r="K745" s="29">
        <f t="shared" si="57"/>
        <v>120546.52369422351</v>
      </c>
    </row>
    <row r="746" spans="1:11" ht="18" x14ac:dyDescent="0.2">
      <c r="A746" s="31">
        <v>41393</v>
      </c>
      <c r="B746" s="30">
        <v>0.32</v>
      </c>
      <c r="C746" s="29">
        <f t="shared" si="52"/>
        <v>0.29499999999999976</v>
      </c>
      <c r="D746" s="29">
        <f t="shared" si="54"/>
        <v>0.33020000000000027</v>
      </c>
      <c r="E746" s="29">
        <f t="shared" si="56"/>
        <v>100000</v>
      </c>
      <c r="H746" s="3">
        <v>33.92</v>
      </c>
      <c r="I746" s="29">
        <f t="shared" si="53"/>
        <v>29.211400000000005</v>
      </c>
      <c r="J746" s="29">
        <f t="shared" si="55"/>
        <v>27.376449999999991</v>
      </c>
      <c r="K746" s="29">
        <f t="shared" si="57"/>
        <v>117329.64372189558</v>
      </c>
    </row>
    <row r="747" spans="1:11" ht="18" x14ac:dyDescent="0.2">
      <c r="A747" s="31">
        <v>41400</v>
      </c>
      <c r="B747" s="30">
        <v>0.34</v>
      </c>
      <c r="C747" s="29">
        <f t="shared" si="52"/>
        <v>0.2961999999999998</v>
      </c>
      <c r="D747" s="29">
        <f t="shared" si="54"/>
        <v>0.33065000000000017</v>
      </c>
      <c r="E747" s="29">
        <f t="shared" si="56"/>
        <v>100000</v>
      </c>
      <c r="H747" s="3">
        <v>34.909999999999997</v>
      </c>
      <c r="I747" s="29">
        <f t="shared" si="53"/>
        <v>29.377800000000008</v>
      </c>
      <c r="J747" s="29">
        <f t="shared" si="55"/>
        <v>27.437599999999989</v>
      </c>
      <c r="K747" s="29">
        <f t="shared" si="57"/>
        <v>120754.06433759948</v>
      </c>
    </row>
    <row r="748" spans="1:11" ht="18" x14ac:dyDescent="0.2">
      <c r="A748" s="31">
        <v>41407</v>
      </c>
      <c r="B748" s="30">
        <v>0.35</v>
      </c>
      <c r="C748" s="29">
        <f t="shared" si="52"/>
        <v>0.29759999999999975</v>
      </c>
      <c r="D748" s="29">
        <f t="shared" si="54"/>
        <v>0.33120000000000016</v>
      </c>
      <c r="E748" s="29">
        <f t="shared" si="56"/>
        <v>100000</v>
      </c>
      <c r="H748" s="3">
        <v>37.29</v>
      </c>
      <c r="I748" s="29">
        <f t="shared" si="53"/>
        <v>29.612000000000009</v>
      </c>
      <c r="J748" s="29">
        <f t="shared" si="55"/>
        <v>27.516349999999989</v>
      </c>
      <c r="K748" s="29">
        <f t="shared" si="57"/>
        <v>128986.50985818061</v>
      </c>
    </row>
    <row r="749" spans="1:11" ht="18" x14ac:dyDescent="0.2">
      <c r="A749" s="31">
        <v>41414</v>
      </c>
      <c r="B749" s="30">
        <v>0.34</v>
      </c>
      <c r="C749" s="29">
        <f t="shared" si="52"/>
        <v>0.29899999999999982</v>
      </c>
      <c r="D749" s="29">
        <f t="shared" si="54"/>
        <v>0.33150000000000018</v>
      </c>
      <c r="E749" s="29">
        <f t="shared" si="56"/>
        <v>100000</v>
      </c>
      <c r="H749" s="3">
        <v>38.26</v>
      </c>
      <c r="I749" s="29">
        <f t="shared" si="53"/>
        <v>29.893600000000006</v>
      </c>
      <c r="J749" s="29">
        <f t="shared" si="55"/>
        <v>27.577649999999984</v>
      </c>
      <c r="K749" s="29">
        <f t="shared" si="57"/>
        <v>132341.75025942587</v>
      </c>
    </row>
    <row r="750" spans="1:11" ht="18" x14ac:dyDescent="0.2">
      <c r="A750" s="31">
        <v>41421</v>
      </c>
      <c r="B750" s="30">
        <v>0.34</v>
      </c>
      <c r="C750" s="29">
        <f t="shared" si="52"/>
        <v>0.3001999999999998</v>
      </c>
      <c r="D750" s="29">
        <f t="shared" si="54"/>
        <v>0.33170000000000022</v>
      </c>
      <c r="E750" s="29">
        <f t="shared" si="56"/>
        <v>100000</v>
      </c>
      <c r="H750" s="3">
        <v>38.92</v>
      </c>
      <c r="I750" s="29">
        <f t="shared" si="53"/>
        <v>30.216400000000007</v>
      </c>
      <c r="J750" s="29">
        <f t="shared" si="55"/>
        <v>27.643899999999984</v>
      </c>
      <c r="K750" s="29">
        <f t="shared" si="57"/>
        <v>134624.6973365618</v>
      </c>
    </row>
    <row r="751" spans="1:11" ht="18" x14ac:dyDescent="0.2">
      <c r="A751" s="31">
        <v>41428</v>
      </c>
      <c r="B751" s="30">
        <v>0.34</v>
      </c>
      <c r="C751" s="29">
        <f t="shared" si="52"/>
        <v>0.30139999999999983</v>
      </c>
      <c r="D751" s="29">
        <f t="shared" si="54"/>
        <v>0.33190000000000019</v>
      </c>
      <c r="E751" s="29">
        <f t="shared" si="56"/>
        <v>100000</v>
      </c>
      <c r="H751" s="3">
        <v>38.69</v>
      </c>
      <c r="I751" s="29">
        <f t="shared" si="53"/>
        <v>30.528200000000005</v>
      </c>
      <c r="J751" s="29">
        <f t="shared" si="55"/>
        <v>27.704949999999986</v>
      </c>
      <c r="K751" s="29">
        <f t="shared" si="57"/>
        <v>133829.12487028714</v>
      </c>
    </row>
    <row r="752" spans="1:11" ht="18" x14ac:dyDescent="0.2">
      <c r="A752" s="31">
        <v>41435</v>
      </c>
      <c r="B752" s="30">
        <v>0.33</v>
      </c>
      <c r="C752" s="29">
        <f t="shared" si="52"/>
        <v>0.30199999999999982</v>
      </c>
      <c r="D752" s="29">
        <f t="shared" si="54"/>
        <v>0.33200000000000007</v>
      </c>
      <c r="E752" s="29">
        <f t="shared" si="56"/>
        <v>100000</v>
      </c>
      <c r="H752" s="3">
        <v>37.880000000000003</v>
      </c>
      <c r="I752" s="29">
        <f t="shared" si="53"/>
        <v>30.816600000000008</v>
      </c>
      <c r="J752" s="29">
        <f t="shared" si="55"/>
        <v>27.76094999999998</v>
      </c>
      <c r="K752" s="29">
        <f t="shared" si="57"/>
        <v>131027.32618471123</v>
      </c>
    </row>
    <row r="753" spans="1:11" ht="18" x14ac:dyDescent="0.2">
      <c r="A753" s="31">
        <v>41442</v>
      </c>
      <c r="B753" s="30">
        <v>0.34</v>
      </c>
      <c r="C753" s="29">
        <f t="shared" si="52"/>
        <v>0.30239999999999984</v>
      </c>
      <c r="D753" s="29">
        <f t="shared" si="54"/>
        <v>0.33215000000000017</v>
      </c>
      <c r="E753" s="29">
        <f t="shared" si="56"/>
        <v>100000</v>
      </c>
      <c r="H753" s="3">
        <v>37.049999999999997</v>
      </c>
      <c r="I753" s="29">
        <f t="shared" si="53"/>
        <v>31.075600000000005</v>
      </c>
      <c r="J753" s="29">
        <f t="shared" si="55"/>
        <v>27.810849999999977</v>
      </c>
      <c r="K753" s="29">
        <f t="shared" si="57"/>
        <v>128156.34728467662</v>
      </c>
    </row>
    <row r="754" spans="1:11" ht="18" x14ac:dyDescent="0.2">
      <c r="A754" s="31">
        <v>41449</v>
      </c>
      <c r="B754" s="30">
        <v>0.33</v>
      </c>
      <c r="C754" s="29">
        <f t="shared" si="52"/>
        <v>0.30279999999999985</v>
      </c>
      <c r="D754" s="29">
        <f t="shared" si="54"/>
        <v>0.33220000000000022</v>
      </c>
      <c r="E754" s="29">
        <f t="shared" si="56"/>
        <v>100000</v>
      </c>
      <c r="H754" s="3">
        <v>37.64</v>
      </c>
      <c r="I754" s="29">
        <f t="shared" si="53"/>
        <v>31.321600000000004</v>
      </c>
      <c r="J754" s="29">
        <f t="shared" si="55"/>
        <v>27.876699999999982</v>
      </c>
      <c r="K754" s="29">
        <f t="shared" si="57"/>
        <v>130197.16361120724</v>
      </c>
    </row>
    <row r="755" spans="1:11" ht="18" x14ac:dyDescent="0.2">
      <c r="A755" s="31">
        <v>41463</v>
      </c>
      <c r="B755" s="30">
        <v>0.34</v>
      </c>
      <c r="C755" s="29">
        <f t="shared" ref="C755:C818" si="58">AVERAGE(B706:B755)</f>
        <v>0.3037999999999999</v>
      </c>
      <c r="D755" s="29">
        <f t="shared" si="54"/>
        <v>0.33220000000000027</v>
      </c>
      <c r="E755" s="29">
        <f t="shared" si="56"/>
        <v>100000</v>
      </c>
      <c r="H755" s="3">
        <v>38.49</v>
      </c>
      <c r="I755" s="29">
        <f t="shared" si="53"/>
        <v>31.604800000000004</v>
      </c>
      <c r="J755" s="29">
        <f t="shared" si="55"/>
        <v>27.92619999999998</v>
      </c>
      <c r="K755" s="29">
        <f t="shared" si="57"/>
        <v>133137.32272570051</v>
      </c>
    </row>
    <row r="756" spans="1:11" ht="18" x14ac:dyDescent="0.2">
      <c r="A756" s="31">
        <v>41470</v>
      </c>
      <c r="B756" s="30">
        <v>0.33</v>
      </c>
      <c r="C756" s="29">
        <f t="shared" si="58"/>
        <v>0.30459999999999993</v>
      </c>
      <c r="D756" s="29">
        <f t="shared" si="54"/>
        <v>0.33210000000000023</v>
      </c>
      <c r="E756" s="29">
        <f t="shared" si="56"/>
        <v>100000</v>
      </c>
      <c r="H756" s="3">
        <v>39.479999999999997</v>
      </c>
      <c r="I756" s="29">
        <f t="shared" ref="I756:I819" si="59">AVERAGE(H706:H755)</f>
        <v>31.870600000000003</v>
      </c>
      <c r="J756" s="29">
        <f t="shared" si="55"/>
        <v>27.980949999999979</v>
      </c>
      <c r="K756" s="29">
        <f t="shared" si="57"/>
        <v>136561.74334140439</v>
      </c>
    </row>
    <row r="757" spans="1:11" ht="18" x14ac:dyDescent="0.2">
      <c r="A757" s="31">
        <v>41477</v>
      </c>
      <c r="B757" s="30">
        <v>0.33</v>
      </c>
      <c r="C757" s="29">
        <f t="shared" si="58"/>
        <v>0.30499999999999994</v>
      </c>
      <c r="D757" s="29">
        <f t="shared" si="54"/>
        <v>0.33190000000000025</v>
      </c>
      <c r="E757" s="29">
        <f t="shared" si="56"/>
        <v>100000</v>
      </c>
      <c r="H757" s="3">
        <v>40.33</v>
      </c>
      <c r="I757" s="29">
        <f t="shared" si="59"/>
        <v>32.186600000000006</v>
      </c>
      <c r="J757" s="29">
        <f t="shared" si="55"/>
        <v>28.048899999999982</v>
      </c>
      <c r="K757" s="29">
        <f t="shared" si="57"/>
        <v>139501.90245589765</v>
      </c>
    </row>
    <row r="758" spans="1:11" ht="18" x14ac:dyDescent="0.2">
      <c r="A758" s="31">
        <v>41484</v>
      </c>
      <c r="B758" s="30">
        <v>0.34</v>
      </c>
      <c r="C758" s="29">
        <f t="shared" si="58"/>
        <v>0.30559999999999993</v>
      </c>
      <c r="D758" s="29">
        <f t="shared" si="54"/>
        <v>0.33185000000000031</v>
      </c>
      <c r="E758" s="29">
        <f t="shared" si="56"/>
        <v>100000</v>
      </c>
      <c r="H758" s="3">
        <v>40.25</v>
      </c>
      <c r="I758" s="29">
        <f t="shared" si="59"/>
        <v>32.477800000000009</v>
      </c>
      <c r="J758" s="29">
        <f t="shared" si="55"/>
        <v>28.097349999999977</v>
      </c>
      <c r="K758" s="29">
        <f t="shared" si="57"/>
        <v>139225.18159806298</v>
      </c>
    </row>
    <row r="759" spans="1:11" ht="18" x14ac:dyDescent="0.2">
      <c r="A759" s="31">
        <v>41491</v>
      </c>
      <c r="B759" s="30">
        <v>0.34</v>
      </c>
      <c r="C759" s="29">
        <f t="shared" si="58"/>
        <v>0.30559999999999993</v>
      </c>
      <c r="D759" s="29">
        <f t="shared" si="54"/>
        <v>0.33190000000000031</v>
      </c>
      <c r="E759" s="29">
        <f t="shared" si="56"/>
        <v>100000</v>
      </c>
      <c r="H759" s="3">
        <v>39.15</v>
      </c>
      <c r="I759" s="29">
        <f t="shared" si="59"/>
        <v>32.778600000000004</v>
      </c>
      <c r="J759" s="29">
        <f t="shared" si="55"/>
        <v>28.136399999999981</v>
      </c>
      <c r="K759" s="29">
        <f t="shared" si="57"/>
        <v>135420.26980283641</v>
      </c>
    </row>
    <row r="760" spans="1:11" ht="18" x14ac:dyDescent="0.2">
      <c r="A760" s="31">
        <v>41498</v>
      </c>
      <c r="B760" s="30">
        <v>0.35</v>
      </c>
      <c r="C760" s="29">
        <f t="shared" si="58"/>
        <v>0.30579999999999996</v>
      </c>
      <c r="D760" s="29">
        <f t="shared" si="54"/>
        <v>0.33205000000000029</v>
      </c>
      <c r="E760" s="29">
        <f t="shared" si="56"/>
        <v>100000</v>
      </c>
      <c r="H760" s="3">
        <v>38.270000000000003</v>
      </c>
      <c r="I760" s="29">
        <f t="shared" si="59"/>
        <v>33.045000000000002</v>
      </c>
      <c r="J760" s="29">
        <f t="shared" si="55"/>
        <v>28.17864999999998</v>
      </c>
      <c r="K760" s="29">
        <f t="shared" si="57"/>
        <v>132376.34036665517</v>
      </c>
    </row>
    <row r="761" spans="1:11" ht="18" x14ac:dyDescent="0.2">
      <c r="A761" s="31">
        <v>41505</v>
      </c>
      <c r="B761" s="30">
        <v>0.35</v>
      </c>
      <c r="C761" s="29">
        <f t="shared" si="58"/>
        <v>0.30619999999999997</v>
      </c>
      <c r="D761" s="29">
        <f t="shared" si="54"/>
        <v>0.33220000000000027</v>
      </c>
      <c r="E761" s="29">
        <f t="shared" si="56"/>
        <v>100000</v>
      </c>
      <c r="H761" s="3">
        <v>37.57</v>
      </c>
      <c r="I761" s="29">
        <f t="shared" si="59"/>
        <v>33.293800000000005</v>
      </c>
      <c r="J761" s="29">
        <f t="shared" si="55"/>
        <v>28.230199999999979</v>
      </c>
      <c r="K761" s="29">
        <f t="shared" si="57"/>
        <v>129955.0328606019</v>
      </c>
    </row>
    <row r="762" spans="1:11" ht="18" x14ac:dyDescent="0.2">
      <c r="A762" s="31">
        <v>41512</v>
      </c>
      <c r="B762" s="30">
        <v>0.35</v>
      </c>
      <c r="C762" s="29">
        <f t="shared" si="58"/>
        <v>0.30679999999999996</v>
      </c>
      <c r="D762" s="29">
        <f t="shared" si="54"/>
        <v>0.33245000000000019</v>
      </c>
      <c r="E762" s="29">
        <f t="shared" si="56"/>
        <v>100000</v>
      </c>
      <c r="H762" s="3">
        <v>36.29</v>
      </c>
      <c r="I762" s="29">
        <f t="shared" si="59"/>
        <v>33.526000000000003</v>
      </c>
      <c r="J762" s="29">
        <f t="shared" si="55"/>
        <v>28.282949999999978</v>
      </c>
      <c r="K762" s="29">
        <f t="shared" si="57"/>
        <v>125527.49913524734</v>
      </c>
    </row>
    <row r="763" spans="1:11" ht="18" x14ac:dyDescent="0.2">
      <c r="A763" s="31">
        <v>41519</v>
      </c>
      <c r="B763" s="30">
        <v>0.35</v>
      </c>
      <c r="C763" s="29">
        <f t="shared" si="58"/>
        <v>0.30759999999999993</v>
      </c>
      <c r="D763" s="29">
        <f t="shared" si="54"/>
        <v>0.33270000000000016</v>
      </c>
      <c r="E763" s="29">
        <f t="shared" si="56"/>
        <v>100000</v>
      </c>
      <c r="H763" s="3">
        <v>37.75</v>
      </c>
      <c r="I763" s="29">
        <f t="shared" si="59"/>
        <v>33.733000000000004</v>
      </c>
      <c r="J763" s="29">
        <f t="shared" si="55"/>
        <v>28.355749999999976</v>
      </c>
      <c r="K763" s="29">
        <f t="shared" si="57"/>
        <v>130577.65479072988</v>
      </c>
    </row>
    <row r="764" spans="1:11" ht="18" x14ac:dyDescent="0.2">
      <c r="A764" s="31">
        <v>41526</v>
      </c>
      <c r="B764" s="30">
        <v>0.37</v>
      </c>
      <c r="C764" s="29">
        <f t="shared" si="58"/>
        <v>0.30859999999999999</v>
      </c>
      <c r="D764" s="29">
        <f t="shared" si="54"/>
        <v>0.33320000000000022</v>
      </c>
      <c r="E764" s="29">
        <f t="shared" si="56"/>
        <v>100000</v>
      </c>
      <c r="H764" s="3">
        <v>37.770000000000003</v>
      </c>
      <c r="I764" s="29">
        <f t="shared" si="59"/>
        <v>33.939000000000007</v>
      </c>
      <c r="J764" s="29">
        <f t="shared" si="55"/>
        <v>28.409599999999976</v>
      </c>
      <c r="K764" s="29">
        <f t="shared" si="57"/>
        <v>130646.83500518855</v>
      </c>
    </row>
    <row r="765" spans="1:11" ht="18" x14ac:dyDescent="0.2">
      <c r="A765" s="31">
        <v>41533</v>
      </c>
      <c r="B765" s="30">
        <v>0.37</v>
      </c>
      <c r="C765" s="29">
        <f t="shared" si="58"/>
        <v>0.30979999999999991</v>
      </c>
      <c r="D765" s="29">
        <f t="shared" si="54"/>
        <v>0.33355000000000018</v>
      </c>
      <c r="E765" s="29">
        <f t="shared" si="56"/>
        <v>100000</v>
      </c>
      <c r="H765" s="3">
        <v>37.92</v>
      </c>
      <c r="I765" s="29">
        <f t="shared" si="59"/>
        <v>34.113599999999998</v>
      </c>
      <c r="J765" s="29">
        <f t="shared" si="55"/>
        <v>28.475649999999977</v>
      </c>
      <c r="K765" s="29">
        <f t="shared" si="57"/>
        <v>131165.68661362852</v>
      </c>
    </row>
    <row r="766" spans="1:11" ht="18" x14ac:dyDescent="0.2">
      <c r="A766" s="31">
        <v>41540</v>
      </c>
      <c r="B766" s="30">
        <v>0.37</v>
      </c>
      <c r="C766" s="29">
        <f t="shared" si="58"/>
        <v>0.31099999999999994</v>
      </c>
      <c r="D766" s="29">
        <f t="shared" si="54"/>
        <v>0.3338500000000002</v>
      </c>
      <c r="E766" s="29">
        <f t="shared" si="56"/>
        <v>100000</v>
      </c>
      <c r="H766" s="3">
        <v>37.520000000000003</v>
      </c>
      <c r="I766" s="29">
        <f t="shared" si="59"/>
        <v>34.300800000000002</v>
      </c>
      <c r="J766" s="29">
        <f t="shared" si="55"/>
        <v>28.550449999999984</v>
      </c>
      <c r="K766" s="29">
        <f t="shared" si="57"/>
        <v>129782.08232445523</v>
      </c>
    </row>
    <row r="767" spans="1:11" ht="18" x14ac:dyDescent="0.2">
      <c r="A767" s="31">
        <v>41547</v>
      </c>
      <c r="B767" s="30">
        <v>0.37</v>
      </c>
      <c r="C767" s="29">
        <f t="shared" si="58"/>
        <v>0.3123999999999999</v>
      </c>
      <c r="D767" s="29">
        <f t="shared" si="54"/>
        <v>0.33420000000000027</v>
      </c>
      <c r="E767" s="29">
        <f t="shared" si="56"/>
        <v>100000</v>
      </c>
      <c r="H767" s="3">
        <v>37.83</v>
      </c>
      <c r="I767" s="29">
        <f t="shared" si="59"/>
        <v>34.485600000000005</v>
      </c>
      <c r="J767" s="29">
        <f t="shared" si="55"/>
        <v>28.665249999999983</v>
      </c>
      <c r="K767" s="29">
        <f t="shared" si="57"/>
        <v>130854.37564856453</v>
      </c>
    </row>
    <row r="768" spans="1:11" ht="18" x14ac:dyDescent="0.2">
      <c r="A768" s="31">
        <v>41561</v>
      </c>
      <c r="B768" s="30">
        <v>0.37</v>
      </c>
      <c r="C768" s="29">
        <f t="shared" si="58"/>
        <v>0.31399999999999989</v>
      </c>
      <c r="D768" s="29">
        <f t="shared" si="54"/>
        <v>0.33460000000000029</v>
      </c>
      <c r="E768" s="29">
        <f t="shared" si="56"/>
        <v>100000</v>
      </c>
      <c r="H768" s="3">
        <v>39.28</v>
      </c>
      <c r="I768" s="29">
        <f t="shared" si="59"/>
        <v>34.659399999999998</v>
      </c>
      <c r="J768" s="29">
        <f t="shared" si="55"/>
        <v>28.758049999999979</v>
      </c>
      <c r="K768" s="29">
        <f t="shared" si="57"/>
        <v>135869.94119681776</v>
      </c>
    </row>
    <row r="769" spans="1:11" ht="18" x14ac:dyDescent="0.2">
      <c r="A769" s="31">
        <v>41568</v>
      </c>
      <c r="B769" s="30">
        <v>0.36</v>
      </c>
      <c r="C769" s="29">
        <f t="shared" si="58"/>
        <v>0.31559999999999988</v>
      </c>
      <c r="D769" s="29">
        <f t="shared" si="54"/>
        <v>0.33475000000000038</v>
      </c>
      <c r="E769" s="29">
        <f t="shared" si="56"/>
        <v>100000</v>
      </c>
      <c r="H769" s="3">
        <v>38.18</v>
      </c>
      <c r="I769" s="29">
        <f t="shared" si="59"/>
        <v>34.859200000000001</v>
      </c>
      <c r="J769" s="29">
        <f t="shared" si="55"/>
        <v>28.823899999999981</v>
      </c>
      <c r="K769" s="29">
        <f t="shared" si="57"/>
        <v>132065.02940159119</v>
      </c>
    </row>
    <row r="770" spans="1:11" ht="18" x14ac:dyDescent="0.2">
      <c r="A770" s="31">
        <v>41575</v>
      </c>
      <c r="B770" s="30">
        <v>0.36</v>
      </c>
      <c r="C770" s="29">
        <f t="shared" si="58"/>
        <v>0.31719999999999987</v>
      </c>
      <c r="D770" s="29">
        <f t="shared" si="54"/>
        <v>0.33480000000000038</v>
      </c>
      <c r="E770" s="29">
        <f t="shared" si="56"/>
        <v>100000</v>
      </c>
      <c r="H770" s="3">
        <v>37.99</v>
      </c>
      <c r="I770" s="29">
        <f t="shared" si="59"/>
        <v>35.027200000000001</v>
      </c>
      <c r="J770" s="29">
        <f t="shared" si="55"/>
        <v>28.877549999999978</v>
      </c>
      <c r="K770" s="29">
        <f t="shared" si="57"/>
        <v>131407.81736423387</v>
      </c>
    </row>
    <row r="771" spans="1:11" ht="18" x14ac:dyDescent="0.2">
      <c r="A771" s="31">
        <v>41582</v>
      </c>
      <c r="B771" s="30">
        <v>0.36</v>
      </c>
      <c r="C771" s="29">
        <f t="shared" si="58"/>
        <v>0.31859999999999983</v>
      </c>
      <c r="D771" s="29">
        <f t="shared" si="54"/>
        <v>0.33465000000000045</v>
      </c>
      <c r="E771" s="29">
        <f t="shared" si="56"/>
        <v>100000</v>
      </c>
      <c r="H771" s="3">
        <v>39.04</v>
      </c>
      <c r="I771" s="29">
        <f t="shared" si="59"/>
        <v>35.207799999999999</v>
      </c>
      <c r="J771" s="29">
        <f t="shared" si="55"/>
        <v>28.936499999999977</v>
      </c>
      <c r="K771" s="29">
        <f t="shared" si="57"/>
        <v>135039.77862331376</v>
      </c>
    </row>
    <row r="772" spans="1:11" ht="18" x14ac:dyDescent="0.2">
      <c r="A772" s="31">
        <v>41589</v>
      </c>
      <c r="B772" s="30">
        <v>0.38</v>
      </c>
      <c r="C772" s="29">
        <f t="shared" si="58"/>
        <v>0.32059999999999989</v>
      </c>
      <c r="D772" s="29">
        <f t="shared" si="54"/>
        <v>0.33450000000000041</v>
      </c>
      <c r="E772" s="29">
        <f t="shared" si="56"/>
        <v>100000</v>
      </c>
      <c r="H772" s="3">
        <v>39.700000000000003</v>
      </c>
      <c r="I772" s="29">
        <f t="shared" si="59"/>
        <v>35.391599999999997</v>
      </c>
      <c r="J772" s="29">
        <f t="shared" si="55"/>
        <v>28.995599999999982</v>
      </c>
      <c r="K772" s="29">
        <f t="shared" si="57"/>
        <v>137322.72570044969</v>
      </c>
    </row>
    <row r="773" spans="1:11" ht="18" x14ac:dyDescent="0.2">
      <c r="A773" s="31">
        <v>41596</v>
      </c>
      <c r="B773" s="30">
        <v>0.36</v>
      </c>
      <c r="C773" s="29">
        <f t="shared" si="58"/>
        <v>0.32259999999999983</v>
      </c>
      <c r="D773" s="29">
        <f t="shared" si="54"/>
        <v>0.33415000000000034</v>
      </c>
      <c r="E773" s="29">
        <f t="shared" si="56"/>
        <v>100000</v>
      </c>
      <c r="H773" s="3">
        <v>41.57</v>
      </c>
      <c r="I773" s="29">
        <f t="shared" si="59"/>
        <v>35.613999999999997</v>
      </c>
      <c r="J773" s="29">
        <f t="shared" si="55"/>
        <v>29.064799999999977</v>
      </c>
      <c r="K773" s="29">
        <f t="shared" si="57"/>
        <v>143791.07575233484</v>
      </c>
    </row>
    <row r="774" spans="1:11" ht="18" x14ac:dyDescent="0.2">
      <c r="A774" s="31">
        <v>41603</v>
      </c>
      <c r="B774" s="30">
        <v>0.37</v>
      </c>
      <c r="C774" s="29">
        <f t="shared" si="58"/>
        <v>0.32459999999999989</v>
      </c>
      <c r="D774" s="29">
        <f t="shared" si="54"/>
        <v>0.33385000000000031</v>
      </c>
      <c r="E774" s="29">
        <f t="shared" si="56"/>
        <v>100000</v>
      </c>
      <c r="H774" s="3">
        <v>41.4</v>
      </c>
      <c r="I774" s="29">
        <f t="shared" si="59"/>
        <v>35.888999999999989</v>
      </c>
      <c r="J774" s="29">
        <f t="shared" si="55"/>
        <v>29.123099999999976</v>
      </c>
      <c r="K774" s="29">
        <f t="shared" si="57"/>
        <v>143203.04392943619</v>
      </c>
    </row>
    <row r="775" spans="1:11" ht="18" x14ac:dyDescent="0.2">
      <c r="A775" s="31">
        <v>41610</v>
      </c>
      <c r="B775" s="30">
        <v>0.36</v>
      </c>
      <c r="C775" s="29">
        <f t="shared" si="58"/>
        <v>0.32619999999999982</v>
      </c>
      <c r="D775" s="29">
        <f t="shared" si="54"/>
        <v>0.33370000000000033</v>
      </c>
      <c r="E775" s="29">
        <f t="shared" si="56"/>
        <v>100000</v>
      </c>
      <c r="H775" s="3">
        <v>40.56</v>
      </c>
      <c r="I775" s="29">
        <f t="shared" si="59"/>
        <v>36.13859999999999</v>
      </c>
      <c r="J775" s="29">
        <f t="shared" si="55"/>
        <v>29.180349999999979</v>
      </c>
      <c r="K775" s="29">
        <f t="shared" si="57"/>
        <v>140297.47492217229</v>
      </c>
    </row>
    <row r="776" spans="1:11" ht="18" x14ac:dyDescent="0.2">
      <c r="A776" s="31">
        <v>41624</v>
      </c>
      <c r="B776" s="30">
        <v>0.37</v>
      </c>
      <c r="C776" s="29">
        <f t="shared" si="58"/>
        <v>0.32799999999999985</v>
      </c>
      <c r="D776" s="29">
        <f t="shared" si="54"/>
        <v>0.33365000000000028</v>
      </c>
      <c r="E776" s="29">
        <f t="shared" si="56"/>
        <v>100000</v>
      </c>
      <c r="H776" s="3">
        <v>41.74</v>
      </c>
      <c r="I776" s="29">
        <f t="shared" si="59"/>
        <v>36.371599999999994</v>
      </c>
      <c r="J776" s="29">
        <f t="shared" si="55"/>
        <v>29.25859999999998</v>
      </c>
      <c r="K776" s="29">
        <f t="shared" si="57"/>
        <v>144379.1075752335</v>
      </c>
    </row>
    <row r="777" spans="1:11" ht="18" x14ac:dyDescent="0.2">
      <c r="A777" s="31">
        <v>41631</v>
      </c>
      <c r="B777" s="30">
        <v>0.37</v>
      </c>
      <c r="C777" s="29">
        <f t="shared" si="58"/>
        <v>0.32959999999999978</v>
      </c>
      <c r="D777" s="29">
        <f t="shared" ref="D777:D840" si="60">AVERAGE(B578:B777)</f>
        <v>0.33375000000000038</v>
      </c>
      <c r="E777" s="29">
        <f t="shared" si="56"/>
        <v>100000</v>
      </c>
      <c r="H777" s="3">
        <v>42.06</v>
      </c>
      <c r="I777" s="29">
        <f t="shared" si="59"/>
        <v>36.607399999999991</v>
      </c>
      <c r="J777" s="29">
        <f t="shared" ref="J777:J840" si="61">AVERAGE(H578:H777)</f>
        <v>29.339149999999975</v>
      </c>
      <c r="K777" s="29">
        <f t="shared" si="57"/>
        <v>145485.99100657215</v>
      </c>
    </row>
    <row r="778" spans="1:11" ht="18" x14ac:dyDescent="0.2">
      <c r="A778" s="31">
        <v>41638</v>
      </c>
      <c r="B778" s="30">
        <v>0.37</v>
      </c>
      <c r="C778" s="29">
        <f t="shared" si="58"/>
        <v>0.33139999999999981</v>
      </c>
      <c r="D778" s="29">
        <f t="shared" si="60"/>
        <v>0.33375000000000038</v>
      </c>
      <c r="E778" s="29">
        <f t="shared" ref="E778:E841" si="62">IF( C778&gt;D778,E777*B778/B777,100000)</f>
        <v>100000</v>
      </c>
      <c r="H778" s="3">
        <v>42.44</v>
      </c>
      <c r="I778" s="29">
        <f t="shared" si="59"/>
        <v>36.845999999999989</v>
      </c>
      <c r="J778" s="29">
        <f t="shared" si="61"/>
        <v>29.423749999999977</v>
      </c>
      <c r="K778" s="29">
        <f t="shared" ref="K778:K841" si="63">IF(I778&gt;J778,K777*H778/H777,100000)</f>
        <v>146800.41508128677</v>
      </c>
    </row>
    <row r="779" spans="1:11" ht="18" x14ac:dyDescent="0.2">
      <c r="A779" s="31">
        <v>41645</v>
      </c>
      <c r="B779" s="30">
        <v>0.37</v>
      </c>
      <c r="C779" s="29">
        <f t="shared" si="58"/>
        <v>0.33319999999999977</v>
      </c>
      <c r="D779" s="29">
        <f t="shared" si="60"/>
        <v>0.33360000000000034</v>
      </c>
      <c r="E779" s="29">
        <f t="shared" si="62"/>
        <v>100000</v>
      </c>
      <c r="H779" s="3">
        <v>42.59</v>
      </c>
      <c r="I779" s="29">
        <f t="shared" si="59"/>
        <v>37.075599999999994</v>
      </c>
      <c r="J779" s="29">
        <f t="shared" si="61"/>
        <v>29.506949999999978</v>
      </c>
      <c r="K779" s="29">
        <f t="shared" si="63"/>
        <v>147319.26668972679</v>
      </c>
    </row>
    <row r="780" spans="1:11" ht="18" x14ac:dyDescent="0.2">
      <c r="A780" s="31">
        <v>41652</v>
      </c>
      <c r="B780" s="30">
        <v>0.38</v>
      </c>
      <c r="C780" s="29">
        <f t="shared" si="58"/>
        <v>0.33479999999999976</v>
      </c>
      <c r="D780" s="29">
        <f t="shared" si="60"/>
        <v>0.33360000000000034</v>
      </c>
      <c r="E780" s="29">
        <f t="shared" si="62"/>
        <v>102702.70270270271</v>
      </c>
      <c r="H780" s="3">
        <v>42.32</v>
      </c>
      <c r="I780" s="29">
        <f t="shared" si="59"/>
        <v>37.318799999999989</v>
      </c>
      <c r="J780" s="29">
        <f t="shared" si="61"/>
        <v>29.585199999999976</v>
      </c>
      <c r="K780" s="29">
        <f t="shared" si="63"/>
        <v>146385.33379453479</v>
      </c>
    </row>
    <row r="781" spans="1:11" ht="18" x14ac:dyDescent="0.2">
      <c r="A781" s="31">
        <v>41666</v>
      </c>
      <c r="B781" s="30">
        <v>0.37</v>
      </c>
      <c r="C781" s="29">
        <f t="shared" si="58"/>
        <v>0.33659999999999973</v>
      </c>
      <c r="D781" s="29">
        <f t="shared" si="60"/>
        <v>0.33360000000000034</v>
      </c>
      <c r="E781" s="29">
        <f t="shared" si="62"/>
        <v>100000</v>
      </c>
      <c r="H781" s="3">
        <v>40.31</v>
      </c>
      <c r="I781" s="29">
        <f t="shared" si="59"/>
        <v>37.526799999999987</v>
      </c>
      <c r="J781" s="29">
        <f t="shared" si="61"/>
        <v>29.646899999999981</v>
      </c>
      <c r="K781" s="29">
        <f t="shared" si="63"/>
        <v>139432.72224143898</v>
      </c>
    </row>
    <row r="782" spans="1:11" ht="18" x14ac:dyDescent="0.2">
      <c r="A782" s="31">
        <v>41673</v>
      </c>
      <c r="B782" s="30">
        <v>0.37</v>
      </c>
      <c r="C782" s="29">
        <f t="shared" si="58"/>
        <v>0.33839999999999981</v>
      </c>
      <c r="D782" s="29">
        <f t="shared" si="60"/>
        <v>0.33350000000000035</v>
      </c>
      <c r="E782" s="29">
        <f t="shared" si="62"/>
        <v>100000</v>
      </c>
      <c r="H782" s="3">
        <v>41.23</v>
      </c>
      <c r="I782" s="29">
        <f t="shared" si="59"/>
        <v>37.679199999999994</v>
      </c>
      <c r="J782" s="29">
        <f t="shared" si="61"/>
        <v>29.710399999999982</v>
      </c>
      <c r="K782" s="29">
        <f t="shared" si="63"/>
        <v>142615.01210653756</v>
      </c>
    </row>
    <row r="783" spans="1:11" ht="18" x14ac:dyDescent="0.2">
      <c r="A783" s="31">
        <v>41680</v>
      </c>
      <c r="B783" s="30">
        <v>0.42</v>
      </c>
      <c r="C783" s="29">
        <f t="shared" si="58"/>
        <v>0.3409999999999998</v>
      </c>
      <c r="D783" s="29">
        <f t="shared" si="60"/>
        <v>0.33360000000000029</v>
      </c>
      <c r="E783" s="29">
        <f t="shared" si="62"/>
        <v>113513.51351351352</v>
      </c>
      <c r="H783" s="3">
        <v>42.34</v>
      </c>
      <c r="I783" s="29">
        <f t="shared" si="59"/>
        <v>37.845399999999998</v>
      </c>
      <c r="J783" s="29">
        <f t="shared" si="61"/>
        <v>29.778349999999982</v>
      </c>
      <c r="K783" s="29">
        <f t="shared" si="63"/>
        <v>146454.51400899349</v>
      </c>
    </row>
    <row r="784" spans="1:11" ht="18" x14ac:dyDescent="0.2">
      <c r="A784" s="31">
        <v>41687</v>
      </c>
      <c r="B784" s="30">
        <v>0.44</v>
      </c>
      <c r="C784" s="29">
        <f t="shared" si="58"/>
        <v>0.34399999999999986</v>
      </c>
      <c r="D784" s="29">
        <f t="shared" si="60"/>
        <v>0.33380000000000026</v>
      </c>
      <c r="E784" s="29">
        <f t="shared" si="62"/>
        <v>118918.91891891892</v>
      </c>
      <c r="H784" s="3">
        <v>41.95</v>
      </c>
      <c r="I784" s="29">
        <f t="shared" si="59"/>
        <v>38.023999999999994</v>
      </c>
      <c r="J784" s="29">
        <f t="shared" si="61"/>
        <v>29.843349999999983</v>
      </c>
      <c r="K784" s="29">
        <f t="shared" si="63"/>
        <v>145105.49982704953</v>
      </c>
    </row>
    <row r="785" spans="1:11" ht="18" x14ac:dyDescent="0.2">
      <c r="A785" s="31">
        <v>41694</v>
      </c>
      <c r="B785" s="30">
        <v>0.43</v>
      </c>
      <c r="C785" s="29">
        <f t="shared" si="58"/>
        <v>0.34679999999999983</v>
      </c>
      <c r="D785" s="29">
        <f t="shared" si="60"/>
        <v>0.33395000000000025</v>
      </c>
      <c r="E785" s="29">
        <f t="shared" si="62"/>
        <v>116216.21621621621</v>
      </c>
      <c r="H785" s="3">
        <v>43.25</v>
      </c>
      <c r="I785" s="29">
        <f t="shared" si="59"/>
        <v>38.185000000000002</v>
      </c>
      <c r="J785" s="29">
        <f t="shared" si="61"/>
        <v>29.909599999999976</v>
      </c>
      <c r="K785" s="29">
        <f t="shared" si="63"/>
        <v>149602.21376686273</v>
      </c>
    </row>
    <row r="786" spans="1:11" ht="18" x14ac:dyDescent="0.2">
      <c r="A786" s="31">
        <v>41701</v>
      </c>
      <c r="B786" s="30">
        <v>0.43</v>
      </c>
      <c r="C786" s="29">
        <f t="shared" si="58"/>
        <v>0.3495999999999998</v>
      </c>
      <c r="D786" s="29">
        <f t="shared" si="60"/>
        <v>0.33415000000000022</v>
      </c>
      <c r="E786" s="29">
        <f t="shared" si="62"/>
        <v>116216.21621621621</v>
      </c>
      <c r="H786" s="3">
        <v>43.25</v>
      </c>
      <c r="I786" s="29">
        <f t="shared" si="59"/>
        <v>38.360799999999998</v>
      </c>
      <c r="J786" s="29">
        <f t="shared" si="61"/>
        <v>29.975349999999981</v>
      </c>
      <c r="K786" s="29">
        <f t="shared" si="63"/>
        <v>149602.21376686273</v>
      </c>
    </row>
    <row r="787" spans="1:11" ht="18" x14ac:dyDescent="0.2">
      <c r="A787" s="31">
        <v>41708</v>
      </c>
      <c r="B787" s="30">
        <v>0.42</v>
      </c>
      <c r="C787" s="29">
        <f t="shared" si="58"/>
        <v>0.35219999999999979</v>
      </c>
      <c r="D787" s="29">
        <f t="shared" si="60"/>
        <v>0.33430000000000026</v>
      </c>
      <c r="E787" s="29">
        <f t="shared" si="62"/>
        <v>113513.51351351351</v>
      </c>
      <c r="H787" s="3">
        <v>41.36</v>
      </c>
      <c r="I787" s="29">
        <f t="shared" si="59"/>
        <v>38.533199999999994</v>
      </c>
      <c r="J787" s="29">
        <f t="shared" si="61"/>
        <v>30.028799999999983</v>
      </c>
      <c r="K787" s="29">
        <f t="shared" si="63"/>
        <v>143064.68350051891</v>
      </c>
    </row>
    <row r="788" spans="1:11" ht="18" x14ac:dyDescent="0.2">
      <c r="A788" s="31">
        <v>41722</v>
      </c>
      <c r="B788" s="30">
        <v>0.42</v>
      </c>
      <c r="C788" s="29">
        <f t="shared" si="58"/>
        <v>0.35479999999999984</v>
      </c>
      <c r="D788" s="29">
        <f t="shared" si="60"/>
        <v>0.33445000000000019</v>
      </c>
      <c r="E788" s="29">
        <f t="shared" si="62"/>
        <v>113513.51351351351</v>
      </c>
      <c r="H788" s="3">
        <v>43.72</v>
      </c>
      <c r="I788" s="29">
        <f t="shared" si="59"/>
        <v>38.667399999999994</v>
      </c>
      <c r="J788" s="29">
        <f t="shared" si="61"/>
        <v>30.095449999999985</v>
      </c>
      <c r="K788" s="29">
        <f t="shared" si="63"/>
        <v>151227.94880664136</v>
      </c>
    </row>
    <row r="789" spans="1:11" ht="18" x14ac:dyDescent="0.2">
      <c r="A789" s="31">
        <v>41729</v>
      </c>
      <c r="B789" s="30">
        <v>0.43</v>
      </c>
      <c r="C789" s="29">
        <f t="shared" si="58"/>
        <v>0.35739999999999983</v>
      </c>
      <c r="D789" s="29">
        <f t="shared" si="60"/>
        <v>0.33470000000000022</v>
      </c>
      <c r="E789" s="29">
        <f t="shared" si="62"/>
        <v>116216.21621621621</v>
      </c>
      <c r="H789" s="3">
        <v>43.55</v>
      </c>
      <c r="I789" s="29">
        <f t="shared" si="59"/>
        <v>38.84879999999999</v>
      </c>
      <c r="J789" s="29">
        <f t="shared" si="61"/>
        <v>30.163299999999989</v>
      </c>
      <c r="K789" s="29">
        <f t="shared" si="63"/>
        <v>150639.9169837427</v>
      </c>
    </row>
    <row r="790" spans="1:11" ht="18" x14ac:dyDescent="0.2">
      <c r="A790" s="31">
        <v>41736</v>
      </c>
      <c r="B790" s="30">
        <v>0.43</v>
      </c>
      <c r="C790" s="29">
        <f t="shared" si="58"/>
        <v>0.3601999999999998</v>
      </c>
      <c r="D790" s="29">
        <f t="shared" si="60"/>
        <v>0.33505000000000024</v>
      </c>
      <c r="E790" s="29">
        <f t="shared" si="62"/>
        <v>116216.21621621621</v>
      </c>
      <c r="H790" s="3">
        <v>40.46</v>
      </c>
      <c r="I790" s="29">
        <f t="shared" si="59"/>
        <v>39.008399999999995</v>
      </c>
      <c r="J790" s="29">
        <f t="shared" si="61"/>
        <v>30.22359999999999</v>
      </c>
      <c r="K790" s="29">
        <f t="shared" si="63"/>
        <v>139951.573849879</v>
      </c>
    </row>
    <row r="791" spans="1:11" ht="18" x14ac:dyDescent="0.2">
      <c r="A791" s="31">
        <v>41743</v>
      </c>
      <c r="B791" s="30">
        <v>0.44</v>
      </c>
      <c r="C791" s="29">
        <f t="shared" si="58"/>
        <v>0.36319999999999986</v>
      </c>
      <c r="D791" s="29">
        <f t="shared" si="60"/>
        <v>0.33565000000000028</v>
      </c>
      <c r="E791" s="29">
        <f t="shared" si="62"/>
        <v>118918.91891891892</v>
      </c>
      <c r="H791" s="3">
        <v>40.729999999999997</v>
      </c>
      <c r="I791" s="29">
        <f t="shared" si="59"/>
        <v>39.108799999999995</v>
      </c>
      <c r="J791" s="29">
        <f t="shared" si="61"/>
        <v>30.291299999999989</v>
      </c>
      <c r="K791" s="29">
        <f t="shared" si="63"/>
        <v>140885.50674507098</v>
      </c>
    </row>
    <row r="792" spans="1:11" ht="18" x14ac:dyDescent="0.2">
      <c r="A792" s="31">
        <v>41757</v>
      </c>
      <c r="B792" s="30">
        <v>0.44</v>
      </c>
      <c r="C792" s="29">
        <f t="shared" si="58"/>
        <v>0.36619999999999986</v>
      </c>
      <c r="D792" s="29">
        <f t="shared" si="60"/>
        <v>0.3363500000000002</v>
      </c>
      <c r="E792" s="29">
        <f t="shared" si="62"/>
        <v>118918.91891891892</v>
      </c>
      <c r="H792" s="3">
        <v>39.58</v>
      </c>
      <c r="I792" s="29">
        <f t="shared" si="59"/>
        <v>39.232199999999992</v>
      </c>
      <c r="J792" s="29">
        <f t="shared" si="61"/>
        <v>30.356149999999985</v>
      </c>
      <c r="K792" s="29">
        <f t="shared" si="63"/>
        <v>136907.64441369774</v>
      </c>
    </row>
    <row r="793" spans="1:11" ht="18" x14ac:dyDescent="0.2">
      <c r="A793" s="31">
        <v>41764</v>
      </c>
      <c r="B793" s="30">
        <v>0.43</v>
      </c>
      <c r="C793" s="29">
        <f t="shared" si="58"/>
        <v>0.36879999999999979</v>
      </c>
      <c r="D793" s="29">
        <f t="shared" si="60"/>
        <v>0.33705000000000018</v>
      </c>
      <c r="E793" s="29">
        <f t="shared" si="62"/>
        <v>116216.21621621621</v>
      </c>
      <c r="H793" s="3">
        <v>39.06</v>
      </c>
      <c r="I793" s="29">
        <f t="shared" si="59"/>
        <v>39.344799999999992</v>
      </c>
      <c r="J793" s="29">
        <f t="shared" si="61"/>
        <v>30.417849999999991</v>
      </c>
      <c r="K793" s="29">
        <f t="shared" si="63"/>
        <v>135108.95883777246</v>
      </c>
    </row>
    <row r="794" spans="1:11" ht="18" x14ac:dyDescent="0.2">
      <c r="A794" s="31">
        <v>41771</v>
      </c>
      <c r="B794" s="30">
        <v>0.43</v>
      </c>
      <c r="C794" s="29">
        <f t="shared" si="58"/>
        <v>0.37159999999999982</v>
      </c>
      <c r="D794" s="29">
        <f t="shared" si="60"/>
        <v>0.33770000000000022</v>
      </c>
      <c r="E794" s="29">
        <f t="shared" si="62"/>
        <v>116216.21621621621</v>
      </c>
      <c r="H794" s="3">
        <v>39.96</v>
      </c>
      <c r="I794" s="29">
        <f t="shared" si="59"/>
        <v>39.427199999999992</v>
      </c>
      <c r="J794" s="29">
        <f t="shared" si="61"/>
        <v>30.485649999999993</v>
      </c>
      <c r="K794" s="29">
        <f t="shared" si="63"/>
        <v>138222.06848841236</v>
      </c>
    </row>
    <row r="795" spans="1:11" ht="18" x14ac:dyDescent="0.2">
      <c r="A795" s="31">
        <v>41778</v>
      </c>
      <c r="B795" s="30">
        <v>0.44</v>
      </c>
      <c r="C795" s="29">
        <f t="shared" si="58"/>
        <v>0.37419999999999987</v>
      </c>
      <c r="D795" s="29">
        <f t="shared" si="60"/>
        <v>0.33850000000000013</v>
      </c>
      <c r="E795" s="29">
        <f t="shared" si="62"/>
        <v>118918.91891891892</v>
      </c>
      <c r="H795" s="3">
        <v>40.72</v>
      </c>
      <c r="I795" s="29">
        <f t="shared" si="59"/>
        <v>39.55299999999999</v>
      </c>
      <c r="J795" s="29">
        <f t="shared" si="61"/>
        <v>30.563749999999992</v>
      </c>
      <c r="K795" s="29">
        <f t="shared" si="63"/>
        <v>140850.91663784161</v>
      </c>
    </row>
    <row r="796" spans="1:11" ht="18" x14ac:dyDescent="0.2">
      <c r="A796" s="31">
        <v>41785</v>
      </c>
      <c r="B796" s="30">
        <v>0.45</v>
      </c>
      <c r="C796" s="29">
        <f t="shared" si="58"/>
        <v>0.37679999999999991</v>
      </c>
      <c r="D796" s="29">
        <f t="shared" si="60"/>
        <v>0.3394000000000002</v>
      </c>
      <c r="E796" s="29">
        <f t="shared" si="62"/>
        <v>121621.62162162163</v>
      </c>
      <c r="H796" s="3">
        <v>41.75</v>
      </c>
      <c r="I796" s="29">
        <f t="shared" si="59"/>
        <v>39.670399999999994</v>
      </c>
      <c r="J796" s="29">
        <f t="shared" si="61"/>
        <v>30.645449999999993</v>
      </c>
      <c r="K796" s="29">
        <f t="shared" si="63"/>
        <v>144413.69768246287</v>
      </c>
    </row>
    <row r="797" spans="1:11" ht="18" x14ac:dyDescent="0.2">
      <c r="A797" s="31">
        <v>41792</v>
      </c>
      <c r="B797" s="30">
        <v>0.45</v>
      </c>
      <c r="C797" s="29">
        <f t="shared" si="58"/>
        <v>0.37899999999999984</v>
      </c>
      <c r="D797" s="29">
        <f t="shared" si="60"/>
        <v>0.34025000000000022</v>
      </c>
      <c r="E797" s="29">
        <f t="shared" si="62"/>
        <v>121621.62162162163</v>
      </c>
      <c r="H797" s="3">
        <v>41.8</v>
      </c>
      <c r="I797" s="29">
        <f t="shared" si="59"/>
        <v>39.826999999999991</v>
      </c>
      <c r="J797" s="29">
        <f t="shared" si="61"/>
        <v>30.723749999999992</v>
      </c>
      <c r="K797" s="29">
        <f t="shared" si="63"/>
        <v>144586.64821860954</v>
      </c>
    </row>
    <row r="798" spans="1:11" ht="18" x14ac:dyDescent="0.2">
      <c r="A798" s="31">
        <v>41799</v>
      </c>
      <c r="B798" s="30">
        <v>0.46</v>
      </c>
      <c r="C798" s="29">
        <f t="shared" si="58"/>
        <v>0.38119999999999982</v>
      </c>
      <c r="D798" s="29">
        <f t="shared" si="60"/>
        <v>0.34130000000000016</v>
      </c>
      <c r="E798" s="29">
        <f t="shared" si="62"/>
        <v>124324.32432432433</v>
      </c>
      <c r="H798" s="3">
        <v>42.17</v>
      </c>
      <c r="I798" s="29">
        <f t="shared" si="59"/>
        <v>39.96479999999999</v>
      </c>
      <c r="J798" s="29">
        <f t="shared" si="61"/>
        <v>30.803049999999988</v>
      </c>
      <c r="K798" s="29">
        <f t="shared" si="63"/>
        <v>145866.48218609486</v>
      </c>
    </row>
    <row r="799" spans="1:11" ht="18" x14ac:dyDescent="0.2">
      <c r="A799" s="31">
        <v>41806</v>
      </c>
      <c r="B799" s="30">
        <v>0.45</v>
      </c>
      <c r="C799" s="29">
        <f t="shared" si="58"/>
        <v>0.3833999999999998</v>
      </c>
      <c r="D799" s="29">
        <f t="shared" si="60"/>
        <v>0.34240000000000015</v>
      </c>
      <c r="E799" s="29">
        <f t="shared" si="62"/>
        <v>121621.62162162163</v>
      </c>
      <c r="H799" s="3">
        <v>42.16</v>
      </c>
      <c r="I799" s="29">
        <f t="shared" si="59"/>
        <v>40.062399999999997</v>
      </c>
      <c r="J799" s="29">
        <f t="shared" si="61"/>
        <v>30.894349999999989</v>
      </c>
      <c r="K799" s="29">
        <f t="shared" si="63"/>
        <v>145831.89207886549</v>
      </c>
    </row>
    <row r="800" spans="1:11" ht="18" x14ac:dyDescent="0.2">
      <c r="A800" s="31">
        <v>41813</v>
      </c>
      <c r="B800" s="30">
        <v>0.44</v>
      </c>
      <c r="C800" s="29">
        <f t="shared" si="58"/>
        <v>0.38539999999999991</v>
      </c>
      <c r="D800" s="29">
        <f t="shared" si="60"/>
        <v>0.34340000000000004</v>
      </c>
      <c r="E800" s="29">
        <f t="shared" si="62"/>
        <v>118918.91891891892</v>
      </c>
      <c r="H800" s="3">
        <v>41.18</v>
      </c>
      <c r="I800" s="29">
        <f t="shared" si="59"/>
        <v>40.140399999999993</v>
      </c>
      <c r="J800" s="29">
        <f t="shared" si="61"/>
        <v>30.970499999999994</v>
      </c>
      <c r="K800" s="29">
        <f t="shared" si="63"/>
        <v>142442.06157039091</v>
      </c>
    </row>
    <row r="801" spans="1:11" ht="18" x14ac:dyDescent="0.2">
      <c r="A801" s="31">
        <v>41827</v>
      </c>
      <c r="B801" s="30">
        <v>0.45</v>
      </c>
      <c r="C801" s="29">
        <f t="shared" si="58"/>
        <v>0.38759999999999989</v>
      </c>
      <c r="D801" s="29">
        <f t="shared" si="60"/>
        <v>0.34450000000000008</v>
      </c>
      <c r="E801" s="29">
        <f t="shared" si="62"/>
        <v>121621.62162162163</v>
      </c>
      <c r="H801" s="3">
        <v>42.97</v>
      </c>
      <c r="I801" s="29">
        <f t="shared" si="59"/>
        <v>40.185599999999994</v>
      </c>
      <c r="J801" s="29">
        <f t="shared" si="61"/>
        <v>31.055099999999992</v>
      </c>
      <c r="K801" s="29">
        <f t="shared" si="63"/>
        <v>148633.69076444142</v>
      </c>
    </row>
    <row r="802" spans="1:11" ht="18" x14ac:dyDescent="0.2">
      <c r="A802" s="31">
        <v>41834</v>
      </c>
      <c r="B802" s="30">
        <v>0.44</v>
      </c>
      <c r="C802" s="29">
        <f t="shared" si="58"/>
        <v>0.38979999999999992</v>
      </c>
      <c r="D802" s="29">
        <f t="shared" si="60"/>
        <v>0.34550000000000014</v>
      </c>
      <c r="E802" s="29">
        <f t="shared" si="62"/>
        <v>118918.91891891892</v>
      </c>
      <c r="H802" s="3">
        <v>43.54</v>
      </c>
      <c r="I802" s="29">
        <f t="shared" si="59"/>
        <v>40.271199999999993</v>
      </c>
      <c r="J802" s="29">
        <f t="shared" si="61"/>
        <v>31.139749999999989</v>
      </c>
      <c r="K802" s="29">
        <f t="shared" si="63"/>
        <v>150605.32687651337</v>
      </c>
    </row>
    <row r="803" spans="1:11" ht="18" x14ac:dyDescent="0.2">
      <c r="A803" s="31">
        <v>41841</v>
      </c>
      <c r="B803" s="30">
        <v>0.42</v>
      </c>
      <c r="C803" s="29">
        <f t="shared" si="58"/>
        <v>0.39139999999999991</v>
      </c>
      <c r="D803" s="29">
        <f t="shared" si="60"/>
        <v>0.34655000000000008</v>
      </c>
      <c r="E803" s="29">
        <f t="shared" si="62"/>
        <v>113513.51351351352</v>
      </c>
      <c r="H803" s="3">
        <v>41.57</v>
      </c>
      <c r="I803" s="29">
        <f t="shared" si="59"/>
        <v>40.384399999999999</v>
      </c>
      <c r="J803" s="29">
        <f t="shared" si="61"/>
        <v>31.213049999999988</v>
      </c>
      <c r="K803" s="29">
        <f t="shared" si="63"/>
        <v>143791.07575233487</v>
      </c>
    </row>
    <row r="804" spans="1:11" ht="18" x14ac:dyDescent="0.2">
      <c r="A804" s="31">
        <v>41855</v>
      </c>
      <c r="B804" s="30">
        <v>0.45</v>
      </c>
      <c r="C804" s="29">
        <f t="shared" si="58"/>
        <v>0.39379999999999993</v>
      </c>
      <c r="D804" s="29">
        <f t="shared" si="60"/>
        <v>0.34770000000000012</v>
      </c>
      <c r="E804" s="29">
        <f t="shared" si="62"/>
        <v>121621.62162162164</v>
      </c>
      <c r="H804" s="3">
        <v>41.88</v>
      </c>
      <c r="I804" s="29">
        <f t="shared" si="59"/>
        <v>40.474800000000002</v>
      </c>
      <c r="J804" s="29">
        <f t="shared" si="61"/>
        <v>31.287399999999995</v>
      </c>
      <c r="K804" s="29">
        <f t="shared" si="63"/>
        <v>144863.36907644419</v>
      </c>
    </row>
    <row r="805" spans="1:11" ht="18" x14ac:dyDescent="0.2">
      <c r="A805" s="31">
        <v>41862</v>
      </c>
      <c r="B805" s="30">
        <v>0.45</v>
      </c>
      <c r="C805" s="29">
        <f t="shared" si="58"/>
        <v>0.39599999999999996</v>
      </c>
      <c r="D805" s="29">
        <f t="shared" si="60"/>
        <v>0.3488500000000001</v>
      </c>
      <c r="E805" s="29">
        <f t="shared" si="62"/>
        <v>121621.62162162164</v>
      </c>
      <c r="H805" s="3">
        <v>43.16</v>
      </c>
      <c r="I805" s="29">
        <f t="shared" si="59"/>
        <v>40.559600000000003</v>
      </c>
      <c r="J805" s="29">
        <f t="shared" si="61"/>
        <v>31.377949999999991</v>
      </c>
      <c r="K805" s="29">
        <f t="shared" si="63"/>
        <v>149290.90280179871</v>
      </c>
    </row>
    <row r="806" spans="1:11" ht="18" x14ac:dyDescent="0.2">
      <c r="A806" s="31">
        <v>41869</v>
      </c>
      <c r="B806" s="30">
        <v>0.45</v>
      </c>
      <c r="C806" s="29">
        <f t="shared" si="58"/>
        <v>0.39839999999999998</v>
      </c>
      <c r="D806" s="29">
        <f t="shared" si="60"/>
        <v>0.34995000000000009</v>
      </c>
      <c r="E806" s="29">
        <f t="shared" si="62"/>
        <v>121621.62162162164</v>
      </c>
      <c r="H806" s="3">
        <v>43.87</v>
      </c>
      <c r="I806" s="29">
        <f t="shared" si="59"/>
        <v>40.652999999999999</v>
      </c>
      <c r="J806" s="29">
        <f t="shared" si="61"/>
        <v>31.473249999999993</v>
      </c>
      <c r="K806" s="29">
        <f t="shared" si="63"/>
        <v>151746.80041508132</v>
      </c>
    </row>
    <row r="807" spans="1:11" ht="18" x14ac:dyDescent="0.2">
      <c r="A807" s="31">
        <v>41876</v>
      </c>
      <c r="B807" s="30">
        <v>0.46</v>
      </c>
      <c r="C807" s="29">
        <f t="shared" si="58"/>
        <v>0.40099999999999997</v>
      </c>
      <c r="D807" s="29">
        <f t="shared" si="60"/>
        <v>0.35110000000000008</v>
      </c>
      <c r="E807" s="29">
        <f t="shared" si="62"/>
        <v>124324.32432432433</v>
      </c>
      <c r="H807" s="3">
        <v>44.21</v>
      </c>
      <c r="I807" s="29">
        <f t="shared" si="59"/>
        <v>40.7408</v>
      </c>
      <c r="J807" s="29">
        <f t="shared" si="61"/>
        <v>31.572049999999994</v>
      </c>
      <c r="K807" s="29">
        <f t="shared" si="63"/>
        <v>152922.86406087864</v>
      </c>
    </row>
    <row r="808" spans="1:11" ht="18" x14ac:dyDescent="0.2">
      <c r="A808" s="31">
        <v>41883</v>
      </c>
      <c r="B808" s="30">
        <v>0.48</v>
      </c>
      <c r="C808" s="29">
        <f t="shared" si="58"/>
        <v>0.40379999999999994</v>
      </c>
      <c r="D808" s="29">
        <f t="shared" si="60"/>
        <v>0.35235000000000005</v>
      </c>
      <c r="E808" s="29">
        <f t="shared" si="62"/>
        <v>129729.72972972973</v>
      </c>
      <c r="H808" s="3">
        <v>44.3</v>
      </c>
      <c r="I808" s="29">
        <f t="shared" si="59"/>
        <v>40.818400000000004</v>
      </c>
      <c r="J808" s="29">
        <f t="shared" si="61"/>
        <v>31.662749999999996</v>
      </c>
      <c r="K808" s="29">
        <f t="shared" si="63"/>
        <v>153234.17502594262</v>
      </c>
    </row>
    <row r="809" spans="1:11" ht="18" x14ac:dyDescent="0.2">
      <c r="A809" s="31">
        <v>41890</v>
      </c>
      <c r="B809" s="30">
        <v>0.46</v>
      </c>
      <c r="C809" s="29">
        <f t="shared" si="58"/>
        <v>0.40619999999999995</v>
      </c>
      <c r="D809" s="29">
        <f t="shared" si="60"/>
        <v>0.35350000000000004</v>
      </c>
      <c r="E809" s="29">
        <f t="shared" si="62"/>
        <v>124324.32432432433</v>
      </c>
      <c r="H809" s="3">
        <v>45.09</v>
      </c>
      <c r="I809" s="29">
        <f t="shared" si="59"/>
        <v>40.899400000000007</v>
      </c>
      <c r="J809" s="29">
        <f t="shared" si="61"/>
        <v>31.755399999999995</v>
      </c>
      <c r="K809" s="29">
        <f t="shared" si="63"/>
        <v>155966.7934970599</v>
      </c>
    </row>
    <row r="810" spans="1:11" ht="18" x14ac:dyDescent="0.2">
      <c r="A810" s="31">
        <v>41897</v>
      </c>
      <c r="B810" s="30">
        <v>0.46</v>
      </c>
      <c r="C810" s="29">
        <f t="shared" si="58"/>
        <v>0.40839999999999999</v>
      </c>
      <c r="D810" s="29">
        <f t="shared" si="60"/>
        <v>0.35460000000000003</v>
      </c>
      <c r="E810" s="29">
        <f t="shared" si="62"/>
        <v>124324.32432432433</v>
      </c>
      <c r="H810" s="3">
        <v>44.69</v>
      </c>
      <c r="I810" s="29">
        <f t="shared" si="59"/>
        <v>41.0182</v>
      </c>
      <c r="J810" s="29">
        <f t="shared" si="61"/>
        <v>31.845049999999997</v>
      </c>
      <c r="K810" s="29">
        <f t="shared" si="63"/>
        <v>154583.18920788658</v>
      </c>
    </row>
    <row r="811" spans="1:11" ht="18" x14ac:dyDescent="0.2">
      <c r="A811" s="31">
        <v>41911</v>
      </c>
      <c r="B811" s="30">
        <v>0.44</v>
      </c>
      <c r="C811" s="29">
        <f t="shared" si="58"/>
        <v>0.41019999999999995</v>
      </c>
      <c r="D811" s="29">
        <f t="shared" si="60"/>
        <v>0.35539999999999994</v>
      </c>
      <c r="E811" s="29">
        <f t="shared" si="62"/>
        <v>118918.91891891892</v>
      </c>
      <c r="H811" s="3">
        <v>43.47</v>
      </c>
      <c r="I811" s="29">
        <f t="shared" si="59"/>
        <v>41.146600000000007</v>
      </c>
      <c r="J811" s="29">
        <f t="shared" si="61"/>
        <v>31.929649999999995</v>
      </c>
      <c r="K811" s="29">
        <f t="shared" si="63"/>
        <v>150363.19612590803</v>
      </c>
    </row>
    <row r="812" spans="1:11" ht="18" x14ac:dyDescent="0.2">
      <c r="A812" s="31">
        <v>41918</v>
      </c>
      <c r="B812" s="30">
        <v>0.4</v>
      </c>
      <c r="C812" s="29">
        <f t="shared" si="58"/>
        <v>0.41119999999999995</v>
      </c>
      <c r="D812" s="29">
        <f t="shared" si="60"/>
        <v>0.35609999999999997</v>
      </c>
      <c r="E812" s="29">
        <f t="shared" si="62"/>
        <v>108108.10810810812</v>
      </c>
      <c r="H812" s="3">
        <v>41.75</v>
      </c>
      <c r="I812" s="29">
        <f t="shared" si="59"/>
        <v>41.264600000000002</v>
      </c>
      <c r="J812" s="29">
        <f t="shared" si="61"/>
        <v>32.008799999999994</v>
      </c>
      <c r="K812" s="29">
        <f t="shared" si="63"/>
        <v>144413.69768246287</v>
      </c>
    </row>
    <row r="813" spans="1:11" ht="18" x14ac:dyDescent="0.2">
      <c r="A813" s="31">
        <v>41932</v>
      </c>
      <c r="B813" s="30">
        <v>0.44</v>
      </c>
      <c r="C813" s="29">
        <f t="shared" si="58"/>
        <v>0.41299999999999998</v>
      </c>
      <c r="D813" s="29">
        <f t="shared" si="60"/>
        <v>0.35704999999999998</v>
      </c>
      <c r="E813" s="29">
        <f t="shared" si="62"/>
        <v>118918.91891891893</v>
      </c>
      <c r="H813" s="3">
        <v>43.64</v>
      </c>
      <c r="I813" s="29">
        <f t="shared" si="59"/>
        <v>41.37380000000001</v>
      </c>
      <c r="J813" s="29">
        <f t="shared" si="61"/>
        <v>32.095699999999994</v>
      </c>
      <c r="K813" s="29">
        <f t="shared" si="63"/>
        <v>150951.22794880669</v>
      </c>
    </row>
    <row r="814" spans="1:11" ht="18" x14ac:dyDescent="0.2">
      <c r="A814" s="31">
        <v>41939</v>
      </c>
      <c r="B814" s="30">
        <v>0.47</v>
      </c>
      <c r="C814" s="29">
        <f t="shared" si="58"/>
        <v>0.41499999999999992</v>
      </c>
      <c r="D814" s="29">
        <f t="shared" si="60"/>
        <v>0.35809999999999997</v>
      </c>
      <c r="E814" s="29">
        <f t="shared" si="62"/>
        <v>127027.02702702703</v>
      </c>
      <c r="H814" s="3">
        <v>44.93</v>
      </c>
      <c r="I814" s="29">
        <f t="shared" si="59"/>
        <v>41.491600000000005</v>
      </c>
      <c r="J814" s="29">
        <f t="shared" si="61"/>
        <v>32.196100000000001</v>
      </c>
      <c r="K814" s="29">
        <f t="shared" si="63"/>
        <v>155413.35178139058</v>
      </c>
    </row>
    <row r="815" spans="1:11" ht="18" x14ac:dyDescent="0.2">
      <c r="A815" s="31">
        <v>41953</v>
      </c>
      <c r="B815" s="30">
        <v>0.47</v>
      </c>
      <c r="C815" s="29">
        <f t="shared" si="58"/>
        <v>0.41699999999999987</v>
      </c>
      <c r="D815" s="29">
        <f t="shared" si="60"/>
        <v>0.35909999999999997</v>
      </c>
      <c r="E815" s="29">
        <f t="shared" si="62"/>
        <v>127027.02702702703</v>
      </c>
      <c r="H815" s="3">
        <v>44.78</v>
      </c>
      <c r="I815" s="29">
        <f t="shared" si="59"/>
        <v>41.634800000000006</v>
      </c>
      <c r="J815" s="29">
        <f t="shared" si="61"/>
        <v>32.293900000000001</v>
      </c>
      <c r="K815" s="29">
        <f t="shared" si="63"/>
        <v>154894.50017295059</v>
      </c>
    </row>
    <row r="816" spans="1:11" ht="18" x14ac:dyDescent="0.2">
      <c r="A816" s="31">
        <v>41960</v>
      </c>
      <c r="B816" s="30">
        <v>0.49</v>
      </c>
      <c r="C816" s="29">
        <f t="shared" si="58"/>
        <v>0.41939999999999983</v>
      </c>
      <c r="D816" s="29">
        <f t="shared" si="60"/>
        <v>0.36014999999999991</v>
      </c>
      <c r="E816" s="29">
        <f t="shared" si="62"/>
        <v>132432.43243243243</v>
      </c>
      <c r="H816" s="3">
        <v>44.91</v>
      </c>
      <c r="I816" s="29">
        <f t="shared" si="59"/>
        <v>41.772000000000006</v>
      </c>
      <c r="J816" s="29">
        <f t="shared" si="61"/>
        <v>32.392600000000002</v>
      </c>
      <c r="K816" s="29">
        <f t="shared" si="63"/>
        <v>155344.17156693191</v>
      </c>
    </row>
    <row r="817" spans="1:11" ht="18" x14ac:dyDescent="0.2">
      <c r="A817" s="31">
        <v>41967</v>
      </c>
      <c r="B817" s="30">
        <v>0.5</v>
      </c>
      <c r="C817" s="29">
        <f t="shared" si="58"/>
        <v>0.42199999999999988</v>
      </c>
      <c r="D817" s="29">
        <f t="shared" si="60"/>
        <v>0.36119999999999997</v>
      </c>
      <c r="E817" s="29">
        <f t="shared" si="62"/>
        <v>135135.13513513512</v>
      </c>
      <c r="H817" s="3">
        <v>44.69</v>
      </c>
      <c r="I817" s="29">
        <f t="shared" si="59"/>
        <v>41.919800000000002</v>
      </c>
      <c r="J817" s="29">
        <f t="shared" si="61"/>
        <v>32.479149999999997</v>
      </c>
      <c r="K817" s="29">
        <f t="shared" si="63"/>
        <v>154583.18920788661</v>
      </c>
    </row>
    <row r="818" spans="1:11" ht="18" x14ac:dyDescent="0.2">
      <c r="A818" s="31">
        <v>41974</v>
      </c>
      <c r="B818" s="30">
        <v>0.51</v>
      </c>
      <c r="C818" s="29">
        <f t="shared" si="58"/>
        <v>0.4247999999999999</v>
      </c>
      <c r="D818" s="29">
        <f t="shared" si="60"/>
        <v>0.36225000000000002</v>
      </c>
      <c r="E818" s="29">
        <f t="shared" si="62"/>
        <v>137837.83783783781</v>
      </c>
      <c r="H818" s="3">
        <v>46.58</v>
      </c>
      <c r="I818" s="29">
        <f t="shared" si="59"/>
        <v>42.057000000000009</v>
      </c>
      <c r="J818" s="29">
        <f t="shared" si="61"/>
        <v>32.579599999999999</v>
      </c>
      <c r="K818" s="29">
        <f t="shared" si="63"/>
        <v>161120.71947423043</v>
      </c>
    </row>
    <row r="819" spans="1:11" ht="18" x14ac:dyDescent="0.2">
      <c r="A819" s="31">
        <v>41981</v>
      </c>
      <c r="B819" s="30">
        <v>0.47</v>
      </c>
      <c r="C819" s="29">
        <f t="shared" ref="C819:C882" si="64">AVERAGE(B770:B819)</f>
        <v>0.42699999999999988</v>
      </c>
      <c r="D819" s="29">
        <f t="shared" si="60"/>
        <v>0.36299999999999999</v>
      </c>
      <c r="E819" s="29">
        <f t="shared" si="62"/>
        <v>127027.02702702698</v>
      </c>
      <c r="H819" s="3">
        <v>44.6</v>
      </c>
      <c r="I819" s="29">
        <f t="shared" si="59"/>
        <v>42.20300000000001</v>
      </c>
      <c r="J819" s="29">
        <f t="shared" si="61"/>
        <v>32.670800000000007</v>
      </c>
      <c r="K819" s="29">
        <f t="shared" si="63"/>
        <v>154271.87824282263</v>
      </c>
    </row>
    <row r="820" spans="1:11" ht="18" x14ac:dyDescent="0.2">
      <c r="A820" s="31">
        <v>41988</v>
      </c>
      <c r="B820" s="30">
        <v>0.49</v>
      </c>
      <c r="C820" s="29">
        <f t="shared" si="64"/>
        <v>0.42959999999999982</v>
      </c>
      <c r="D820" s="29">
        <f t="shared" si="60"/>
        <v>0.36389999999999989</v>
      </c>
      <c r="E820" s="29">
        <f t="shared" si="62"/>
        <v>132432.4324324324</v>
      </c>
      <c r="H820" s="3">
        <v>46.01</v>
      </c>
      <c r="I820" s="29">
        <f t="shared" ref="I820:I883" si="65">AVERAGE(H770:H819)</f>
        <v>42.331400000000009</v>
      </c>
      <c r="J820" s="29">
        <f t="shared" si="61"/>
        <v>32.775450000000006</v>
      </c>
      <c r="K820" s="29">
        <f t="shared" si="63"/>
        <v>159149.08336215848</v>
      </c>
    </row>
    <row r="821" spans="1:11" ht="18" x14ac:dyDescent="0.2">
      <c r="A821" s="31">
        <v>41995</v>
      </c>
      <c r="B821" s="30">
        <v>0.49</v>
      </c>
      <c r="C821" s="29">
        <f t="shared" si="64"/>
        <v>0.43219999999999975</v>
      </c>
      <c r="D821" s="29">
        <f t="shared" si="60"/>
        <v>0.36464999999999992</v>
      </c>
      <c r="E821" s="29">
        <f t="shared" si="62"/>
        <v>132432.4324324324</v>
      </c>
      <c r="H821" s="3">
        <v>46.47</v>
      </c>
      <c r="I821" s="29">
        <f t="shared" si="65"/>
        <v>42.491800000000019</v>
      </c>
      <c r="J821" s="29">
        <f t="shared" si="61"/>
        <v>32.875350000000005</v>
      </c>
      <c r="K821" s="29">
        <f t="shared" si="63"/>
        <v>160740.22829470778</v>
      </c>
    </row>
    <row r="822" spans="1:11" ht="18" x14ac:dyDescent="0.2">
      <c r="A822" s="31">
        <v>42002</v>
      </c>
      <c r="B822" s="30">
        <v>0.48</v>
      </c>
      <c r="C822" s="29">
        <f t="shared" si="64"/>
        <v>0.43419999999999981</v>
      </c>
      <c r="D822" s="29">
        <f t="shared" si="60"/>
        <v>0.3653499999999999</v>
      </c>
      <c r="E822" s="29">
        <f t="shared" si="62"/>
        <v>129729.72972972969</v>
      </c>
      <c r="H822" s="3">
        <v>46.42</v>
      </c>
      <c r="I822" s="29">
        <f t="shared" si="65"/>
        <v>42.640400000000007</v>
      </c>
      <c r="J822" s="29">
        <f t="shared" si="61"/>
        <v>32.968900000000005</v>
      </c>
      <c r="K822" s="29">
        <f t="shared" si="63"/>
        <v>160567.27775856113</v>
      </c>
    </row>
    <row r="823" spans="1:11" ht="18" x14ac:dyDescent="0.2">
      <c r="A823" s="31">
        <v>42009</v>
      </c>
      <c r="B823" s="30">
        <v>0.48</v>
      </c>
      <c r="C823" s="29">
        <f t="shared" si="64"/>
        <v>0.43659999999999982</v>
      </c>
      <c r="D823" s="29">
        <f t="shared" si="60"/>
        <v>0.36609999999999987</v>
      </c>
      <c r="E823" s="29">
        <f t="shared" si="62"/>
        <v>129729.72972972969</v>
      </c>
      <c r="H823" s="3">
        <v>44.37</v>
      </c>
      <c r="I823" s="29">
        <f t="shared" si="65"/>
        <v>42.774800000000006</v>
      </c>
      <c r="J823" s="29">
        <f t="shared" si="61"/>
        <v>33.05810000000001</v>
      </c>
      <c r="K823" s="29">
        <f t="shared" si="63"/>
        <v>153476.30577654796</v>
      </c>
    </row>
    <row r="824" spans="1:11" ht="18" x14ac:dyDescent="0.2">
      <c r="A824" s="31">
        <v>42016</v>
      </c>
      <c r="B824" s="30">
        <v>0.48</v>
      </c>
      <c r="C824" s="29">
        <f t="shared" si="64"/>
        <v>0.4387999999999998</v>
      </c>
      <c r="D824" s="29">
        <f t="shared" si="60"/>
        <v>0.36679999999999985</v>
      </c>
      <c r="E824" s="29">
        <f t="shared" si="62"/>
        <v>129729.72972972969</v>
      </c>
      <c r="H824" s="3">
        <v>41.82</v>
      </c>
      <c r="I824" s="29">
        <f t="shared" si="65"/>
        <v>42.830800000000011</v>
      </c>
      <c r="J824" s="29">
        <f t="shared" si="61"/>
        <v>33.126449999999998</v>
      </c>
      <c r="K824" s="29">
        <f t="shared" si="63"/>
        <v>144655.82843306821</v>
      </c>
    </row>
    <row r="825" spans="1:11" ht="18" x14ac:dyDescent="0.2">
      <c r="A825" s="31">
        <v>42030</v>
      </c>
      <c r="B825" s="30">
        <v>0.46</v>
      </c>
      <c r="C825" s="29">
        <f t="shared" si="64"/>
        <v>0.44079999999999986</v>
      </c>
      <c r="D825" s="29">
        <f t="shared" si="60"/>
        <v>0.36734999999999984</v>
      </c>
      <c r="E825" s="29">
        <f t="shared" si="62"/>
        <v>124324.32432432429</v>
      </c>
      <c r="H825" s="3">
        <v>40.659999999999997</v>
      </c>
      <c r="I825" s="29">
        <f t="shared" si="65"/>
        <v>42.839199999999998</v>
      </c>
      <c r="J825" s="29">
        <f t="shared" si="61"/>
        <v>33.187899999999999</v>
      </c>
      <c r="K825" s="29">
        <f t="shared" si="63"/>
        <v>140643.37599446563</v>
      </c>
    </row>
    <row r="826" spans="1:11" ht="18" x14ac:dyDescent="0.2">
      <c r="A826" s="31">
        <v>42044</v>
      </c>
      <c r="B826" s="30">
        <v>0.54</v>
      </c>
      <c r="C826" s="29">
        <f t="shared" si="64"/>
        <v>0.44419999999999987</v>
      </c>
      <c r="D826" s="29">
        <f t="shared" si="60"/>
        <v>0.36774999999999985</v>
      </c>
      <c r="E826" s="29">
        <f t="shared" si="62"/>
        <v>145945.94594594592</v>
      </c>
      <c r="H826" s="3">
        <v>44.61</v>
      </c>
      <c r="I826" s="29">
        <f t="shared" si="65"/>
        <v>42.841200000000008</v>
      </c>
      <c r="J826" s="29">
        <f t="shared" si="61"/>
        <v>33.265000000000001</v>
      </c>
      <c r="K826" s="29">
        <f t="shared" si="63"/>
        <v>154306.46835005193</v>
      </c>
    </row>
    <row r="827" spans="1:11" ht="18" x14ac:dyDescent="0.2">
      <c r="A827" s="31">
        <v>42058</v>
      </c>
      <c r="B827" s="30">
        <v>0.53</v>
      </c>
      <c r="C827" s="29">
        <f t="shared" si="64"/>
        <v>0.44739999999999996</v>
      </c>
      <c r="D827" s="29">
        <f t="shared" si="60"/>
        <v>0.36769999999999992</v>
      </c>
      <c r="E827" s="29">
        <f t="shared" si="62"/>
        <v>143243.24324324323</v>
      </c>
      <c r="H827" s="3">
        <v>45.82</v>
      </c>
      <c r="I827" s="29">
        <f t="shared" si="65"/>
        <v>42.898599999999995</v>
      </c>
      <c r="J827" s="29">
        <f t="shared" si="61"/>
        <v>33.34375</v>
      </c>
      <c r="K827" s="29">
        <f t="shared" si="63"/>
        <v>158491.87132480118</v>
      </c>
    </row>
    <row r="828" spans="1:11" ht="18" x14ac:dyDescent="0.2">
      <c r="A828" s="31">
        <v>42065</v>
      </c>
      <c r="B828" s="30">
        <v>0.54</v>
      </c>
      <c r="C828" s="29">
        <f t="shared" si="64"/>
        <v>0.45079999999999992</v>
      </c>
      <c r="D828" s="29">
        <f t="shared" si="60"/>
        <v>0.36784999999999995</v>
      </c>
      <c r="E828" s="29">
        <f t="shared" si="62"/>
        <v>145945.94594594592</v>
      </c>
      <c r="H828" s="3">
        <v>45.52</v>
      </c>
      <c r="I828" s="29">
        <f t="shared" si="65"/>
        <v>42.973800000000011</v>
      </c>
      <c r="J828" s="29">
        <f t="shared" si="61"/>
        <v>33.419700000000006</v>
      </c>
      <c r="K828" s="29">
        <f t="shared" si="63"/>
        <v>157454.16810792123</v>
      </c>
    </row>
    <row r="829" spans="1:11" ht="18" x14ac:dyDescent="0.2">
      <c r="A829" s="31">
        <v>42072</v>
      </c>
      <c r="B829" s="30">
        <v>0.55000000000000004</v>
      </c>
      <c r="C829" s="29">
        <f t="shared" si="64"/>
        <v>0.45439999999999997</v>
      </c>
      <c r="D829" s="29">
        <f t="shared" si="60"/>
        <v>0.3679</v>
      </c>
      <c r="E829" s="29">
        <f t="shared" si="62"/>
        <v>148648.64864864864</v>
      </c>
      <c r="H829" s="3">
        <v>45.61</v>
      </c>
      <c r="I829" s="29">
        <f t="shared" si="65"/>
        <v>43.03540000000001</v>
      </c>
      <c r="J829" s="29">
        <f t="shared" si="61"/>
        <v>33.498650000000005</v>
      </c>
      <c r="K829" s="29">
        <f t="shared" si="63"/>
        <v>157765.47907298521</v>
      </c>
    </row>
    <row r="830" spans="1:11" ht="18" x14ac:dyDescent="0.2">
      <c r="A830" s="31">
        <v>42079</v>
      </c>
      <c r="B830" s="30">
        <v>0.56999999999999995</v>
      </c>
      <c r="C830" s="29">
        <f t="shared" si="64"/>
        <v>0.4582</v>
      </c>
      <c r="D830" s="29">
        <f t="shared" si="60"/>
        <v>0.36780000000000002</v>
      </c>
      <c r="E830" s="29">
        <f t="shared" si="62"/>
        <v>154054.05405405402</v>
      </c>
      <c r="H830" s="3">
        <v>46.17</v>
      </c>
      <c r="I830" s="29">
        <f t="shared" si="65"/>
        <v>43.095800000000011</v>
      </c>
      <c r="J830" s="29">
        <f t="shared" si="61"/>
        <v>33.580199999999998</v>
      </c>
      <c r="K830" s="29">
        <f t="shared" si="63"/>
        <v>159702.52507782783</v>
      </c>
    </row>
    <row r="831" spans="1:11" ht="18" x14ac:dyDescent="0.2">
      <c r="A831" s="31">
        <v>42086</v>
      </c>
      <c r="B831" s="30">
        <v>0.52</v>
      </c>
      <c r="C831" s="29">
        <f t="shared" si="64"/>
        <v>0.4612</v>
      </c>
      <c r="D831" s="29">
        <f t="shared" si="60"/>
        <v>0.36769999999999992</v>
      </c>
      <c r="E831" s="29">
        <f t="shared" si="62"/>
        <v>140540.54054054053</v>
      </c>
      <c r="H831" s="3">
        <v>44.52</v>
      </c>
      <c r="I831" s="29">
        <f t="shared" si="65"/>
        <v>43.172799999999995</v>
      </c>
      <c r="J831" s="29">
        <f t="shared" si="61"/>
        <v>33.646900000000002</v>
      </c>
      <c r="K831" s="29">
        <f t="shared" si="63"/>
        <v>153995.15738498798</v>
      </c>
    </row>
    <row r="832" spans="1:11" ht="18" x14ac:dyDescent="0.2">
      <c r="A832" s="31">
        <v>42093</v>
      </c>
      <c r="B832" s="30">
        <v>0.51</v>
      </c>
      <c r="C832" s="29">
        <f t="shared" si="64"/>
        <v>0.46400000000000008</v>
      </c>
      <c r="D832" s="29">
        <f t="shared" si="60"/>
        <v>0.36729999999999996</v>
      </c>
      <c r="E832" s="29">
        <f t="shared" si="62"/>
        <v>137837.83783783781</v>
      </c>
      <c r="H832" s="3">
        <v>45.25</v>
      </c>
      <c r="I832" s="29">
        <f t="shared" si="65"/>
        <v>43.256999999999998</v>
      </c>
      <c r="J832" s="29">
        <f t="shared" si="61"/>
        <v>33.712450000000004</v>
      </c>
      <c r="K832" s="29">
        <f t="shared" si="63"/>
        <v>156520.23521272923</v>
      </c>
    </row>
    <row r="833" spans="1:11" ht="18" x14ac:dyDescent="0.2">
      <c r="A833" s="31">
        <v>42100</v>
      </c>
      <c r="B833" s="30">
        <v>0.55000000000000004</v>
      </c>
      <c r="C833" s="29">
        <f t="shared" si="64"/>
        <v>0.46660000000000013</v>
      </c>
      <c r="D833" s="29">
        <f t="shared" si="60"/>
        <v>0.36739999999999995</v>
      </c>
      <c r="E833" s="29">
        <f t="shared" si="62"/>
        <v>148648.64864864861</v>
      </c>
      <c r="H833" s="3">
        <v>46.44</v>
      </c>
      <c r="I833" s="29">
        <f t="shared" si="65"/>
        <v>43.337399999999988</v>
      </c>
      <c r="J833" s="29">
        <f t="shared" si="61"/>
        <v>33.788350000000001</v>
      </c>
      <c r="K833" s="29">
        <f t="shared" si="63"/>
        <v>160636.45797301977</v>
      </c>
    </row>
    <row r="834" spans="1:11" ht="18" x14ac:dyDescent="0.2">
      <c r="A834" s="31">
        <v>42107</v>
      </c>
      <c r="B834" s="30">
        <v>0.53</v>
      </c>
      <c r="C834" s="29">
        <f t="shared" si="64"/>
        <v>0.46840000000000015</v>
      </c>
      <c r="D834" s="29">
        <f t="shared" si="60"/>
        <v>0.36765000000000003</v>
      </c>
      <c r="E834" s="29">
        <f t="shared" si="62"/>
        <v>143243.24324324323</v>
      </c>
      <c r="H834" s="3">
        <v>47.29</v>
      </c>
      <c r="I834" s="29">
        <f t="shared" si="65"/>
        <v>43.419399999999996</v>
      </c>
      <c r="J834" s="29">
        <f t="shared" si="61"/>
        <v>33.872399999999999</v>
      </c>
      <c r="K834" s="29">
        <f t="shared" si="63"/>
        <v>163576.61708751303</v>
      </c>
    </row>
    <row r="835" spans="1:11" ht="18" x14ac:dyDescent="0.2">
      <c r="A835" s="31">
        <v>42114</v>
      </c>
      <c r="B835" s="30">
        <v>0.53</v>
      </c>
      <c r="C835" s="29">
        <f t="shared" si="64"/>
        <v>0.47040000000000021</v>
      </c>
      <c r="D835" s="29">
        <f t="shared" si="60"/>
        <v>0.36825000000000002</v>
      </c>
      <c r="E835" s="29">
        <f t="shared" si="62"/>
        <v>143243.24324324323</v>
      </c>
      <c r="H835" s="3">
        <v>47.11</v>
      </c>
      <c r="I835" s="29">
        <f t="shared" si="65"/>
        <v>43.526199999999996</v>
      </c>
      <c r="J835" s="29">
        <f t="shared" si="61"/>
        <v>33.954799999999999</v>
      </c>
      <c r="K835" s="29">
        <f t="shared" si="63"/>
        <v>162953.99515738507</v>
      </c>
    </row>
    <row r="836" spans="1:11" ht="18" x14ac:dyDescent="0.2">
      <c r="A836" s="31">
        <v>42121</v>
      </c>
      <c r="B836" s="30">
        <v>0.55000000000000004</v>
      </c>
      <c r="C836" s="29">
        <f t="shared" si="64"/>
        <v>0.47280000000000022</v>
      </c>
      <c r="D836" s="29">
        <f t="shared" si="60"/>
        <v>0.36900000000000005</v>
      </c>
      <c r="E836" s="29">
        <f t="shared" si="62"/>
        <v>148648.64864864864</v>
      </c>
      <c r="H836" s="3">
        <v>47.87</v>
      </c>
      <c r="I836" s="29">
        <f t="shared" si="65"/>
        <v>43.603400000000001</v>
      </c>
      <c r="J836" s="29">
        <f t="shared" si="61"/>
        <v>34.041000000000004</v>
      </c>
      <c r="K836" s="29">
        <f t="shared" si="63"/>
        <v>165582.84330681432</v>
      </c>
    </row>
    <row r="837" spans="1:11" ht="18" x14ac:dyDescent="0.2">
      <c r="A837" s="31">
        <v>42149</v>
      </c>
      <c r="B837" s="30">
        <v>0.54</v>
      </c>
      <c r="C837" s="29">
        <f t="shared" si="64"/>
        <v>0.47520000000000023</v>
      </c>
      <c r="D837" s="29">
        <f t="shared" si="60"/>
        <v>0.36955000000000005</v>
      </c>
      <c r="E837" s="29">
        <f t="shared" si="62"/>
        <v>145945.94594594592</v>
      </c>
      <c r="H837" s="3">
        <v>49.51</v>
      </c>
      <c r="I837" s="29">
        <f t="shared" si="65"/>
        <v>43.695799999999998</v>
      </c>
      <c r="J837" s="29">
        <f t="shared" si="61"/>
        <v>34.135000000000005</v>
      </c>
      <c r="K837" s="29">
        <f t="shared" si="63"/>
        <v>171255.62089242483</v>
      </c>
    </row>
    <row r="838" spans="1:11" ht="18" x14ac:dyDescent="0.2">
      <c r="A838" s="31">
        <v>42156</v>
      </c>
      <c r="B838" s="30">
        <v>0.54</v>
      </c>
      <c r="C838" s="29">
        <f t="shared" si="64"/>
        <v>0.47760000000000019</v>
      </c>
      <c r="D838" s="29">
        <f t="shared" si="60"/>
        <v>0.37015000000000009</v>
      </c>
      <c r="E838" s="29">
        <f t="shared" si="62"/>
        <v>145945.94594594592</v>
      </c>
      <c r="H838" s="3">
        <v>50.74</v>
      </c>
      <c r="I838" s="29">
        <f t="shared" si="65"/>
        <v>43.858800000000002</v>
      </c>
      <c r="J838" s="29">
        <f t="shared" si="61"/>
        <v>34.233499999999999</v>
      </c>
      <c r="K838" s="29">
        <f t="shared" si="63"/>
        <v>175510.20408163272</v>
      </c>
    </row>
    <row r="839" spans="1:11" ht="18" x14ac:dyDescent="0.2">
      <c r="A839" s="31">
        <v>42163</v>
      </c>
      <c r="B839" s="30">
        <v>0.51</v>
      </c>
      <c r="C839" s="29">
        <f t="shared" si="64"/>
        <v>0.47920000000000024</v>
      </c>
      <c r="D839" s="29">
        <f t="shared" si="60"/>
        <v>0.37070000000000008</v>
      </c>
      <c r="E839" s="29">
        <f t="shared" si="62"/>
        <v>137837.83783783781</v>
      </c>
      <c r="H839" s="3">
        <v>51.37</v>
      </c>
      <c r="I839" s="29">
        <f t="shared" si="65"/>
        <v>43.999200000000002</v>
      </c>
      <c r="J839" s="29">
        <f t="shared" si="61"/>
        <v>34.333550000000002</v>
      </c>
      <c r="K839" s="29">
        <f t="shared" si="63"/>
        <v>177689.38083708065</v>
      </c>
    </row>
    <row r="840" spans="1:11" ht="18" x14ac:dyDescent="0.2">
      <c r="A840" s="31">
        <v>42170</v>
      </c>
      <c r="B840" s="30">
        <v>0.53</v>
      </c>
      <c r="C840" s="29">
        <f t="shared" si="64"/>
        <v>0.48120000000000024</v>
      </c>
      <c r="D840" s="29">
        <f t="shared" si="60"/>
        <v>0.37120000000000014</v>
      </c>
      <c r="E840" s="29">
        <f t="shared" si="62"/>
        <v>143243.24324324323</v>
      </c>
      <c r="H840" s="3">
        <v>51.24</v>
      </c>
      <c r="I840" s="29">
        <f t="shared" si="65"/>
        <v>44.155599999999986</v>
      </c>
      <c r="J840" s="29">
        <f t="shared" si="61"/>
        <v>34.438649999999996</v>
      </c>
      <c r="K840" s="29">
        <f t="shared" si="63"/>
        <v>177239.70944309933</v>
      </c>
    </row>
    <row r="841" spans="1:11" ht="18" x14ac:dyDescent="0.2">
      <c r="A841" s="31">
        <v>42177</v>
      </c>
      <c r="B841" s="30">
        <v>0.5</v>
      </c>
      <c r="C841" s="29">
        <f t="shared" si="64"/>
        <v>0.48240000000000033</v>
      </c>
      <c r="D841" s="29">
        <f t="shared" ref="D841:D904" si="66">AVERAGE(B642:B841)</f>
        <v>0.3716000000000001</v>
      </c>
      <c r="E841" s="29">
        <f t="shared" si="62"/>
        <v>135135.13513513512</v>
      </c>
      <c r="H841" s="3">
        <v>51.89</v>
      </c>
      <c r="I841" s="29">
        <f t="shared" si="65"/>
        <v>44.37119999999998</v>
      </c>
      <c r="J841" s="29">
        <f t="shared" ref="J841:J904" si="67">AVERAGE(H642:H841)</f>
        <v>34.547699999999999</v>
      </c>
      <c r="K841" s="29">
        <f t="shared" si="63"/>
        <v>179488.06641300596</v>
      </c>
    </row>
    <row r="842" spans="1:11" ht="18" x14ac:dyDescent="0.2">
      <c r="A842" s="31">
        <v>42184</v>
      </c>
      <c r="B842" s="30">
        <v>0.49</v>
      </c>
      <c r="C842" s="29">
        <f t="shared" si="64"/>
        <v>0.48340000000000016</v>
      </c>
      <c r="D842" s="29">
        <f t="shared" si="66"/>
        <v>0.37175000000000002</v>
      </c>
      <c r="E842" s="29">
        <f t="shared" ref="E842:E905" si="68">IF( C842&gt;D842,E841*B842/B841,100000)</f>
        <v>132432.43243243243</v>
      </c>
      <c r="H842" s="3">
        <v>50.82</v>
      </c>
      <c r="I842" s="29">
        <f t="shared" si="65"/>
        <v>44.594399999999979</v>
      </c>
      <c r="J842" s="29">
        <f t="shared" si="67"/>
        <v>34.648199999999996</v>
      </c>
      <c r="K842" s="29">
        <f t="shared" ref="K842:K905" si="69">IF(I842&gt;J842,K841*H842/H841,100000)</f>
        <v>175786.9249394674</v>
      </c>
    </row>
    <row r="843" spans="1:11" ht="18" x14ac:dyDescent="0.2">
      <c r="A843" s="31">
        <v>42191</v>
      </c>
      <c r="B843" s="30">
        <v>0.48</v>
      </c>
      <c r="C843" s="29">
        <f t="shared" si="64"/>
        <v>0.48440000000000016</v>
      </c>
      <c r="D843" s="29">
        <f t="shared" si="66"/>
        <v>0.37195000000000006</v>
      </c>
      <c r="E843" s="29">
        <f t="shared" si="68"/>
        <v>129729.72972972972</v>
      </c>
      <c r="H843" s="3">
        <v>50.79</v>
      </c>
      <c r="I843" s="29">
        <f t="shared" si="65"/>
        <v>44.819199999999981</v>
      </c>
      <c r="J843" s="29">
        <f t="shared" si="67"/>
        <v>34.750549999999997</v>
      </c>
      <c r="K843" s="29">
        <f t="shared" si="69"/>
        <v>175683.15461777939</v>
      </c>
    </row>
    <row r="844" spans="1:11" ht="18" x14ac:dyDescent="0.2">
      <c r="A844" s="31">
        <v>42198</v>
      </c>
      <c r="B844" s="30">
        <v>0.49</v>
      </c>
      <c r="C844" s="29">
        <f t="shared" si="64"/>
        <v>0.48560000000000014</v>
      </c>
      <c r="D844" s="29">
        <f t="shared" si="66"/>
        <v>0.37229999999999996</v>
      </c>
      <c r="E844" s="29">
        <f t="shared" si="68"/>
        <v>132432.43243243243</v>
      </c>
      <c r="H844" s="3">
        <v>52.43</v>
      </c>
      <c r="I844" s="29">
        <f t="shared" si="65"/>
        <v>45.053799999999981</v>
      </c>
      <c r="J844" s="29">
        <f t="shared" si="67"/>
        <v>34.867449999999998</v>
      </c>
      <c r="K844" s="29">
        <f t="shared" si="69"/>
        <v>181355.93220338991</v>
      </c>
    </row>
    <row r="845" spans="1:11" ht="18" x14ac:dyDescent="0.2">
      <c r="A845" s="31">
        <v>42205</v>
      </c>
      <c r="B845" s="30">
        <v>0.47</v>
      </c>
      <c r="C845" s="29">
        <f t="shared" si="64"/>
        <v>0.48620000000000019</v>
      </c>
      <c r="D845" s="29">
        <f t="shared" si="66"/>
        <v>0.37259999999999999</v>
      </c>
      <c r="E845" s="29">
        <f t="shared" si="68"/>
        <v>127027.02702702703</v>
      </c>
      <c r="H845" s="3">
        <v>52.2</v>
      </c>
      <c r="I845" s="29">
        <f t="shared" si="65"/>
        <v>45.303199999999975</v>
      </c>
      <c r="J845" s="29">
        <f t="shared" si="67"/>
        <v>34.983249999999998</v>
      </c>
      <c r="K845" s="29">
        <f t="shared" si="69"/>
        <v>180560.35973711527</v>
      </c>
    </row>
    <row r="846" spans="1:11" ht="18" x14ac:dyDescent="0.2">
      <c r="A846" s="31">
        <v>42212</v>
      </c>
      <c r="B846" s="30">
        <v>0.48</v>
      </c>
      <c r="C846" s="29">
        <f t="shared" si="64"/>
        <v>0.48680000000000023</v>
      </c>
      <c r="D846" s="29">
        <f t="shared" si="66"/>
        <v>0.37274999999999997</v>
      </c>
      <c r="E846" s="29">
        <f t="shared" si="68"/>
        <v>129729.72972972973</v>
      </c>
      <c r="H846" s="3">
        <v>51.91</v>
      </c>
      <c r="I846" s="29">
        <f t="shared" si="65"/>
        <v>45.53279999999998</v>
      </c>
      <c r="J846" s="29">
        <f t="shared" si="67"/>
        <v>35.098750000000003</v>
      </c>
      <c r="K846" s="29">
        <f t="shared" si="69"/>
        <v>179557.24662746463</v>
      </c>
    </row>
    <row r="847" spans="1:11" ht="18" x14ac:dyDescent="0.2">
      <c r="A847" s="31">
        <v>42219</v>
      </c>
      <c r="B847" s="30">
        <v>0.56000000000000005</v>
      </c>
      <c r="C847" s="29">
        <f t="shared" si="64"/>
        <v>0.4890000000000001</v>
      </c>
      <c r="D847" s="29">
        <f t="shared" si="66"/>
        <v>0.37345</v>
      </c>
      <c r="E847" s="29">
        <f t="shared" si="68"/>
        <v>151351.35135135136</v>
      </c>
      <c r="H847" s="3">
        <v>51.55</v>
      </c>
      <c r="I847" s="29">
        <f t="shared" si="65"/>
        <v>45.735999999999976</v>
      </c>
      <c r="J847" s="29">
        <f t="shared" si="67"/>
        <v>35.216550000000005</v>
      </c>
      <c r="K847" s="29">
        <f t="shared" si="69"/>
        <v>178312.00276720864</v>
      </c>
    </row>
    <row r="848" spans="1:11" ht="18" x14ac:dyDescent="0.2">
      <c r="A848" s="31">
        <v>42226</v>
      </c>
      <c r="B848" s="30">
        <v>0.56999999999999995</v>
      </c>
      <c r="C848" s="29">
        <f t="shared" si="64"/>
        <v>0.49120000000000014</v>
      </c>
      <c r="D848" s="29">
        <f t="shared" si="66"/>
        <v>0.37434999999999991</v>
      </c>
      <c r="E848" s="29">
        <f t="shared" si="68"/>
        <v>154054.05405405402</v>
      </c>
      <c r="H848" s="3">
        <v>51.43</v>
      </c>
      <c r="I848" s="29">
        <f t="shared" si="65"/>
        <v>45.930999999999983</v>
      </c>
      <c r="J848" s="29">
        <f t="shared" si="67"/>
        <v>35.335500000000003</v>
      </c>
      <c r="K848" s="29">
        <f t="shared" si="69"/>
        <v>177896.92148045669</v>
      </c>
    </row>
    <row r="849" spans="1:11" ht="18" x14ac:dyDescent="0.2">
      <c r="A849" s="31">
        <v>42233</v>
      </c>
      <c r="B849" s="30">
        <v>0.52</v>
      </c>
      <c r="C849" s="29">
        <f t="shared" si="64"/>
        <v>0.49260000000000004</v>
      </c>
      <c r="D849" s="29">
        <f t="shared" si="66"/>
        <v>0.37514999999999987</v>
      </c>
      <c r="E849" s="29">
        <f t="shared" si="68"/>
        <v>140540.54054054053</v>
      </c>
      <c r="H849" s="3">
        <v>48.18</v>
      </c>
      <c r="I849" s="29">
        <f t="shared" si="65"/>
        <v>46.116199999999978</v>
      </c>
      <c r="J849" s="29">
        <f t="shared" si="67"/>
        <v>35.439050000000009</v>
      </c>
      <c r="K849" s="29">
        <f t="shared" si="69"/>
        <v>166655.13663092363</v>
      </c>
    </row>
    <row r="850" spans="1:11" ht="18" x14ac:dyDescent="0.2">
      <c r="A850" s="31">
        <v>42240</v>
      </c>
      <c r="B850" s="30">
        <v>0.55000000000000004</v>
      </c>
      <c r="C850" s="29">
        <f t="shared" si="64"/>
        <v>0.49480000000000013</v>
      </c>
      <c r="D850" s="29">
        <f t="shared" si="66"/>
        <v>0.37609999999999988</v>
      </c>
      <c r="E850" s="29">
        <f t="shared" si="68"/>
        <v>148648.64864864864</v>
      </c>
      <c r="H850" s="3">
        <v>48.58</v>
      </c>
      <c r="I850" s="29">
        <f t="shared" si="65"/>
        <v>46.236599999999981</v>
      </c>
      <c r="J850" s="29">
        <f t="shared" si="67"/>
        <v>35.549000000000007</v>
      </c>
      <c r="K850" s="29">
        <f t="shared" si="69"/>
        <v>168038.74092009693</v>
      </c>
    </row>
    <row r="851" spans="1:11" ht="18" x14ac:dyDescent="0.2">
      <c r="A851" s="31">
        <v>42247</v>
      </c>
      <c r="B851" s="30">
        <v>0.53</v>
      </c>
      <c r="C851" s="29">
        <f t="shared" si="64"/>
        <v>0.49640000000000006</v>
      </c>
      <c r="D851" s="29">
        <f t="shared" si="66"/>
        <v>0.37689999999999985</v>
      </c>
      <c r="E851" s="29">
        <f t="shared" si="68"/>
        <v>143243.24324324323</v>
      </c>
      <c r="H851" s="3">
        <v>46.59</v>
      </c>
      <c r="I851" s="29">
        <f t="shared" si="65"/>
        <v>46.384599999999985</v>
      </c>
      <c r="J851" s="29">
        <f t="shared" si="67"/>
        <v>35.64200000000001</v>
      </c>
      <c r="K851" s="29">
        <f t="shared" si="69"/>
        <v>161155.30958145979</v>
      </c>
    </row>
    <row r="852" spans="1:11" ht="18" x14ac:dyDescent="0.2">
      <c r="A852" s="31">
        <v>42254</v>
      </c>
      <c r="B852" s="30">
        <v>0.55000000000000004</v>
      </c>
      <c r="C852" s="29">
        <f t="shared" si="64"/>
        <v>0.49860000000000004</v>
      </c>
      <c r="D852" s="29">
        <f t="shared" si="66"/>
        <v>0.37789999999999979</v>
      </c>
      <c r="E852" s="29">
        <f t="shared" si="68"/>
        <v>148648.64864864864</v>
      </c>
      <c r="H852" s="3">
        <v>47.39</v>
      </c>
      <c r="I852" s="29">
        <f t="shared" si="65"/>
        <v>46.456999999999987</v>
      </c>
      <c r="J852" s="29">
        <f t="shared" si="67"/>
        <v>35.740950000000005</v>
      </c>
      <c r="K852" s="29">
        <f t="shared" si="69"/>
        <v>163922.51815980638</v>
      </c>
    </row>
    <row r="853" spans="1:11" ht="18" x14ac:dyDescent="0.2">
      <c r="A853" s="31">
        <v>42261</v>
      </c>
      <c r="B853" s="30">
        <v>0.56999999999999995</v>
      </c>
      <c r="C853" s="29">
        <f t="shared" si="64"/>
        <v>0.50159999999999993</v>
      </c>
      <c r="D853" s="29">
        <f t="shared" si="66"/>
        <v>0.37914999999999976</v>
      </c>
      <c r="E853" s="29">
        <f t="shared" si="68"/>
        <v>154054.05405405402</v>
      </c>
      <c r="H853" s="3">
        <v>46.16</v>
      </c>
      <c r="I853" s="29">
        <f t="shared" si="65"/>
        <v>46.533999999999985</v>
      </c>
      <c r="J853" s="29">
        <f t="shared" si="67"/>
        <v>35.83635000000001</v>
      </c>
      <c r="K853" s="29">
        <f t="shared" si="69"/>
        <v>159667.93497059849</v>
      </c>
    </row>
    <row r="854" spans="1:11" ht="18" x14ac:dyDescent="0.2">
      <c r="A854" s="31">
        <v>42268</v>
      </c>
      <c r="B854" s="30">
        <v>0.56999999999999995</v>
      </c>
      <c r="C854" s="29">
        <f t="shared" si="64"/>
        <v>0.504</v>
      </c>
      <c r="D854" s="29">
        <f t="shared" si="66"/>
        <v>0.3802999999999998</v>
      </c>
      <c r="E854" s="29">
        <f t="shared" si="68"/>
        <v>154054.05405405402</v>
      </c>
      <c r="H854" s="3">
        <v>46.57</v>
      </c>
      <c r="I854" s="29">
        <f t="shared" si="65"/>
        <v>46.625799999999991</v>
      </c>
      <c r="J854" s="29">
        <f t="shared" si="67"/>
        <v>35.926300000000005</v>
      </c>
      <c r="K854" s="29">
        <f t="shared" si="69"/>
        <v>161086.12936700112</v>
      </c>
    </row>
    <row r="855" spans="1:11" ht="18" x14ac:dyDescent="0.2">
      <c r="A855" s="31">
        <v>42275</v>
      </c>
      <c r="B855" s="30">
        <v>0.6</v>
      </c>
      <c r="C855" s="29">
        <f t="shared" si="64"/>
        <v>0.50700000000000012</v>
      </c>
      <c r="D855" s="29">
        <f t="shared" si="66"/>
        <v>0.38169999999999971</v>
      </c>
      <c r="E855" s="29">
        <f t="shared" si="68"/>
        <v>162162.16216216213</v>
      </c>
      <c r="H855" s="3">
        <v>46.07</v>
      </c>
      <c r="I855" s="29">
        <f t="shared" si="65"/>
        <v>46.719599999999993</v>
      </c>
      <c r="J855" s="29">
        <f t="shared" si="67"/>
        <v>36.019650000000006</v>
      </c>
      <c r="K855" s="29">
        <f t="shared" si="69"/>
        <v>159356.62400553448</v>
      </c>
    </row>
    <row r="856" spans="1:11" ht="18" x14ac:dyDescent="0.2">
      <c r="A856" s="31">
        <v>42282</v>
      </c>
      <c r="B856" s="30">
        <v>0.63</v>
      </c>
      <c r="C856" s="29">
        <f t="shared" si="64"/>
        <v>0.51060000000000005</v>
      </c>
      <c r="D856" s="29">
        <f t="shared" si="66"/>
        <v>0.38334999999999975</v>
      </c>
      <c r="E856" s="29">
        <f t="shared" si="68"/>
        <v>170270.27027027024</v>
      </c>
      <c r="H856" s="3">
        <v>47.25</v>
      </c>
      <c r="I856" s="29">
        <f t="shared" si="65"/>
        <v>46.777799999999999</v>
      </c>
      <c r="J856" s="29">
        <f t="shared" si="67"/>
        <v>36.128550000000004</v>
      </c>
      <c r="K856" s="29">
        <f t="shared" si="69"/>
        <v>163438.2566585957</v>
      </c>
    </row>
    <row r="857" spans="1:11" ht="18" x14ac:dyDescent="0.2">
      <c r="A857" s="31">
        <v>42289</v>
      </c>
      <c r="B857" s="30">
        <v>0.68</v>
      </c>
      <c r="C857" s="29">
        <f t="shared" si="64"/>
        <v>0.51500000000000001</v>
      </c>
      <c r="D857" s="29">
        <f t="shared" si="66"/>
        <v>0.3852499999999997</v>
      </c>
      <c r="E857" s="29">
        <f t="shared" si="68"/>
        <v>183783.78378378376</v>
      </c>
      <c r="H857" s="3">
        <v>47.63</v>
      </c>
      <c r="I857" s="29">
        <f t="shared" si="65"/>
        <v>46.845400000000012</v>
      </c>
      <c r="J857" s="29">
        <f t="shared" si="67"/>
        <v>36.245100000000008</v>
      </c>
      <c r="K857" s="29">
        <f t="shared" si="69"/>
        <v>164752.68073331035</v>
      </c>
    </row>
    <row r="858" spans="1:11" ht="18" x14ac:dyDescent="0.2">
      <c r="A858" s="31">
        <v>42296</v>
      </c>
      <c r="B858" s="30">
        <v>0.69</v>
      </c>
      <c r="C858" s="29">
        <f t="shared" si="64"/>
        <v>0.51919999999999999</v>
      </c>
      <c r="D858" s="29">
        <f t="shared" si="66"/>
        <v>0.38734999999999964</v>
      </c>
      <c r="E858" s="29">
        <f t="shared" si="68"/>
        <v>186486.48648648642</v>
      </c>
      <c r="H858" s="3">
        <v>48.73</v>
      </c>
      <c r="I858" s="29">
        <f t="shared" si="65"/>
        <v>46.913800000000002</v>
      </c>
      <c r="J858" s="29">
        <f t="shared" si="67"/>
        <v>36.372399999999999</v>
      </c>
      <c r="K858" s="29">
        <f t="shared" si="69"/>
        <v>168557.59252853692</v>
      </c>
    </row>
    <row r="859" spans="1:11" ht="18" x14ac:dyDescent="0.2">
      <c r="A859" s="31">
        <v>42303</v>
      </c>
      <c r="B859" s="30">
        <v>0.69</v>
      </c>
      <c r="C859" s="29">
        <f t="shared" si="64"/>
        <v>0.52380000000000004</v>
      </c>
      <c r="D859" s="29">
        <f t="shared" si="66"/>
        <v>0.38929999999999965</v>
      </c>
      <c r="E859" s="29">
        <f t="shared" si="68"/>
        <v>186486.48648648642</v>
      </c>
      <c r="H859" s="3">
        <v>49.02</v>
      </c>
      <c r="I859" s="29">
        <f t="shared" si="65"/>
        <v>47.002400000000009</v>
      </c>
      <c r="J859" s="29">
        <f t="shared" si="67"/>
        <v>36.494850000000007</v>
      </c>
      <c r="K859" s="29">
        <f t="shared" si="69"/>
        <v>169560.70563818756</v>
      </c>
    </row>
    <row r="860" spans="1:11" ht="18" x14ac:dyDescent="0.2">
      <c r="A860" s="31">
        <v>42310</v>
      </c>
      <c r="B860" s="30">
        <v>0.77</v>
      </c>
      <c r="C860" s="29">
        <f t="shared" si="64"/>
        <v>0.53</v>
      </c>
      <c r="D860" s="29">
        <f t="shared" si="66"/>
        <v>0.39164999999999961</v>
      </c>
      <c r="E860" s="29">
        <f t="shared" si="68"/>
        <v>208108.10810810808</v>
      </c>
      <c r="H860" s="3">
        <v>52.24</v>
      </c>
      <c r="I860" s="29">
        <f t="shared" si="65"/>
        <v>47.081000000000003</v>
      </c>
      <c r="J860" s="29">
        <f t="shared" si="67"/>
        <v>36.638750000000002</v>
      </c>
      <c r="K860" s="29">
        <f t="shared" si="69"/>
        <v>180698.72016603261</v>
      </c>
    </row>
    <row r="861" spans="1:11" ht="18" x14ac:dyDescent="0.2">
      <c r="A861" s="31">
        <v>42317</v>
      </c>
      <c r="B861" s="30">
        <v>0.72</v>
      </c>
      <c r="C861" s="29">
        <f t="shared" si="64"/>
        <v>0.53560000000000008</v>
      </c>
      <c r="D861" s="29">
        <f t="shared" si="66"/>
        <v>0.39364999999999967</v>
      </c>
      <c r="E861" s="29">
        <f t="shared" si="68"/>
        <v>194594.59459459456</v>
      </c>
      <c r="H861" s="3">
        <v>50.02</v>
      </c>
      <c r="I861" s="29">
        <f t="shared" si="65"/>
        <v>47.231999999999999</v>
      </c>
      <c r="J861" s="29">
        <f t="shared" si="67"/>
        <v>36.780200000000008</v>
      </c>
      <c r="K861" s="29">
        <f t="shared" si="69"/>
        <v>173019.71636112084</v>
      </c>
    </row>
    <row r="862" spans="1:11" ht="18" x14ac:dyDescent="0.2">
      <c r="A862" s="31">
        <v>42324</v>
      </c>
      <c r="B862" s="30">
        <v>0.76</v>
      </c>
      <c r="C862" s="29">
        <f t="shared" si="64"/>
        <v>0.54280000000000006</v>
      </c>
      <c r="D862" s="29">
        <f t="shared" si="66"/>
        <v>0.39569999999999972</v>
      </c>
      <c r="E862" s="29">
        <f t="shared" si="68"/>
        <v>205405.40540540538</v>
      </c>
      <c r="H862" s="3">
        <v>51.53</v>
      </c>
      <c r="I862" s="29">
        <f t="shared" si="65"/>
        <v>47.362999999999992</v>
      </c>
      <c r="J862" s="29">
        <f t="shared" si="67"/>
        <v>36.924650000000007</v>
      </c>
      <c r="K862" s="29">
        <f t="shared" si="69"/>
        <v>178242.82255275003</v>
      </c>
    </row>
    <row r="863" spans="1:11" ht="18" x14ac:dyDescent="0.2">
      <c r="A863" s="31">
        <v>42331</v>
      </c>
      <c r="B863" s="30">
        <v>0.77</v>
      </c>
      <c r="C863" s="29">
        <f t="shared" si="64"/>
        <v>0.5494</v>
      </c>
      <c r="D863" s="29">
        <f t="shared" si="66"/>
        <v>0.39794999999999975</v>
      </c>
      <c r="E863" s="29">
        <f t="shared" si="68"/>
        <v>208108.10810810811</v>
      </c>
      <c r="H863" s="3">
        <v>51.25</v>
      </c>
      <c r="I863" s="29">
        <f t="shared" si="65"/>
        <v>47.558599999999998</v>
      </c>
      <c r="J863" s="29">
        <f t="shared" si="67"/>
        <v>37.080700000000007</v>
      </c>
      <c r="K863" s="29">
        <f t="shared" si="69"/>
        <v>177274.29955032872</v>
      </c>
    </row>
    <row r="864" spans="1:11" ht="18" x14ac:dyDescent="0.2">
      <c r="A864" s="31">
        <v>42338</v>
      </c>
      <c r="B864" s="30">
        <v>0.82</v>
      </c>
      <c r="C864" s="29">
        <f t="shared" si="64"/>
        <v>0.55640000000000001</v>
      </c>
      <c r="D864" s="29">
        <f t="shared" si="66"/>
        <v>0.40059999999999968</v>
      </c>
      <c r="E864" s="29">
        <f t="shared" si="68"/>
        <v>221621.6216216216</v>
      </c>
      <c r="H864" s="3">
        <v>51.8</v>
      </c>
      <c r="I864" s="29">
        <f t="shared" si="65"/>
        <v>47.710799999999999</v>
      </c>
      <c r="J864" s="29">
        <f t="shared" si="67"/>
        <v>37.237700000000011</v>
      </c>
      <c r="K864" s="29">
        <f t="shared" si="69"/>
        <v>179176.75544794198</v>
      </c>
    </row>
    <row r="865" spans="1:11" ht="18" x14ac:dyDescent="0.2">
      <c r="A865" s="31">
        <v>42345</v>
      </c>
      <c r="B865" s="30">
        <v>0.79</v>
      </c>
      <c r="C865" s="29">
        <f t="shared" si="64"/>
        <v>0.56280000000000019</v>
      </c>
      <c r="D865" s="29">
        <f t="shared" si="66"/>
        <v>0.40294999999999975</v>
      </c>
      <c r="E865" s="29">
        <f t="shared" si="68"/>
        <v>213513.51351351352</v>
      </c>
      <c r="H865" s="3">
        <v>48.89</v>
      </c>
      <c r="I865" s="29">
        <f t="shared" si="65"/>
        <v>47.848200000000006</v>
      </c>
      <c r="J865" s="29">
        <f t="shared" si="67"/>
        <v>37.378150000000012</v>
      </c>
      <c r="K865" s="29">
        <f t="shared" si="69"/>
        <v>169111.03424420624</v>
      </c>
    </row>
    <row r="866" spans="1:11" ht="18" x14ac:dyDescent="0.2">
      <c r="A866" s="31">
        <v>42352</v>
      </c>
      <c r="B866" s="30">
        <v>0.78</v>
      </c>
      <c r="C866" s="29">
        <f t="shared" si="64"/>
        <v>0.56860000000000011</v>
      </c>
      <c r="D866" s="29">
        <f t="shared" si="66"/>
        <v>0.40504999999999974</v>
      </c>
      <c r="E866" s="29">
        <f t="shared" si="68"/>
        <v>210810.81081081083</v>
      </c>
      <c r="H866" s="3">
        <v>49.14</v>
      </c>
      <c r="I866" s="29">
        <f t="shared" si="65"/>
        <v>47.930400000000006</v>
      </c>
      <c r="J866" s="29">
        <f t="shared" si="67"/>
        <v>37.514900000000011</v>
      </c>
      <c r="K866" s="29">
        <f t="shared" si="69"/>
        <v>169975.78692493954</v>
      </c>
    </row>
    <row r="867" spans="1:11" ht="18" x14ac:dyDescent="0.2">
      <c r="A867" s="31">
        <v>42359</v>
      </c>
      <c r="B867" s="30">
        <v>0.81</v>
      </c>
      <c r="C867" s="29">
        <f t="shared" si="64"/>
        <v>0.57480000000000009</v>
      </c>
      <c r="D867" s="29">
        <f t="shared" si="66"/>
        <v>0.4074499999999997</v>
      </c>
      <c r="E867" s="29">
        <f t="shared" si="68"/>
        <v>218918.91891891893</v>
      </c>
      <c r="H867" s="3">
        <v>50.82</v>
      </c>
      <c r="I867" s="29">
        <f t="shared" si="65"/>
        <v>48.015000000000001</v>
      </c>
      <c r="J867" s="29">
        <f t="shared" si="67"/>
        <v>37.654800000000002</v>
      </c>
      <c r="K867" s="29">
        <f t="shared" si="69"/>
        <v>175786.9249394674</v>
      </c>
    </row>
    <row r="868" spans="1:11" ht="18" x14ac:dyDescent="0.2">
      <c r="A868" s="31">
        <v>42366</v>
      </c>
      <c r="B868" s="30">
        <v>0.8</v>
      </c>
      <c r="C868" s="29">
        <f t="shared" si="64"/>
        <v>0.58060000000000012</v>
      </c>
      <c r="D868" s="29">
        <f t="shared" si="66"/>
        <v>0.40964999999999968</v>
      </c>
      <c r="E868" s="29">
        <f t="shared" si="68"/>
        <v>216216.21621621621</v>
      </c>
      <c r="H868" s="3">
        <v>50.38</v>
      </c>
      <c r="I868" s="29">
        <f t="shared" si="65"/>
        <v>48.137599999999999</v>
      </c>
      <c r="J868" s="29">
        <f t="shared" si="67"/>
        <v>37.781350000000003</v>
      </c>
      <c r="K868" s="29">
        <f t="shared" si="69"/>
        <v>174264.96022137676</v>
      </c>
    </row>
    <row r="869" spans="1:11" ht="18" x14ac:dyDescent="0.2">
      <c r="A869" s="31">
        <v>42373</v>
      </c>
      <c r="B869" s="30">
        <v>0.72</v>
      </c>
      <c r="C869" s="29">
        <f t="shared" si="64"/>
        <v>0.58560000000000012</v>
      </c>
      <c r="D869" s="29">
        <f t="shared" si="66"/>
        <v>0.41154999999999975</v>
      </c>
      <c r="E869" s="29">
        <f t="shared" si="68"/>
        <v>194594.59459459459</v>
      </c>
      <c r="H869" s="3">
        <v>44.96</v>
      </c>
      <c r="I869" s="29">
        <f t="shared" si="65"/>
        <v>48.213600000000014</v>
      </c>
      <c r="J869" s="29">
        <f t="shared" si="67"/>
        <v>37.890100000000004</v>
      </c>
      <c r="K869" s="29">
        <f t="shared" si="69"/>
        <v>155517.12210307858</v>
      </c>
    </row>
    <row r="870" spans="1:11" ht="18" x14ac:dyDescent="0.2">
      <c r="A870" s="31">
        <v>42380</v>
      </c>
      <c r="B870" s="30">
        <v>0.66</v>
      </c>
      <c r="C870" s="29">
        <f t="shared" si="64"/>
        <v>0.58900000000000008</v>
      </c>
      <c r="D870" s="29">
        <f t="shared" si="66"/>
        <v>0.41314999999999968</v>
      </c>
      <c r="E870" s="29">
        <f t="shared" si="68"/>
        <v>178378.37837837837</v>
      </c>
      <c r="H870" s="3">
        <v>43.81</v>
      </c>
      <c r="I870" s="29">
        <f t="shared" si="65"/>
        <v>48.220800000000011</v>
      </c>
      <c r="J870" s="29">
        <f t="shared" si="67"/>
        <v>37.995450000000012</v>
      </c>
      <c r="K870" s="29">
        <f t="shared" si="69"/>
        <v>151539.25977170537</v>
      </c>
    </row>
    <row r="871" spans="1:11" ht="18" x14ac:dyDescent="0.2">
      <c r="A871" s="31">
        <v>42387</v>
      </c>
      <c r="B871" s="30">
        <v>0.69</v>
      </c>
      <c r="C871" s="29">
        <f t="shared" si="64"/>
        <v>0.59300000000000008</v>
      </c>
      <c r="D871" s="29">
        <f t="shared" si="66"/>
        <v>0.41499999999999965</v>
      </c>
      <c r="E871" s="29">
        <f t="shared" si="68"/>
        <v>186486.48648648645</v>
      </c>
      <c r="H871" s="3">
        <v>43.74</v>
      </c>
      <c r="I871" s="29">
        <f t="shared" si="65"/>
        <v>48.1768</v>
      </c>
      <c r="J871" s="29">
        <f t="shared" si="67"/>
        <v>38.109550000000006</v>
      </c>
      <c r="K871" s="29">
        <f t="shared" si="69"/>
        <v>151297.12902110003</v>
      </c>
    </row>
    <row r="872" spans="1:11" ht="18" x14ac:dyDescent="0.2">
      <c r="A872" s="31">
        <v>42394</v>
      </c>
      <c r="B872" s="30">
        <v>0.71</v>
      </c>
      <c r="C872" s="29">
        <f t="shared" si="64"/>
        <v>0.59760000000000013</v>
      </c>
      <c r="D872" s="29">
        <f t="shared" si="66"/>
        <v>0.4169499999999996</v>
      </c>
      <c r="E872" s="29">
        <f t="shared" si="68"/>
        <v>191891.89189189186</v>
      </c>
      <c r="H872" s="3">
        <v>45.7</v>
      </c>
      <c r="I872" s="29">
        <f t="shared" si="65"/>
        <v>48.122199999999999</v>
      </c>
      <c r="J872" s="29">
        <f t="shared" si="67"/>
        <v>38.240750000000006</v>
      </c>
      <c r="K872" s="29">
        <f t="shared" si="69"/>
        <v>158076.79003804919</v>
      </c>
    </row>
    <row r="873" spans="1:11" ht="18" x14ac:dyDescent="0.2">
      <c r="A873" s="31">
        <v>42401</v>
      </c>
      <c r="B873" s="30">
        <v>0.64</v>
      </c>
      <c r="C873" s="29">
        <f t="shared" si="64"/>
        <v>0.60080000000000011</v>
      </c>
      <c r="D873" s="29">
        <f t="shared" si="66"/>
        <v>0.41834999999999956</v>
      </c>
      <c r="E873" s="29">
        <f t="shared" si="68"/>
        <v>172972.97297297296</v>
      </c>
      <c r="H873" s="3">
        <v>44.36</v>
      </c>
      <c r="I873" s="29">
        <f t="shared" si="65"/>
        <v>48.107799999999997</v>
      </c>
      <c r="J873" s="29">
        <f t="shared" si="67"/>
        <v>38.352100000000007</v>
      </c>
      <c r="K873" s="29">
        <f t="shared" si="69"/>
        <v>153441.71566931866</v>
      </c>
    </row>
    <row r="874" spans="1:11" ht="18" x14ac:dyDescent="0.2">
      <c r="A874" s="31">
        <v>42408</v>
      </c>
      <c r="B874" s="30">
        <v>0.63</v>
      </c>
      <c r="C874" s="29">
        <f t="shared" si="64"/>
        <v>0.60380000000000011</v>
      </c>
      <c r="D874" s="29">
        <f t="shared" si="66"/>
        <v>0.41979999999999962</v>
      </c>
      <c r="E874" s="29">
        <f t="shared" si="68"/>
        <v>170270.27027027024</v>
      </c>
      <c r="H874" s="3">
        <v>44.16</v>
      </c>
      <c r="I874" s="29">
        <f t="shared" si="65"/>
        <v>48.107600000000005</v>
      </c>
      <c r="J874" s="29">
        <f t="shared" si="67"/>
        <v>38.459550000000007</v>
      </c>
      <c r="K874" s="29">
        <f t="shared" si="69"/>
        <v>152749.91352473199</v>
      </c>
    </row>
    <row r="875" spans="1:11" ht="18" x14ac:dyDescent="0.2">
      <c r="A875" s="31">
        <v>42415</v>
      </c>
      <c r="B875" s="30">
        <v>0.74</v>
      </c>
      <c r="C875" s="29">
        <f t="shared" si="64"/>
        <v>0.60940000000000005</v>
      </c>
      <c r="D875" s="29">
        <f t="shared" si="66"/>
        <v>0.4219499999999996</v>
      </c>
      <c r="E875" s="29">
        <f t="shared" si="68"/>
        <v>199999.99999999994</v>
      </c>
      <c r="H875" s="3">
        <v>44.41</v>
      </c>
      <c r="I875" s="29">
        <f t="shared" si="65"/>
        <v>48.154399999999995</v>
      </c>
      <c r="J875" s="29">
        <f t="shared" si="67"/>
        <v>38.572650000000003</v>
      </c>
      <c r="K875" s="29">
        <f t="shared" si="69"/>
        <v>153614.66620546533</v>
      </c>
    </row>
    <row r="876" spans="1:11" ht="18" x14ac:dyDescent="0.2">
      <c r="A876" s="31">
        <v>42422</v>
      </c>
      <c r="B876" s="30">
        <v>0.77</v>
      </c>
      <c r="C876" s="29">
        <f t="shared" si="64"/>
        <v>0.6140000000000001</v>
      </c>
      <c r="D876" s="29">
        <f t="shared" si="66"/>
        <v>0.42419999999999958</v>
      </c>
      <c r="E876" s="29">
        <f t="shared" si="68"/>
        <v>208108.10810810808</v>
      </c>
      <c r="H876" s="3">
        <v>44.2</v>
      </c>
      <c r="I876" s="29">
        <f t="shared" si="65"/>
        <v>48.229399999999998</v>
      </c>
      <c r="J876" s="29">
        <f t="shared" si="67"/>
        <v>38.678950000000007</v>
      </c>
      <c r="K876" s="29">
        <f t="shared" si="69"/>
        <v>152888.27395364936</v>
      </c>
    </row>
    <row r="877" spans="1:11" ht="18" x14ac:dyDescent="0.2">
      <c r="A877" s="31">
        <v>42429</v>
      </c>
      <c r="B877" s="30">
        <v>0.79</v>
      </c>
      <c r="C877" s="29">
        <f t="shared" si="64"/>
        <v>0.61920000000000008</v>
      </c>
      <c r="D877" s="29">
        <f t="shared" si="66"/>
        <v>0.4265499999999996</v>
      </c>
      <c r="E877" s="29">
        <f t="shared" si="68"/>
        <v>213513.51351351349</v>
      </c>
      <c r="H877" s="3">
        <v>46.13</v>
      </c>
      <c r="I877" s="29">
        <f t="shared" si="65"/>
        <v>48.221199999999989</v>
      </c>
      <c r="J877" s="29">
        <f t="shared" si="67"/>
        <v>38.796000000000006</v>
      </c>
      <c r="K877" s="29">
        <f t="shared" si="69"/>
        <v>159564.16464891052</v>
      </c>
    </row>
    <row r="878" spans="1:11" ht="18" x14ac:dyDescent="0.2">
      <c r="A878" s="31">
        <v>42436</v>
      </c>
      <c r="B878" s="30">
        <v>0.79</v>
      </c>
      <c r="C878" s="29">
        <f t="shared" si="64"/>
        <v>0.62419999999999998</v>
      </c>
      <c r="D878" s="29">
        <f t="shared" si="66"/>
        <v>0.42884999999999956</v>
      </c>
      <c r="E878" s="29">
        <f t="shared" si="68"/>
        <v>213513.51351351352</v>
      </c>
      <c r="H878" s="3">
        <v>45.58</v>
      </c>
      <c r="I878" s="29">
        <f t="shared" si="65"/>
        <v>48.227399999999989</v>
      </c>
      <c r="J878" s="29">
        <f t="shared" si="67"/>
        <v>38.903100000000002</v>
      </c>
      <c r="K878" s="29">
        <f t="shared" si="69"/>
        <v>157661.70875129724</v>
      </c>
    </row>
    <row r="879" spans="1:11" ht="18" x14ac:dyDescent="0.2">
      <c r="A879" s="31">
        <v>42443</v>
      </c>
      <c r="B879" s="30">
        <v>0.83</v>
      </c>
      <c r="C879" s="29">
        <f t="shared" si="64"/>
        <v>0.62979999999999992</v>
      </c>
      <c r="D879" s="29">
        <f t="shared" si="66"/>
        <v>0.43144999999999961</v>
      </c>
      <c r="E879" s="29">
        <f t="shared" si="68"/>
        <v>224324.32432432432</v>
      </c>
      <c r="H879" s="3">
        <v>46.46</v>
      </c>
      <c r="I879" s="29">
        <f t="shared" si="65"/>
        <v>48.228599999999986</v>
      </c>
      <c r="J879" s="29">
        <f t="shared" si="67"/>
        <v>39.011800000000001</v>
      </c>
      <c r="K879" s="29">
        <f t="shared" si="69"/>
        <v>160705.6381874785</v>
      </c>
    </row>
    <row r="880" spans="1:11" ht="18" x14ac:dyDescent="0.2">
      <c r="A880" s="31">
        <v>42457</v>
      </c>
      <c r="B880" s="30">
        <v>0.89</v>
      </c>
      <c r="C880" s="29">
        <f t="shared" si="64"/>
        <v>0.63619999999999999</v>
      </c>
      <c r="D880" s="29">
        <f t="shared" si="66"/>
        <v>0.43424999999999964</v>
      </c>
      <c r="E880" s="29">
        <f t="shared" si="68"/>
        <v>240540.54054054053</v>
      </c>
      <c r="H880" s="3">
        <v>45.99</v>
      </c>
      <c r="I880" s="29">
        <f t="shared" si="65"/>
        <v>48.245599999999989</v>
      </c>
      <c r="J880" s="29">
        <f t="shared" si="67"/>
        <v>39.113199999999999</v>
      </c>
      <c r="K880" s="29">
        <f t="shared" si="69"/>
        <v>159079.90314769986</v>
      </c>
    </row>
    <row r="881" spans="1:11" ht="18" x14ac:dyDescent="0.2">
      <c r="A881" s="31">
        <v>42464</v>
      </c>
      <c r="B881" s="30">
        <v>0.87</v>
      </c>
      <c r="C881" s="29">
        <f t="shared" si="64"/>
        <v>0.64319999999999988</v>
      </c>
      <c r="D881" s="29">
        <f t="shared" si="66"/>
        <v>0.43689999999999962</v>
      </c>
      <c r="E881" s="29">
        <f t="shared" si="68"/>
        <v>235135.13513513512</v>
      </c>
      <c r="H881" s="3">
        <v>44.35</v>
      </c>
      <c r="I881" s="29">
        <f t="shared" si="65"/>
        <v>48.24199999999999</v>
      </c>
      <c r="J881" s="29">
        <f t="shared" si="67"/>
        <v>39.206899999999997</v>
      </c>
      <c r="K881" s="29">
        <f t="shared" si="69"/>
        <v>153407.12556208932</v>
      </c>
    </row>
    <row r="882" spans="1:11" ht="18" x14ac:dyDescent="0.2">
      <c r="A882" s="31">
        <v>42471</v>
      </c>
      <c r="B882" s="30">
        <v>0.91</v>
      </c>
      <c r="C882" s="29">
        <f t="shared" si="64"/>
        <v>0.65119999999999989</v>
      </c>
      <c r="D882" s="29">
        <f t="shared" si="66"/>
        <v>0.43964999999999965</v>
      </c>
      <c r="E882" s="29">
        <f t="shared" si="68"/>
        <v>245945.94594594592</v>
      </c>
      <c r="H882" s="3">
        <v>47.88</v>
      </c>
      <c r="I882" s="29">
        <f t="shared" si="65"/>
        <v>48.238599999999991</v>
      </c>
      <c r="J882" s="29">
        <f t="shared" si="67"/>
        <v>39.314549999999997</v>
      </c>
      <c r="K882" s="29">
        <f t="shared" si="69"/>
        <v>165617.43341404365</v>
      </c>
    </row>
    <row r="883" spans="1:11" ht="18" x14ac:dyDescent="0.2">
      <c r="A883" s="31">
        <v>42478</v>
      </c>
      <c r="B883" s="30">
        <v>0.89</v>
      </c>
      <c r="C883" s="29">
        <f t="shared" ref="C883:C946" si="70">AVERAGE(B834:B883)</f>
        <v>0.65799999999999992</v>
      </c>
      <c r="D883" s="29">
        <f t="shared" si="66"/>
        <v>0.44229999999999969</v>
      </c>
      <c r="E883" s="29">
        <f t="shared" si="68"/>
        <v>240540.5405405405</v>
      </c>
      <c r="H883" s="3">
        <v>49.5</v>
      </c>
      <c r="I883" s="29">
        <f t="shared" si="65"/>
        <v>48.291199999999989</v>
      </c>
      <c r="J883" s="29">
        <f t="shared" si="67"/>
        <v>39.432600000000001</v>
      </c>
      <c r="K883" s="29">
        <f t="shared" si="69"/>
        <v>171221.0307851955</v>
      </c>
    </row>
    <row r="884" spans="1:11" ht="18" x14ac:dyDescent="0.2">
      <c r="A884" s="31">
        <v>42485</v>
      </c>
      <c r="B884" s="30">
        <v>0.87</v>
      </c>
      <c r="C884" s="29">
        <f t="shared" si="70"/>
        <v>0.66479999999999995</v>
      </c>
      <c r="D884" s="29">
        <f t="shared" si="66"/>
        <v>0.4448499999999998</v>
      </c>
      <c r="E884" s="29">
        <f t="shared" si="68"/>
        <v>235135.13513513509</v>
      </c>
      <c r="H884" s="3">
        <v>48.91</v>
      </c>
      <c r="I884" s="29">
        <f t="shared" ref="I884:I947" si="71">AVERAGE(H834:H883)</f>
        <v>48.352399999999996</v>
      </c>
      <c r="J884" s="29">
        <f t="shared" si="67"/>
        <v>39.544750000000001</v>
      </c>
      <c r="K884" s="29">
        <f t="shared" si="69"/>
        <v>169180.21445866488</v>
      </c>
    </row>
    <row r="885" spans="1:11" ht="18" x14ac:dyDescent="0.2">
      <c r="A885" s="31">
        <v>42492</v>
      </c>
      <c r="B885" s="30">
        <v>0.86</v>
      </c>
      <c r="C885" s="29">
        <f t="shared" si="70"/>
        <v>0.6714</v>
      </c>
      <c r="D885" s="29">
        <f t="shared" si="66"/>
        <v>0.44734999999999969</v>
      </c>
      <c r="E885" s="29">
        <f t="shared" si="68"/>
        <v>232432.4324324324</v>
      </c>
      <c r="H885" s="3">
        <v>47.67</v>
      </c>
      <c r="I885" s="29">
        <f t="shared" si="71"/>
        <v>48.384799999999998</v>
      </c>
      <c r="J885" s="29">
        <f t="shared" si="67"/>
        <v>39.651350000000001</v>
      </c>
      <c r="K885" s="29">
        <f t="shared" si="69"/>
        <v>164891.04116222766</v>
      </c>
    </row>
    <row r="886" spans="1:11" ht="18" x14ac:dyDescent="0.2">
      <c r="A886" s="31">
        <v>42499</v>
      </c>
      <c r="B886" s="30">
        <v>1</v>
      </c>
      <c r="C886" s="29">
        <f t="shared" si="70"/>
        <v>0.68039999999999989</v>
      </c>
      <c r="D886" s="29">
        <f t="shared" si="66"/>
        <v>0.45059999999999983</v>
      </c>
      <c r="E886" s="29">
        <f t="shared" si="68"/>
        <v>270270.27027027024</v>
      </c>
      <c r="H886" s="3">
        <v>47.36</v>
      </c>
      <c r="I886" s="29">
        <f t="shared" si="71"/>
        <v>48.396000000000001</v>
      </c>
      <c r="J886" s="29">
        <f t="shared" si="67"/>
        <v>39.748350000000002</v>
      </c>
      <c r="K886" s="29">
        <f t="shared" si="69"/>
        <v>163818.74783811835</v>
      </c>
    </row>
    <row r="887" spans="1:11" ht="18" x14ac:dyDescent="0.2">
      <c r="A887" s="31">
        <v>42506</v>
      </c>
      <c r="B887" s="30">
        <v>1.0900000000000001</v>
      </c>
      <c r="C887" s="29">
        <f t="shared" si="70"/>
        <v>0.69140000000000001</v>
      </c>
      <c r="D887" s="29">
        <f t="shared" si="66"/>
        <v>0.45434999999999981</v>
      </c>
      <c r="E887" s="29">
        <f t="shared" si="68"/>
        <v>294594.59459459456</v>
      </c>
      <c r="H887" s="3">
        <v>49.14</v>
      </c>
      <c r="I887" s="29">
        <f t="shared" si="71"/>
        <v>48.385799999999996</v>
      </c>
      <c r="J887" s="29">
        <f t="shared" si="67"/>
        <v>39.852850000000004</v>
      </c>
      <c r="K887" s="29">
        <f t="shared" si="69"/>
        <v>169975.78692493952</v>
      </c>
    </row>
    <row r="888" spans="1:11" ht="18" x14ac:dyDescent="0.2">
      <c r="A888" s="31">
        <v>42513</v>
      </c>
      <c r="B888" s="30">
        <v>1.1200000000000001</v>
      </c>
      <c r="C888" s="29">
        <f t="shared" si="70"/>
        <v>0.70299999999999996</v>
      </c>
      <c r="D888" s="29">
        <f t="shared" si="66"/>
        <v>0.45829999999999976</v>
      </c>
      <c r="E888" s="29">
        <f t="shared" si="68"/>
        <v>302702.70270270266</v>
      </c>
      <c r="H888" s="3">
        <v>50.63</v>
      </c>
      <c r="I888" s="29">
        <f t="shared" si="71"/>
        <v>48.378399999999999</v>
      </c>
      <c r="J888" s="29">
        <f t="shared" si="67"/>
        <v>39.952600000000004</v>
      </c>
      <c r="K888" s="29">
        <f t="shared" si="69"/>
        <v>175129.71290211004</v>
      </c>
    </row>
    <row r="889" spans="1:11" ht="18" x14ac:dyDescent="0.2">
      <c r="A889" s="31">
        <v>42520</v>
      </c>
      <c r="B889" s="30">
        <v>1.1399999999999999</v>
      </c>
      <c r="C889" s="29">
        <f t="shared" si="70"/>
        <v>0.71560000000000001</v>
      </c>
      <c r="D889" s="29">
        <f t="shared" si="66"/>
        <v>0.46234999999999976</v>
      </c>
      <c r="E889" s="29">
        <f t="shared" si="68"/>
        <v>308108.10810810799</v>
      </c>
      <c r="H889" s="3">
        <v>50.02</v>
      </c>
      <c r="I889" s="29">
        <f t="shared" si="71"/>
        <v>48.376200000000019</v>
      </c>
      <c r="J889" s="29">
        <f t="shared" si="67"/>
        <v>40.047300000000007</v>
      </c>
      <c r="K889" s="29">
        <f t="shared" si="69"/>
        <v>173019.71636112078</v>
      </c>
    </row>
    <row r="890" spans="1:11" ht="18" x14ac:dyDescent="0.2">
      <c r="A890" s="31">
        <v>42527</v>
      </c>
      <c r="B890" s="30">
        <v>1.1299999999999999</v>
      </c>
      <c r="C890" s="29">
        <f t="shared" si="70"/>
        <v>0.72760000000000002</v>
      </c>
      <c r="D890" s="29">
        <f t="shared" si="66"/>
        <v>0.46624999999999978</v>
      </c>
      <c r="E890" s="29">
        <f t="shared" si="68"/>
        <v>305405.40540540533</v>
      </c>
      <c r="H890" s="3">
        <v>49.4</v>
      </c>
      <c r="I890" s="29">
        <f t="shared" si="71"/>
        <v>48.34920000000001</v>
      </c>
      <c r="J890" s="29">
        <f t="shared" si="67"/>
        <v>40.136050000000004</v>
      </c>
      <c r="K890" s="29">
        <f t="shared" si="69"/>
        <v>170875.12971290216</v>
      </c>
    </row>
    <row r="891" spans="1:11" ht="18" x14ac:dyDescent="0.2">
      <c r="A891" s="31">
        <v>42534</v>
      </c>
      <c r="B891" s="30">
        <v>1.1499999999999999</v>
      </c>
      <c r="C891" s="29">
        <f t="shared" si="70"/>
        <v>0.74060000000000004</v>
      </c>
      <c r="D891" s="29">
        <f t="shared" si="66"/>
        <v>0.47029999999999988</v>
      </c>
      <c r="E891" s="29">
        <f t="shared" si="68"/>
        <v>310810.81081081071</v>
      </c>
      <c r="H891" s="3">
        <v>48.19</v>
      </c>
      <c r="I891" s="29">
        <f t="shared" si="71"/>
        <v>48.312400000000018</v>
      </c>
      <c r="J891" s="29">
        <f t="shared" si="67"/>
        <v>40.224400000000003</v>
      </c>
      <c r="K891" s="29">
        <f t="shared" si="69"/>
        <v>166689.72673815294</v>
      </c>
    </row>
    <row r="892" spans="1:11" ht="18" x14ac:dyDescent="0.2">
      <c r="A892" s="31">
        <v>42541</v>
      </c>
      <c r="B892" s="30">
        <v>1.1200000000000001</v>
      </c>
      <c r="C892" s="29">
        <f t="shared" si="70"/>
        <v>0.75319999999999998</v>
      </c>
      <c r="D892" s="29">
        <f t="shared" si="66"/>
        <v>0.47429999999999994</v>
      </c>
      <c r="E892" s="29">
        <f t="shared" si="68"/>
        <v>302702.70270270266</v>
      </c>
      <c r="H892" s="3">
        <v>46.12</v>
      </c>
      <c r="I892" s="29">
        <f t="shared" si="71"/>
        <v>48.23840000000002</v>
      </c>
      <c r="J892" s="29">
        <f t="shared" si="67"/>
        <v>40.305349999999997</v>
      </c>
      <c r="K892" s="29">
        <f t="shared" si="69"/>
        <v>159529.57454168113</v>
      </c>
    </row>
    <row r="893" spans="1:11" ht="18" x14ac:dyDescent="0.2">
      <c r="A893" s="31">
        <v>42555</v>
      </c>
      <c r="B893" s="30">
        <v>1.25</v>
      </c>
      <c r="C893" s="29">
        <f t="shared" si="70"/>
        <v>0.76859999999999984</v>
      </c>
      <c r="D893" s="29">
        <f t="shared" si="66"/>
        <v>0.47899999999999993</v>
      </c>
      <c r="E893" s="29">
        <f t="shared" si="68"/>
        <v>337837.83783783775</v>
      </c>
      <c r="H893" s="3">
        <v>48.22</v>
      </c>
      <c r="I893" s="29">
        <f t="shared" si="71"/>
        <v>48.144400000000012</v>
      </c>
      <c r="J893" s="29">
        <f t="shared" si="67"/>
        <v>40.398449999999997</v>
      </c>
      <c r="K893" s="29">
        <f t="shared" si="69"/>
        <v>166793.49705984094</v>
      </c>
    </row>
    <row r="894" spans="1:11" ht="18" x14ac:dyDescent="0.2">
      <c r="A894" s="31">
        <v>42562</v>
      </c>
      <c r="B894" s="30">
        <v>1.29</v>
      </c>
      <c r="C894" s="29">
        <f t="shared" si="70"/>
        <v>0.78459999999999996</v>
      </c>
      <c r="D894" s="29">
        <f t="shared" si="66"/>
        <v>0.48395000000000005</v>
      </c>
      <c r="E894" s="29">
        <f t="shared" si="68"/>
        <v>348648.64864864858</v>
      </c>
      <c r="H894" s="3">
        <v>50.05</v>
      </c>
      <c r="I894" s="29">
        <f t="shared" si="71"/>
        <v>48.093000000000011</v>
      </c>
      <c r="J894" s="29">
        <f t="shared" si="67"/>
        <v>40.498600000000003</v>
      </c>
      <c r="K894" s="29">
        <f t="shared" si="69"/>
        <v>173123.48668280878</v>
      </c>
    </row>
    <row r="895" spans="1:11" ht="18" x14ac:dyDescent="0.2">
      <c r="A895" s="31">
        <v>42569</v>
      </c>
      <c r="B895" s="30">
        <v>1.34</v>
      </c>
      <c r="C895" s="29">
        <f t="shared" si="70"/>
        <v>0.80200000000000005</v>
      </c>
      <c r="D895" s="29">
        <f t="shared" si="66"/>
        <v>0.48925000000000002</v>
      </c>
      <c r="E895" s="29">
        <f t="shared" si="68"/>
        <v>362162.16216216207</v>
      </c>
      <c r="H895" s="3">
        <v>49.94</v>
      </c>
      <c r="I895" s="29">
        <f t="shared" si="71"/>
        <v>48.045400000000008</v>
      </c>
      <c r="J895" s="29">
        <f t="shared" si="67"/>
        <v>40.603699999999996</v>
      </c>
      <c r="K895" s="29">
        <f t="shared" si="69"/>
        <v>172742.99550328613</v>
      </c>
    </row>
    <row r="896" spans="1:11" ht="18" x14ac:dyDescent="0.2">
      <c r="A896" s="31">
        <v>42576</v>
      </c>
      <c r="B896" s="30">
        <v>1.4</v>
      </c>
      <c r="C896" s="29">
        <f t="shared" si="70"/>
        <v>0.82039999999999991</v>
      </c>
      <c r="D896" s="29">
        <f t="shared" si="66"/>
        <v>0.49475000000000008</v>
      </c>
      <c r="E896" s="29">
        <f t="shared" si="68"/>
        <v>378378.37837837823</v>
      </c>
      <c r="H896" s="3">
        <v>49.89</v>
      </c>
      <c r="I896" s="29">
        <f t="shared" si="71"/>
        <v>48.000200000000007</v>
      </c>
      <c r="J896" s="29">
        <f t="shared" si="67"/>
        <v>40.725149999999999</v>
      </c>
      <c r="K896" s="29">
        <f t="shared" si="69"/>
        <v>172570.04496713949</v>
      </c>
    </row>
    <row r="897" spans="1:11" ht="18" x14ac:dyDescent="0.2">
      <c r="A897" s="31">
        <v>42583</v>
      </c>
      <c r="B897" s="30">
        <v>1.43</v>
      </c>
      <c r="C897" s="29">
        <f t="shared" si="70"/>
        <v>0.83779999999999988</v>
      </c>
      <c r="D897" s="29">
        <f t="shared" si="66"/>
        <v>0.50050000000000017</v>
      </c>
      <c r="E897" s="29">
        <f t="shared" si="68"/>
        <v>386486.48648648633</v>
      </c>
      <c r="H897" s="3">
        <v>51.7</v>
      </c>
      <c r="I897" s="29">
        <f t="shared" si="71"/>
        <v>47.959800000000016</v>
      </c>
      <c r="J897" s="29">
        <f t="shared" si="67"/>
        <v>40.867649999999998</v>
      </c>
      <c r="K897" s="29">
        <f t="shared" si="69"/>
        <v>178830.85437564866</v>
      </c>
    </row>
    <row r="898" spans="1:11" ht="18" x14ac:dyDescent="0.2">
      <c r="A898" s="31">
        <v>42590</v>
      </c>
      <c r="B898" s="30">
        <v>1.55</v>
      </c>
      <c r="C898" s="29">
        <f t="shared" si="70"/>
        <v>0.85739999999999994</v>
      </c>
      <c r="D898" s="29">
        <f t="shared" si="66"/>
        <v>0.50685000000000013</v>
      </c>
      <c r="E898" s="29">
        <f t="shared" si="68"/>
        <v>418918.91891891882</v>
      </c>
      <c r="H898" s="3">
        <v>50.94</v>
      </c>
      <c r="I898" s="29">
        <f t="shared" si="71"/>
        <v>47.962800000000009</v>
      </c>
      <c r="J898" s="29">
        <f t="shared" si="67"/>
        <v>41.006300000000003</v>
      </c>
      <c r="K898" s="29">
        <f t="shared" si="69"/>
        <v>176202.00622621938</v>
      </c>
    </row>
    <row r="899" spans="1:11" ht="18" x14ac:dyDescent="0.2">
      <c r="A899" s="31">
        <v>42597</v>
      </c>
      <c r="B899" s="30">
        <v>1.53</v>
      </c>
      <c r="C899" s="29">
        <f t="shared" si="70"/>
        <v>0.87759999999999994</v>
      </c>
      <c r="D899" s="29">
        <f t="shared" si="66"/>
        <v>0.51315000000000011</v>
      </c>
      <c r="E899" s="29">
        <f t="shared" si="68"/>
        <v>413513.51351351343</v>
      </c>
      <c r="H899" s="3">
        <v>51.36</v>
      </c>
      <c r="I899" s="29">
        <f t="shared" si="71"/>
        <v>47.953000000000003</v>
      </c>
      <c r="J899" s="29">
        <f t="shared" si="67"/>
        <v>41.152500000000003</v>
      </c>
      <c r="K899" s="29">
        <f t="shared" si="69"/>
        <v>177654.79072985135</v>
      </c>
    </row>
    <row r="900" spans="1:11" ht="18" x14ac:dyDescent="0.2">
      <c r="A900" s="31">
        <v>42604</v>
      </c>
      <c r="B900" s="30">
        <v>1.52</v>
      </c>
      <c r="C900" s="29">
        <f t="shared" si="70"/>
        <v>0.89700000000000002</v>
      </c>
      <c r="D900" s="29">
        <f t="shared" si="66"/>
        <v>0.51935000000000009</v>
      </c>
      <c r="E900" s="29">
        <f t="shared" si="68"/>
        <v>410810.81081081077</v>
      </c>
      <c r="H900" s="3">
        <v>51.64</v>
      </c>
      <c r="I900" s="29">
        <f t="shared" si="71"/>
        <v>48.016600000000011</v>
      </c>
      <c r="J900" s="29">
        <f t="shared" si="67"/>
        <v>41.294049999999991</v>
      </c>
      <c r="K900" s="29">
        <f t="shared" si="69"/>
        <v>178623.31373227265</v>
      </c>
    </row>
    <row r="901" spans="1:11" ht="18" x14ac:dyDescent="0.2">
      <c r="A901" s="31">
        <v>42611</v>
      </c>
      <c r="B901" s="30">
        <v>1.54</v>
      </c>
      <c r="C901" s="29">
        <f t="shared" si="70"/>
        <v>0.91720000000000002</v>
      </c>
      <c r="D901" s="29">
        <f t="shared" si="66"/>
        <v>0.52565000000000017</v>
      </c>
      <c r="E901" s="29">
        <f t="shared" si="68"/>
        <v>416216.21621621621</v>
      </c>
      <c r="H901" s="3">
        <v>52.63</v>
      </c>
      <c r="I901" s="29">
        <f t="shared" si="71"/>
        <v>48.077800000000003</v>
      </c>
      <c r="J901" s="29">
        <f t="shared" si="67"/>
        <v>41.435849999999981</v>
      </c>
      <c r="K901" s="29">
        <f t="shared" si="69"/>
        <v>182047.73434797657</v>
      </c>
    </row>
    <row r="902" spans="1:11" ht="18" x14ac:dyDescent="0.2">
      <c r="A902" s="31">
        <v>42618</v>
      </c>
      <c r="B902" s="30">
        <v>1.46</v>
      </c>
      <c r="C902" s="29">
        <f t="shared" si="70"/>
        <v>0.93540000000000001</v>
      </c>
      <c r="D902" s="29">
        <f t="shared" si="66"/>
        <v>0.53145000000000009</v>
      </c>
      <c r="E902" s="29">
        <f t="shared" si="68"/>
        <v>394594.59459459456</v>
      </c>
      <c r="H902" s="3">
        <v>51.98</v>
      </c>
      <c r="I902" s="29">
        <f t="shared" si="71"/>
        <v>48.198600000000013</v>
      </c>
      <c r="J902" s="29">
        <f t="shared" si="67"/>
        <v>41.57109999999998</v>
      </c>
      <c r="K902" s="29">
        <f t="shared" si="69"/>
        <v>179799.37737806994</v>
      </c>
    </row>
    <row r="903" spans="1:11" ht="18" x14ac:dyDescent="0.2">
      <c r="A903" s="31">
        <v>42625</v>
      </c>
      <c r="B903" s="30">
        <v>1.55</v>
      </c>
      <c r="C903" s="29">
        <f t="shared" si="70"/>
        <v>0.95499999999999996</v>
      </c>
      <c r="D903" s="29">
        <f t="shared" si="66"/>
        <v>0.53760000000000008</v>
      </c>
      <c r="E903" s="29">
        <f t="shared" si="68"/>
        <v>418918.91891891888</v>
      </c>
      <c r="H903" s="3">
        <v>51.33</v>
      </c>
      <c r="I903" s="29">
        <f t="shared" si="71"/>
        <v>48.290400000000005</v>
      </c>
      <c r="J903" s="29">
        <f t="shared" si="67"/>
        <v>41.703999999999986</v>
      </c>
      <c r="K903" s="29">
        <f t="shared" si="69"/>
        <v>177551.02040816334</v>
      </c>
    </row>
    <row r="904" spans="1:11" ht="18" x14ac:dyDescent="0.2">
      <c r="A904" s="31">
        <v>42632</v>
      </c>
      <c r="B904" s="30">
        <v>1.6</v>
      </c>
      <c r="C904" s="29">
        <f t="shared" si="70"/>
        <v>0.97560000000000013</v>
      </c>
      <c r="D904" s="29">
        <f t="shared" si="66"/>
        <v>0.54405000000000003</v>
      </c>
      <c r="E904" s="29">
        <f t="shared" si="68"/>
        <v>432432.43243243243</v>
      </c>
      <c r="H904" s="3">
        <v>52.44</v>
      </c>
      <c r="I904" s="29">
        <f t="shared" si="71"/>
        <v>48.393800000000013</v>
      </c>
      <c r="J904" s="29">
        <f t="shared" si="67"/>
        <v>41.84879999999999</v>
      </c>
      <c r="K904" s="29">
        <f t="shared" si="69"/>
        <v>181390.52231061924</v>
      </c>
    </row>
    <row r="905" spans="1:11" ht="18" x14ac:dyDescent="0.2">
      <c r="A905" s="31">
        <v>42639</v>
      </c>
      <c r="B905" s="30">
        <v>1.69</v>
      </c>
      <c r="C905" s="29">
        <f t="shared" si="70"/>
        <v>0.99740000000000006</v>
      </c>
      <c r="D905" s="29">
        <f t="shared" ref="D905:D968" si="72">AVERAGE(B706:B905)</f>
        <v>0.55105000000000015</v>
      </c>
      <c r="E905" s="29">
        <f t="shared" si="68"/>
        <v>456756.75675675669</v>
      </c>
      <c r="H905" s="3">
        <v>51.93</v>
      </c>
      <c r="I905" s="29">
        <f t="shared" si="71"/>
        <v>48.511200000000017</v>
      </c>
      <c r="J905" s="29">
        <f t="shared" ref="J905:J968" si="73">AVERAGE(H706:H905)</f>
        <v>41.98245</v>
      </c>
      <c r="K905" s="29">
        <f t="shared" si="69"/>
        <v>179626.4268419233</v>
      </c>
    </row>
    <row r="906" spans="1:11" ht="18" x14ac:dyDescent="0.2">
      <c r="A906" s="31">
        <v>42653</v>
      </c>
      <c r="B906" s="30">
        <v>1.62</v>
      </c>
      <c r="C906" s="29">
        <f t="shared" si="70"/>
        <v>1.0171999999999999</v>
      </c>
      <c r="D906" s="29">
        <f t="shared" si="72"/>
        <v>0.55770000000000008</v>
      </c>
      <c r="E906" s="29">
        <f t="shared" ref="E906:E969" si="74">IF( C906&gt;D906,E905*B906/B905,100000)</f>
        <v>437837.83783783781</v>
      </c>
      <c r="H906" s="3">
        <v>53.04</v>
      </c>
      <c r="I906" s="29">
        <f t="shared" si="71"/>
        <v>48.628400000000013</v>
      </c>
      <c r="J906" s="29">
        <f t="shared" si="73"/>
        <v>42.129249999999999</v>
      </c>
      <c r="K906" s="29">
        <f t="shared" ref="K906:K969" si="75">IF(I906&gt;J906,K905*H906/H905,100000)</f>
        <v>183465.9287443792</v>
      </c>
    </row>
    <row r="907" spans="1:11" ht="18" x14ac:dyDescent="0.2">
      <c r="A907" s="31">
        <v>42660</v>
      </c>
      <c r="B907" s="30">
        <v>1.66</v>
      </c>
      <c r="C907" s="29">
        <f t="shared" si="70"/>
        <v>1.0367999999999999</v>
      </c>
      <c r="D907" s="29">
        <f t="shared" si="72"/>
        <v>0.56445000000000012</v>
      </c>
      <c r="E907" s="29">
        <f t="shared" si="74"/>
        <v>448648.64864864858</v>
      </c>
      <c r="H907" s="3">
        <v>53.8</v>
      </c>
      <c r="I907" s="29">
        <f t="shared" si="71"/>
        <v>48.744200000000006</v>
      </c>
      <c r="J907" s="29">
        <f t="shared" si="73"/>
        <v>42.269399999999997</v>
      </c>
      <c r="K907" s="29">
        <f t="shared" si="75"/>
        <v>186094.77689380848</v>
      </c>
    </row>
    <row r="908" spans="1:11" ht="18" x14ac:dyDescent="0.2">
      <c r="A908" s="31">
        <v>42667</v>
      </c>
      <c r="B908" s="30">
        <v>1.74</v>
      </c>
      <c r="C908" s="29">
        <f t="shared" si="70"/>
        <v>1.0577999999999999</v>
      </c>
      <c r="D908" s="29">
        <f t="shared" si="72"/>
        <v>0.5716</v>
      </c>
      <c r="E908" s="29">
        <f t="shared" si="74"/>
        <v>470270.27027027024</v>
      </c>
      <c r="H908" s="3">
        <v>54.29</v>
      </c>
      <c r="I908" s="29">
        <f t="shared" si="71"/>
        <v>48.86760000000001</v>
      </c>
      <c r="J908" s="29">
        <f t="shared" si="73"/>
        <v>42.414800000000007</v>
      </c>
      <c r="K908" s="29">
        <f t="shared" si="75"/>
        <v>187789.69214804578</v>
      </c>
    </row>
    <row r="909" spans="1:11" ht="18" x14ac:dyDescent="0.2">
      <c r="A909" s="31">
        <v>42674</v>
      </c>
      <c r="B909" s="30">
        <v>1.66</v>
      </c>
      <c r="C909" s="29">
        <f t="shared" si="70"/>
        <v>1.0771999999999999</v>
      </c>
      <c r="D909" s="29">
        <f t="shared" si="72"/>
        <v>0.57820000000000005</v>
      </c>
      <c r="E909" s="29">
        <f t="shared" si="74"/>
        <v>448648.64864864858</v>
      </c>
      <c r="H909" s="3">
        <v>53.23</v>
      </c>
      <c r="I909" s="29">
        <f t="shared" si="71"/>
        <v>48.978800000000007</v>
      </c>
      <c r="J909" s="29">
        <f t="shared" si="73"/>
        <v>42.551799999999993</v>
      </c>
      <c r="K909" s="29">
        <f t="shared" si="75"/>
        <v>184123.14078173653</v>
      </c>
    </row>
    <row r="910" spans="1:11" ht="18" x14ac:dyDescent="0.2">
      <c r="A910" s="31">
        <v>42681</v>
      </c>
      <c r="B910" s="30">
        <v>2.16</v>
      </c>
      <c r="C910" s="29">
        <f t="shared" si="70"/>
        <v>1.1049999999999998</v>
      </c>
      <c r="D910" s="29">
        <f t="shared" si="72"/>
        <v>0.58729999999999993</v>
      </c>
      <c r="E910" s="29">
        <f t="shared" si="74"/>
        <v>583783.78378378379</v>
      </c>
      <c r="H910" s="3">
        <v>60.24</v>
      </c>
      <c r="I910" s="29">
        <f t="shared" si="71"/>
        <v>49.063000000000009</v>
      </c>
      <c r="J910" s="29">
        <f t="shared" si="73"/>
        <v>42.723849999999992</v>
      </c>
      <c r="K910" s="29">
        <f t="shared" si="75"/>
        <v>208370.80594949858</v>
      </c>
    </row>
    <row r="911" spans="1:11" ht="18" x14ac:dyDescent="0.2">
      <c r="A911" s="31">
        <v>42688</v>
      </c>
      <c r="B911" s="30">
        <v>2.2999999999999998</v>
      </c>
      <c r="C911" s="29">
        <f t="shared" si="70"/>
        <v>1.1365999999999996</v>
      </c>
      <c r="D911" s="29">
        <f t="shared" si="72"/>
        <v>0.59714999999999996</v>
      </c>
      <c r="E911" s="29">
        <f t="shared" si="74"/>
        <v>621621.62162162154</v>
      </c>
      <c r="H911" s="3">
        <v>61.04</v>
      </c>
      <c r="I911" s="29">
        <f t="shared" si="71"/>
        <v>49.223000000000013</v>
      </c>
      <c r="J911" s="29">
        <f t="shared" si="73"/>
        <v>42.899250000000002</v>
      </c>
      <c r="K911" s="29">
        <f t="shared" si="75"/>
        <v>211138.01452784517</v>
      </c>
    </row>
    <row r="912" spans="1:11" ht="18" x14ac:dyDescent="0.2">
      <c r="A912" s="31">
        <v>42702</v>
      </c>
      <c r="B912" s="30">
        <v>2.1800000000000002</v>
      </c>
      <c r="C912" s="29">
        <f t="shared" si="70"/>
        <v>1.1649999999999998</v>
      </c>
      <c r="D912" s="29">
        <f t="shared" si="72"/>
        <v>0.60645000000000004</v>
      </c>
      <c r="E912" s="29">
        <f t="shared" si="74"/>
        <v>589189.18918918923</v>
      </c>
      <c r="H912" s="3">
        <v>64.099999999999994</v>
      </c>
      <c r="I912" s="29">
        <f t="shared" si="71"/>
        <v>49.443400000000004</v>
      </c>
      <c r="J912" s="29">
        <f t="shared" si="73"/>
        <v>43.090049999999991</v>
      </c>
      <c r="K912" s="29">
        <f t="shared" si="75"/>
        <v>221722.58734002089</v>
      </c>
    </row>
    <row r="913" spans="1:11" ht="18" x14ac:dyDescent="0.2">
      <c r="A913" s="31">
        <v>42709</v>
      </c>
      <c r="B913" s="30">
        <v>2.2599999999999998</v>
      </c>
      <c r="C913" s="29">
        <f t="shared" si="70"/>
        <v>1.1947999999999996</v>
      </c>
      <c r="D913" s="29">
        <f t="shared" si="72"/>
        <v>0.61620000000000008</v>
      </c>
      <c r="E913" s="29">
        <f t="shared" si="74"/>
        <v>610810.81081081077</v>
      </c>
      <c r="H913" s="3">
        <v>67.150000000000006</v>
      </c>
      <c r="I913" s="29">
        <f t="shared" si="71"/>
        <v>49.694800000000008</v>
      </c>
      <c r="J913" s="29">
        <f t="shared" si="73"/>
        <v>43.288549999999994</v>
      </c>
      <c r="K913" s="29">
        <f t="shared" si="75"/>
        <v>232272.57004496732</v>
      </c>
    </row>
    <row r="914" spans="1:11" ht="18" x14ac:dyDescent="0.2">
      <c r="A914" s="31">
        <v>42716</v>
      </c>
      <c r="B914" s="30">
        <v>2.4700000000000002</v>
      </c>
      <c r="C914" s="29">
        <f t="shared" si="70"/>
        <v>1.2277999999999998</v>
      </c>
      <c r="D914" s="29">
        <f t="shared" si="72"/>
        <v>0.62695000000000001</v>
      </c>
      <c r="E914" s="29">
        <f t="shared" si="74"/>
        <v>667567.56756756769</v>
      </c>
      <c r="H914" s="3">
        <v>66.72</v>
      </c>
      <c r="I914" s="29">
        <f t="shared" si="71"/>
        <v>50.012800000000013</v>
      </c>
      <c r="J914" s="29">
        <f t="shared" si="73"/>
        <v>43.476949999999988</v>
      </c>
      <c r="K914" s="29">
        <f t="shared" si="75"/>
        <v>230785.19543410599</v>
      </c>
    </row>
    <row r="915" spans="1:11" ht="18" x14ac:dyDescent="0.2">
      <c r="A915" s="31">
        <v>42723</v>
      </c>
      <c r="B915" s="30">
        <v>2.7</v>
      </c>
      <c r="C915" s="29">
        <f t="shared" si="70"/>
        <v>1.2659999999999996</v>
      </c>
      <c r="D915" s="29">
        <f t="shared" si="72"/>
        <v>0.63890000000000002</v>
      </c>
      <c r="E915" s="29">
        <f t="shared" si="74"/>
        <v>729729.72972972982</v>
      </c>
      <c r="H915" s="3">
        <v>68.38</v>
      </c>
      <c r="I915" s="29">
        <f t="shared" si="71"/>
        <v>50.311200000000007</v>
      </c>
      <c r="J915" s="29">
        <f t="shared" si="73"/>
        <v>43.676049999999989</v>
      </c>
      <c r="K915" s="29">
        <f t="shared" si="75"/>
        <v>236527.15323417517</v>
      </c>
    </row>
    <row r="916" spans="1:11" ht="18" x14ac:dyDescent="0.2">
      <c r="A916" s="31">
        <v>42730</v>
      </c>
      <c r="B916" s="30">
        <v>2.63</v>
      </c>
      <c r="C916" s="29">
        <f t="shared" si="70"/>
        <v>1.3029999999999995</v>
      </c>
      <c r="D916" s="29">
        <f t="shared" si="72"/>
        <v>0.65049999999999997</v>
      </c>
      <c r="E916" s="29">
        <f t="shared" si="74"/>
        <v>710810.81081081077</v>
      </c>
      <c r="H916" s="3">
        <v>67.78</v>
      </c>
      <c r="I916" s="29">
        <f t="shared" si="71"/>
        <v>50.701000000000001</v>
      </c>
      <c r="J916" s="29">
        <f t="shared" si="73"/>
        <v>43.873549999999987</v>
      </c>
      <c r="K916" s="29">
        <f t="shared" si="75"/>
        <v>234451.74680041525</v>
      </c>
    </row>
    <row r="917" spans="1:11" ht="18" x14ac:dyDescent="0.2">
      <c r="A917" s="31">
        <v>42737</v>
      </c>
      <c r="B917" s="30">
        <v>2.54</v>
      </c>
      <c r="C917" s="29">
        <f t="shared" si="70"/>
        <v>1.3375999999999997</v>
      </c>
      <c r="D917" s="29">
        <f t="shared" si="72"/>
        <v>0.66169999999999984</v>
      </c>
      <c r="E917" s="29">
        <f t="shared" si="74"/>
        <v>686486.48648648651</v>
      </c>
      <c r="H917" s="3">
        <v>67.650000000000006</v>
      </c>
      <c r="I917" s="29">
        <f t="shared" si="71"/>
        <v>51.073799999999999</v>
      </c>
      <c r="J917" s="29">
        <f t="shared" si="73"/>
        <v>44.066099999999985</v>
      </c>
      <c r="K917" s="29">
        <f t="shared" si="75"/>
        <v>234002.07540643396</v>
      </c>
    </row>
    <row r="918" spans="1:11" ht="18" x14ac:dyDescent="0.2">
      <c r="A918" s="31">
        <v>42751</v>
      </c>
      <c r="B918" s="30">
        <v>2.56</v>
      </c>
      <c r="C918" s="29">
        <f t="shared" si="70"/>
        <v>1.3727999999999998</v>
      </c>
      <c r="D918" s="29">
        <f t="shared" si="72"/>
        <v>0.67304999999999993</v>
      </c>
      <c r="E918" s="29">
        <f t="shared" si="74"/>
        <v>691891.89189189195</v>
      </c>
      <c r="H918" s="3">
        <v>66.09</v>
      </c>
      <c r="I918" s="29">
        <f t="shared" si="71"/>
        <v>51.41040000000001</v>
      </c>
      <c r="J918" s="29">
        <f t="shared" si="73"/>
        <v>44.250099999999982</v>
      </c>
      <c r="K918" s="29">
        <f t="shared" si="75"/>
        <v>228606.01867865809</v>
      </c>
    </row>
    <row r="919" spans="1:11" ht="18" x14ac:dyDescent="0.2">
      <c r="A919" s="31">
        <v>42758</v>
      </c>
      <c r="B919" s="30">
        <v>2.75</v>
      </c>
      <c r="C919" s="29">
        <f t="shared" si="70"/>
        <v>1.4133999999999998</v>
      </c>
      <c r="D919" s="29">
        <f t="shared" si="72"/>
        <v>0.6853999999999999</v>
      </c>
      <c r="E919" s="29">
        <f t="shared" si="74"/>
        <v>743243.24324324331</v>
      </c>
      <c r="H919" s="3">
        <v>68.66</v>
      </c>
      <c r="I919" s="29">
        <f t="shared" si="71"/>
        <v>51.724600000000009</v>
      </c>
      <c r="J919" s="29">
        <f t="shared" si="73"/>
        <v>44.444499999999991</v>
      </c>
      <c r="K919" s="29">
        <f t="shared" si="75"/>
        <v>237495.67623659651</v>
      </c>
    </row>
    <row r="920" spans="1:11" ht="18" x14ac:dyDescent="0.2">
      <c r="A920" s="31">
        <v>42765</v>
      </c>
      <c r="B920" s="30">
        <v>2.82</v>
      </c>
      <c r="C920" s="29">
        <f t="shared" si="70"/>
        <v>1.4565999999999997</v>
      </c>
      <c r="D920" s="29">
        <f t="shared" si="72"/>
        <v>0.69809999999999983</v>
      </c>
      <c r="E920" s="29">
        <f t="shared" si="74"/>
        <v>762162.16216216225</v>
      </c>
      <c r="H920" s="3">
        <v>68.86</v>
      </c>
      <c r="I920" s="29">
        <f t="shared" si="71"/>
        <v>52.198600000000006</v>
      </c>
      <c r="J920" s="29">
        <f t="shared" si="73"/>
        <v>44.643999999999984</v>
      </c>
      <c r="K920" s="29">
        <f t="shared" si="75"/>
        <v>238187.47838118317</v>
      </c>
    </row>
    <row r="921" spans="1:11" ht="18" x14ac:dyDescent="0.2">
      <c r="A921" s="31">
        <v>42772</v>
      </c>
      <c r="B921" s="30">
        <v>2.8</v>
      </c>
      <c r="C921" s="29">
        <f t="shared" si="70"/>
        <v>1.4987999999999995</v>
      </c>
      <c r="D921" s="29">
        <f t="shared" si="72"/>
        <v>0.71065</v>
      </c>
      <c r="E921" s="29">
        <f t="shared" si="74"/>
        <v>756756.7567567568</v>
      </c>
      <c r="H921" s="3">
        <v>68.72</v>
      </c>
      <c r="I921" s="29">
        <f t="shared" si="71"/>
        <v>52.699600000000011</v>
      </c>
      <c r="J921" s="29">
        <f t="shared" si="73"/>
        <v>44.838349999999991</v>
      </c>
      <c r="K921" s="29">
        <f t="shared" si="75"/>
        <v>237703.21687997252</v>
      </c>
    </row>
    <row r="922" spans="1:11" ht="18" x14ac:dyDescent="0.2">
      <c r="A922" s="31">
        <v>42779</v>
      </c>
      <c r="B922" s="30">
        <v>2.64</v>
      </c>
      <c r="C922" s="29">
        <f t="shared" si="70"/>
        <v>1.5373999999999994</v>
      </c>
      <c r="D922" s="29">
        <f t="shared" si="72"/>
        <v>0.72244999999999993</v>
      </c>
      <c r="E922" s="29">
        <f t="shared" si="74"/>
        <v>713513.51351351361</v>
      </c>
      <c r="H922" s="3">
        <v>71.27</v>
      </c>
      <c r="I922" s="29">
        <f t="shared" si="71"/>
        <v>53.199200000000012</v>
      </c>
      <c r="J922" s="29">
        <f t="shared" si="73"/>
        <v>45.051799999999993</v>
      </c>
      <c r="K922" s="29">
        <f t="shared" si="75"/>
        <v>246523.69422345227</v>
      </c>
    </row>
    <row r="923" spans="1:11" ht="18" x14ac:dyDescent="0.2">
      <c r="A923" s="31">
        <v>42786</v>
      </c>
      <c r="B923" s="30">
        <v>2.5</v>
      </c>
      <c r="C923" s="29">
        <f t="shared" si="70"/>
        <v>1.5745999999999996</v>
      </c>
      <c r="D923" s="29">
        <f t="shared" si="72"/>
        <v>0.73364999999999991</v>
      </c>
      <c r="E923" s="29">
        <f t="shared" si="74"/>
        <v>675675.67567567574</v>
      </c>
      <c r="H923" s="3">
        <v>71.349999999999994</v>
      </c>
      <c r="I923" s="29">
        <f t="shared" si="71"/>
        <v>53.710600000000007</v>
      </c>
      <c r="J923" s="29">
        <f t="shared" si="73"/>
        <v>45.269449999999985</v>
      </c>
      <c r="K923" s="29">
        <f t="shared" si="75"/>
        <v>246800.41508128692</v>
      </c>
    </row>
    <row r="924" spans="1:11" ht="18" x14ac:dyDescent="0.2">
      <c r="A924" s="31">
        <v>42800</v>
      </c>
      <c r="B924" s="30">
        <v>2.44</v>
      </c>
      <c r="C924" s="29">
        <f t="shared" si="70"/>
        <v>1.6107999999999996</v>
      </c>
      <c r="D924" s="29">
        <f t="shared" si="72"/>
        <v>0.74449999999999994</v>
      </c>
      <c r="E924" s="29">
        <f t="shared" si="74"/>
        <v>659459.45945945953</v>
      </c>
      <c r="H924" s="3">
        <v>72.099999999999994</v>
      </c>
      <c r="I924" s="29">
        <f t="shared" si="71"/>
        <v>54.250399999999999</v>
      </c>
      <c r="J924" s="29">
        <f t="shared" si="73"/>
        <v>45.48534999999999</v>
      </c>
      <c r="K924" s="29">
        <f t="shared" si="75"/>
        <v>249394.67312348683</v>
      </c>
    </row>
    <row r="925" spans="1:11" ht="18" x14ac:dyDescent="0.2">
      <c r="A925" s="31">
        <v>42807</v>
      </c>
      <c r="B925" s="30">
        <v>2.62</v>
      </c>
      <c r="C925" s="29">
        <f t="shared" si="70"/>
        <v>1.6483999999999996</v>
      </c>
      <c r="D925" s="29">
        <f t="shared" si="72"/>
        <v>0.75620000000000009</v>
      </c>
      <c r="E925" s="29">
        <f t="shared" si="74"/>
        <v>708108.10810810828</v>
      </c>
      <c r="H925" s="3">
        <v>71.62</v>
      </c>
      <c r="I925" s="29">
        <f t="shared" si="71"/>
        <v>54.809200000000004</v>
      </c>
      <c r="J925" s="29">
        <f t="shared" si="73"/>
        <v>45.698899999999988</v>
      </c>
      <c r="K925" s="29">
        <f t="shared" si="75"/>
        <v>247734.34797647892</v>
      </c>
    </row>
    <row r="926" spans="1:11" ht="18" x14ac:dyDescent="0.2">
      <c r="A926" s="31">
        <v>42814</v>
      </c>
      <c r="B926" s="30">
        <v>2.65</v>
      </c>
      <c r="C926" s="29">
        <f t="shared" si="70"/>
        <v>1.6859999999999997</v>
      </c>
      <c r="D926" s="29">
        <f t="shared" si="72"/>
        <v>0.76805000000000012</v>
      </c>
      <c r="E926" s="29">
        <f t="shared" si="74"/>
        <v>716216.21621621633</v>
      </c>
      <c r="H926" s="3">
        <v>68.95</v>
      </c>
      <c r="I926" s="29">
        <f t="shared" si="71"/>
        <v>55.353399999999993</v>
      </c>
      <c r="J926" s="29">
        <f t="shared" si="73"/>
        <v>45.893899999999995</v>
      </c>
      <c r="K926" s="29">
        <f t="shared" si="75"/>
        <v>238498.78934624718</v>
      </c>
    </row>
    <row r="927" spans="1:11" ht="18" x14ac:dyDescent="0.2">
      <c r="A927" s="31">
        <v>42821</v>
      </c>
      <c r="B927" s="30">
        <v>2.69</v>
      </c>
      <c r="C927" s="29">
        <f t="shared" si="70"/>
        <v>1.7239999999999998</v>
      </c>
      <c r="D927" s="29">
        <f t="shared" si="72"/>
        <v>0.78004999999999991</v>
      </c>
      <c r="E927" s="29">
        <f t="shared" si="74"/>
        <v>727027.0270270271</v>
      </c>
      <c r="H927" s="3">
        <v>69.38</v>
      </c>
      <c r="I927" s="29">
        <f t="shared" si="71"/>
        <v>55.848399999999991</v>
      </c>
      <c r="J927" s="29">
        <f t="shared" si="73"/>
        <v>46.090149999999994</v>
      </c>
      <c r="K927" s="29">
        <f t="shared" si="75"/>
        <v>239986.16395710845</v>
      </c>
    </row>
    <row r="928" spans="1:11" ht="18" x14ac:dyDescent="0.2">
      <c r="A928" s="31">
        <v>42828</v>
      </c>
      <c r="B928" s="30">
        <v>2.4700000000000002</v>
      </c>
      <c r="C928" s="29">
        <f t="shared" si="70"/>
        <v>1.7575999999999998</v>
      </c>
      <c r="D928" s="29">
        <f t="shared" si="72"/>
        <v>0.79099999999999993</v>
      </c>
      <c r="E928" s="29">
        <f t="shared" si="74"/>
        <v>667567.56756756769</v>
      </c>
      <c r="H928" s="3">
        <v>68.069999999999993</v>
      </c>
      <c r="I928" s="29">
        <f t="shared" si="71"/>
        <v>56.313399999999994</v>
      </c>
      <c r="J928" s="29">
        <f t="shared" si="73"/>
        <v>46.275699999999986</v>
      </c>
      <c r="K928" s="29">
        <f t="shared" si="75"/>
        <v>235454.85991006589</v>
      </c>
    </row>
    <row r="929" spans="1:11" ht="18" x14ac:dyDescent="0.2">
      <c r="A929" s="31">
        <v>42842</v>
      </c>
      <c r="B929" s="30">
        <v>2.5099999999999998</v>
      </c>
      <c r="C929" s="29">
        <f t="shared" si="70"/>
        <v>1.7911999999999997</v>
      </c>
      <c r="D929" s="29">
        <f t="shared" si="72"/>
        <v>0.80214999999999992</v>
      </c>
      <c r="E929" s="29">
        <f t="shared" si="74"/>
        <v>678378.37837837846</v>
      </c>
      <c r="H929" s="3">
        <v>67.14</v>
      </c>
      <c r="I929" s="29">
        <f t="shared" si="71"/>
        <v>56.763199999999991</v>
      </c>
      <c r="J929" s="29">
        <f t="shared" si="73"/>
        <v>46.459249999999983</v>
      </c>
      <c r="K929" s="29">
        <f t="shared" si="75"/>
        <v>232237.97993773801</v>
      </c>
    </row>
    <row r="930" spans="1:11" ht="18" x14ac:dyDescent="0.2">
      <c r="A930" s="31">
        <v>42849</v>
      </c>
      <c r="B930" s="30">
        <v>2.57</v>
      </c>
      <c r="C930" s="29">
        <f t="shared" si="70"/>
        <v>1.8248</v>
      </c>
      <c r="D930" s="29">
        <f t="shared" si="72"/>
        <v>0.81349999999999989</v>
      </c>
      <c r="E930" s="29">
        <f t="shared" si="74"/>
        <v>694594.59459459467</v>
      </c>
      <c r="H930" s="3">
        <v>69.11</v>
      </c>
      <c r="I930" s="29">
        <f t="shared" si="71"/>
        <v>57.176799999999986</v>
      </c>
      <c r="J930" s="29">
        <f t="shared" si="73"/>
        <v>46.645199999999988</v>
      </c>
      <c r="K930" s="29">
        <f t="shared" si="75"/>
        <v>239052.23106191651</v>
      </c>
    </row>
    <row r="931" spans="1:11" ht="18" x14ac:dyDescent="0.2">
      <c r="A931" s="31">
        <v>42856</v>
      </c>
      <c r="B931" s="30">
        <v>2.56</v>
      </c>
      <c r="C931" s="29">
        <f t="shared" si="70"/>
        <v>1.8585999999999998</v>
      </c>
      <c r="D931" s="29">
        <f t="shared" si="72"/>
        <v>0.82489999999999997</v>
      </c>
      <c r="E931" s="29">
        <f t="shared" si="74"/>
        <v>691891.89189189207</v>
      </c>
      <c r="H931" s="3">
        <v>69.11</v>
      </c>
      <c r="I931" s="29">
        <f t="shared" si="71"/>
        <v>57.639199999999988</v>
      </c>
      <c r="J931" s="29">
        <f t="shared" si="73"/>
        <v>46.827299999999994</v>
      </c>
      <c r="K931" s="29">
        <f t="shared" si="75"/>
        <v>239052.23106191651</v>
      </c>
    </row>
    <row r="932" spans="1:11" ht="18" x14ac:dyDescent="0.2">
      <c r="A932" s="31">
        <v>42863</v>
      </c>
      <c r="B932" s="30">
        <v>3.15</v>
      </c>
      <c r="C932" s="29">
        <f t="shared" si="70"/>
        <v>1.9034000000000004</v>
      </c>
      <c r="D932" s="29">
        <f t="shared" si="72"/>
        <v>0.83924999999999994</v>
      </c>
      <c r="E932" s="29">
        <f t="shared" si="74"/>
        <v>851351.35135135148</v>
      </c>
      <c r="H932" s="3">
        <v>69.05</v>
      </c>
      <c r="I932" s="29">
        <f t="shared" si="71"/>
        <v>58.134399999999985</v>
      </c>
      <c r="J932" s="29">
        <f t="shared" si="73"/>
        <v>47.007949999999994</v>
      </c>
      <c r="K932" s="29">
        <f t="shared" si="75"/>
        <v>238844.6904185405</v>
      </c>
    </row>
    <row r="933" spans="1:11" ht="18" x14ac:dyDescent="0.2">
      <c r="A933" s="31">
        <v>42870</v>
      </c>
      <c r="B933" s="30">
        <v>3.35</v>
      </c>
      <c r="C933" s="29">
        <f t="shared" si="70"/>
        <v>1.9526000000000001</v>
      </c>
      <c r="D933" s="29">
        <f t="shared" si="72"/>
        <v>0.85454999999999981</v>
      </c>
      <c r="E933" s="29">
        <f t="shared" si="74"/>
        <v>905405.40540540568</v>
      </c>
      <c r="H933" s="3">
        <v>67.349999999999994</v>
      </c>
      <c r="I933" s="29">
        <f t="shared" si="71"/>
        <v>58.5578</v>
      </c>
      <c r="J933" s="29">
        <f t="shared" si="73"/>
        <v>47.17765</v>
      </c>
      <c r="K933" s="29">
        <f t="shared" si="75"/>
        <v>232964.37218955398</v>
      </c>
    </row>
    <row r="934" spans="1:11" ht="18" x14ac:dyDescent="0.2">
      <c r="A934" s="31">
        <v>42877</v>
      </c>
      <c r="B934" s="30">
        <v>3.5</v>
      </c>
      <c r="C934" s="29">
        <f t="shared" si="70"/>
        <v>2.0052000000000003</v>
      </c>
      <c r="D934" s="29">
        <f t="shared" si="72"/>
        <v>0.87059999999999993</v>
      </c>
      <c r="E934" s="29">
        <f t="shared" si="74"/>
        <v>945945.94594594615</v>
      </c>
      <c r="H934" s="3">
        <v>67.81</v>
      </c>
      <c r="I934" s="29">
        <f t="shared" si="71"/>
        <v>58.914799999999993</v>
      </c>
      <c r="J934" s="29">
        <f t="shared" si="73"/>
        <v>47.347200000000001</v>
      </c>
      <c r="K934" s="29">
        <f t="shared" si="75"/>
        <v>234555.51712210331</v>
      </c>
    </row>
    <row r="935" spans="1:11" ht="18" x14ac:dyDescent="0.2">
      <c r="A935" s="31">
        <v>42884</v>
      </c>
      <c r="B935" s="30">
        <v>3.55</v>
      </c>
      <c r="C935" s="29">
        <f t="shared" si="70"/>
        <v>2.0589999999999997</v>
      </c>
      <c r="D935" s="29">
        <f t="shared" si="72"/>
        <v>0.88690000000000002</v>
      </c>
      <c r="E935" s="29">
        <f t="shared" si="74"/>
        <v>959459.45945945964</v>
      </c>
      <c r="H935" s="3">
        <v>65.650000000000006</v>
      </c>
      <c r="I935" s="29">
        <f t="shared" si="71"/>
        <v>59.2928</v>
      </c>
      <c r="J935" s="29">
        <f t="shared" si="73"/>
        <v>47.503149999999998</v>
      </c>
      <c r="K935" s="29">
        <f t="shared" si="75"/>
        <v>227084.05396056751</v>
      </c>
    </row>
    <row r="936" spans="1:11" ht="18" x14ac:dyDescent="0.2">
      <c r="A936" s="31">
        <v>42891</v>
      </c>
      <c r="B936" s="30">
        <v>3.69</v>
      </c>
      <c r="C936" s="29">
        <f t="shared" si="70"/>
        <v>2.1127999999999996</v>
      </c>
      <c r="D936" s="29">
        <f t="shared" si="72"/>
        <v>0.90390000000000004</v>
      </c>
      <c r="E936" s="29">
        <f t="shared" si="74"/>
        <v>997297.29729729751</v>
      </c>
      <c r="H936" s="3">
        <v>69.08</v>
      </c>
      <c r="I936" s="29">
        <f t="shared" si="71"/>
        <v>59.652400000000007</v>
      </c>
      <c r="J936" s="29">
        <f t="shared" si="73"/>
        <v>47.675399999999996</v>
      </c>
      <c r="K936" s="29">
        <f t="shared" si="75"/>
        <v>238948.46074022853</v>
      </c>
    </row>
    <row r="937" spans="1:11" ht="18" x14ac:dyDescent="0.2">
      <c r="A937" s="31">
        <v>42898</v>
      </c>
      <c r="B937" s="30">
        <v>3.74</v>
      </c>
      <c r="C937" s="29">
        <f t="shared" si="70"/>
        <v>2.1657999999999999</v>
      </c>
      <c r="D937" s="29">
        <f t="shared" si="72"/>
        <v>0.92114999999999991</v>
      </c>
      <c r="E937" s="29">
        <f t="shared" si="74"/>
        <v>1010810.8108108111</v>
      </c>
      <c r="H937" s="3">
        <v>68.459999999999994</v>
      </c>
      <c r="I937" s="29">
        <f t="shared" si="71"/>
        <v>60.086800000000004</v>
      </c>
      <c r="J937" s="29">
        <f t="shared" si="73"/>
        <v>47.844449999999988</v>
      </c>
      <c r="K937" s="29">
        <f t="shared" si="75"/>
        <v>236803.87409200991</v>
      </c>
    </row>
    <row r="938" spans="1:11" ht="18" x14ac:dyDescent="0.2">
      <c r="A938" s="31">
        <v>42912</v>
      </c>
      <c r="B938" s="30">
        <v>3.57</v>
      </c>
      <c r="C938" s="29">
        <f t="shared" si="70"/>
        <v>2.2147999999999999</v>
      </c>
      <c r="D938" s="29">
        <f t="shared" si="72"/>
        <v>0.93754999999999999</v>
      </c>
      <c r="E938" s="29">
        <f t="shared" si="74"/>
        <v>964864.86486486509</v>
      </c>
      <c r="H938" s="3">
        <v>72.61</v>
      </c>
      <c r="I938" s="29">
        <f t="shared" si="71"/>
        <v>60.473200000000006</v>
      </c>
      <c r="J938" s="29">
        <f t="shared" si="73"/>
        <v>48.034249999999993</v>
      </c>
      <c r="K938" s="29">
        <f t="shared" si="75"/>
        <v>251158.7685921829</v>
      </c>
    </row>
    <row r="939" spans="1:11" ht="18" x14ac:dyDescent="0.2">
      <c r="A939" s="31">
        <v>42919</v>
      </c>
      <c r="B939" s="30">
        <v>3.62</v>
      </c>
      <c r="C939" s="29">
        <f t="shared" si="70"/>
        <v>2.2644000000000002</v>
      </c>
      <c r="D939" s="29">
        <f t="shared" si="72"/>
        <v>0.95414999999999994</v>
      </c>
      <c r="E939" s="29">
        <f t="shared" si="74"/>
        <v>978378.37837837869</v>
      </c>
      <c r="H939" s="3">
        <v>74.55</v>
      </c>
      <c r="I939" s="29">
        <f t="shared" si="71"/>
        <v>60.912799999999997</v>
      </c>
      <c r="J939" s="29">
        <f t="shared" si="73"/>
        <v>48.22914999999999</v>
      </c>
      <c r="K939" s="29">
        <f t="shared" si="75"/>
        <v>257869.24939467336</v>
      </c>
    </row>
    <row r="940" spans="1:11" ht="18" x14ac:dyDescent="0.2">
      <c r="A940" s="31">
        <v>42926</v>
      </c>
      <c r="B940" s="30">
        <v>4.07</v>
      </c>
      <c r="C940" s="29">
        <f t="shared" si="70"/>
        <v>2.3231999999999999</v>
      </c>
      <c r="D940" s="29">
        <f t="shared" si="72"/>
        <v>0.97304999999999997</v>
      </c>
      <c r="E940" s="29">
        <f t="shared" si="74"/>
        <v>1100000.0000000005</v>
      </c>
      <c r="H940" s="3">
        <v>73.69</v>
      </c>
      <c r="I940" s="29">
        <f t="shared" si="71"/>
        <v>61.403400000000012</v>
      </c>
      <c r="J940" s="29">
        <f t="shared" si="73"/>
        <v>48.420400000000001</v>
      </c>
      <c r="K940" s="29">
        <f t="shared" si="75"/>
        <v>254894.50017295079</v>
      </c>
    </row>
    <row r="941" spans="1:11" ht="18" x14ac:dyDescent="0.2">
      <c r="A941" s="31">
        <v>42933</v>
      </c>
      <c r="B941" s="30">
        <v>4.1500000000000004</v>
      </c>
      <c r="C941" s="29">
        <f t="shared" si="70"/>
        <v>2.3832</v>
      </c>
      <c r="D941" s="29">
        <f t="shared" si="72"/>
        <v>0.99234999999999995</v>
      </c>
      <c r="E941" s="29">
        <f t="shared" si="74"/>
        <v>1121621.621621622</v>
      </c>
      <c r="H941" s="3">
        <v>72.599999999999994</v>
      </c>
      <c r="I941" s="29">
        <f t="shared" si="71"/>
        <v>61.88920000000001</v>
      </c>
      <c r="J941" s="29">
        <f t="shared" si="73"/>
        <v>48.610599999999998</v>
      </c>
      <c r="K941" s="29">
        <f t="shared" si="75"/>
        <v>251124.17848495353</v>
      </c>
    </row>
    <row r="942" spans="1:11" ht="18" x14ac:dyDescent="0.2">
      <c r="A942" s="31">
        <v>42947</v>
      </c>
      <c r="B942" s="30">
        <v>4.13</v>
      </c>
      <c r="C942" s="29">
        <f t="shared" si="70"/>
        <v>2.4433999999999996</v>
      </c>
      <c r="D942" s="29">
        <f t="shared" si="72"/>
        <v>1.0115499999999999</v>
      </c>
      <c r="E942" s="29">
        <f t="shared" si="74"/>
        <v>1116216.2162162166</v>
      </c>
      <c r="H942" s="3">
        <v>74.81</v>
      </c>
      <c r="I942" s="29">
        <f t="shared" si="71"/>
        <v>62.377400000000009</v>
      </c>
      <c r="J942" s="29">
        <f t="shared" si="73"/>
        <v>48.814899999999987</v>
      </c>
      <c r="K942" s="29">
        <f t="shared" si="75"/>
        <v>258768.59218263606</v>
      </c>
    </row>
    <row r="943" spans="1:11" ht="18" x14ac:dyDescent="0.2">
      <c r="A943" s="31">
        <v>42954</v>
      </c>
      <c r="B943" s="30">
        <v>3.85</v>
      </c>
      <c r="C943" s="29">
        <f t="shared" si="70"/>
        <v>2.4953999999999996</v>
      </c>
      <c r="D943" s="29">
        <f t="shared" si="72"/>
        <v>1.0293000000000001</v>
      </c>
      <c r="E943" s="29">
        <f t="shared" si="74"/>
        <v>1040540.5405405408</v>
      </c>
      <c r="H943" s="3">
        <v>73.02</v>
      </c>
      <c r="I943" s="29">
        <f t="shared" si="71"/>
        <v>62.951200000000007</v>
      </c>
      <c r="J943" s="29">
        <f t="shared" si="73"/>
        <v>49.005299999999991</v>
      </c>
      <c r="K943" s="29">
        <f t="shared" si="75"/>
        <v>252576.96298858552</v>
      </c>
    </row>
    <row r="944" spans="1:11" ht="18" x14ac:dyDescent="0.2">
      <c r="A944" s="31">
        <v>42961</v>
      </c>
      <c r="B944" s="30">
        <v>3.99</v>
      </c>
      <c r="C944" s="29">
        <f t="shared" si="70"/>
        <v>2.5493999999999999</v>
      </c>
      <c r="D944" s="29">
        <f t="shared" si="72"/>
        <v>1.0478000000000001</v>
      </c>
      <c r="E944" s="29">
        <f t="shared" si="74"/>
        <v>1078378.3783783787</v>
      </c>
      <c r="H944" s="3">
        <v>72.48</v>
      </c>
      <c r="I944" s="29">
        <f t="shared" si="71"/>
        <v>63.447200000000002</v>
      </c>
      <c r="J944" s="29">
        <f t="shared" si="73"/>
        <v>49.199349999999988</v>
      </c>
      <c r="K944" s="29">
        <f t="shared" si="75"/>
        <v>250709.09719820158</v>
      </c>
    </row>
    <row r="945" spans="1:11" ht="18" x14ac:dyDescent="0.2">
      <c r="A945" s="31">
        <v>42968</v>
      </c>
      <c r="B945" s="30">
        <v>4.04</v>
      </c>
      <c r="C945" s="29">
        <f t="shared" si="70"/>
        <v>2.6033999999999997</v>
      </c>
      <c r="D945" s="29">
        <f t="shared" si="72"/>
        <v>1.0664499999999999</v>
      </c>
      <c r="E945" s="29">
        <f t="shared" si="74"/>
        <v>1091891.8918918923</v>
      </c>
      <c r="H945" s="3">
        <v>73.400000000000006</v>
      </c>
      <c r="I945" s="29">
        <f t="shared" si="71"/>
        <v>63.895800000000008</v>
      </c>
      <c r="J945" s="29">
        <f t="shared" si="73"/>
        <v>49.392099999999985</v>
      </c>
      <c r="K945" s="29">
        <f t="shared" si="75"/>
        <v>253891.38706330015</v>
      </c>
    </row>
    <row r="946" spans="1:11" ht="18" x14ac:dyDescent="0.2">
      <c r="A946" s="31">
        <v>42975</v>
      </c>
      <c r="B946" s="30">
        <v>4.21</v>
      </c>
      <c r="C946" s="29">
        <f t="shared" si="70"/>
        <v>2.6595999999999997</v>
      </c>
      <c r="D946" s="29">
        <f t="shared" si="72"/>
        <v>1.0859000000000001</v>
      </c>
      <c r="E946" s="29">
        <f t="shared" si="74"/>
        <v>1137837.8378378381</v>
      </c>
      <c r="H946" s="3">
        <v>73.25</v>
      </c>
      <c r="I946" s="29">
        <f t="shared" si="71"/>
        <v>64.365000000000009</v>
      </c>
      <c r="J946" s="29">
        <f t="shared" si="73"/>
        <v>49.58874999999999</v>
      </c>
      <c r="K946" s="29">
        <f t="shared" si="75"/>
        <v>253372.53545486013</v>
      </c>
    </row>
    <row r="947" spans="1:11" ht="18" x14ac:dyDescent="0.2">
      <c r="A947" s="31">
        <v>42989</v>
      </c>
      <c r="B947" s="30">
        <v>4.45</v>
      </c>
      <c r="C947" s="29">
        <f t="shared" ref="C947:C1010" si="76">AVERAGE(B898:B947)</f>
        <v>2.7199999999999993</v>
      </c>
      <c r="D947" s="29">
        <f t="shared" si="72"/>
        <v>1.1064500000000002</v>
      </c>
      <c r="E947" s="29">
        <f t="shared" si="74"/>
        <v>1202702.7027027032</v>
      </c>
      <c r="H947" s="3">
        <v>73.180000000000007</v>
      </c>
      <c r="I947" s="29">
        <f t="shared" si="71"/>
        <v>64.832200000000014</v>
      </c>
      <c r="J947" s="29">
        <f t="shared" si="73"/>
        <v>49.780099999999983</v>
      </c>
      <c r="K947" s="29">
        <f t="shared" si="75"/>
        <v>253130.40470425485</v>
      </c>
    </row>
    <row r="948" spans="1:11" ht="18" x14ac:dyDescent="0.2">
      <c r="A948" s="31">
        <v>42996</v>
      </c>
      <c r="B948" s="30">
        <v>4.42</v>
      </c>
      <c r="C948" s="29">
        <f t="shared" si="76"/>
        <v>2.7773999999999988</v>
      </c>
      <c r="D948" s="29">
        <f t="shared" si="72"/>
        <v>1.1268</v>
      </c>
      <c r="E948" s="29">
        <f t="shared" si="74"/>
        <v>1194594.594594595</v>
      </c>
      <c r="H948" s="3">
        <v>75.75</v>
      </c>
      <c r="I948" s="29">
        <f t="shared" ref="I948:I1011" si="77">AVERAGE(H898:H947)</f>
        <v>65.261800000000008</v>
      </c>
      <c r="J948" s="29">
        <f t="shared" si="73"/>
        <v>49.972399999999986</v>
      </c>
      <c r="K948" s="29">
        <f t="shared" si="75"/>
        <v>262020.06226219327</v>
      </c>
    </row>
    <row r="949" spans="1:11" ht="18" x14ac:dyDescent="0.2">
      <c r="A949" s="31">
        <v>43003</v>
      </c>
      <c r="B949" s="30">
        <v>4.42</v>
      </c>
      <c r="C949" s="29">
        <f t="shared" si="76"/>
        <v>2.8351999999999986</v>
      </c>
      <c r="D949" s="29">
        <f t="shared" si="72"/>
        <v>1.1471999999999998</v>
      </c>
      <c r="E949" s="29">
        <f t="shared" si="74"/>
        <v>1194594.594594595</v>
      </c>
      <c r="H949" s="3">
        <v>76.290000000000006</v>
      </c>
      <c r="I949" s="29">
        <f t="shared" si="77"/>
        <v>65.757999999999996</v>
      </c>
      <c r="J949" s="29">
        <f t="shared" si="73"/>
        <v>50.162549999999989</v>
      </c>
      <c r="K949" s="29">
        <f t="shared" si="75"/>
        <v>263887.92805257725</v>
      </c>
    </row>
    <row r="950" spans="1:11" ht="18" x14ac:dyDescent="0.2">
      <c r="A950" s="31">
        <v>43017</v>
      </c>
      <c r="B950" s="30">
        <v>4.8099999999999996</v>
      </c>
      <c r="C950" s="29">
        <f t="shared" si="76"/>
        <v>2.9009999999999989</v>
      </c>
      <c r="D950" s="29">
        <f t="shared" si="72"/>
        <v>1.1695500000000001</v>
      </c>
      <c r="E950" s="29">
        <f t="shared" si="74"/>
        <v>1300000.0000000005</v>
      </c>
      <c r="H950" s="3">
        <v>77.02</v>
      </c>
      <c r="I950" s="29">
        <f t="shared" si="77"/>
        <v>66.256599999999992</v>
      </c>
      <c r="J950" s="29">
        <f t="shared" si="73"/>
        <v>50.353049999999996</v>
      </c>
      <c r="K950" s="29">
        <f t="shared" si="75"/>
        <v>266413.00588031847</v>
      </c>
    </row>
    <row r="951" spans="1:11" ht="18" x14ac:dyDescent="0.2">
      <c r="A951" s="31">
        <v>43024</v>
      </c>
      <c r="B951" s="30">
        <v>4.8600000000000003</v>
      </c>
      <c r="C951" s="29">
        <f t="shared" si="76"/>
        <v>2.9673999999999991</v>
      </c>
      <c r="D951" s="29">
        <f t="shared" si="72"/>
        <v>1.19215</v>
      </c>
      <c r="E951" s="29">
        <f t="shared" si="74"/>
        <v>1313513.5135135143</v>
      </c>
      <c r="H951" s="3">
        <v>79.95</v>
      </c>
      <c r="I951" s="29">
        <f t="shared" si="77"/>
        <v>66.764199999999988</v>
      </c>
      <c r="J951" s="29">
        <f t="shared" si="73"/>
        <v>50.559349999999995</v>
      </c>
      <c r="K951" s="29">
        <f t="shared" si="75"/>
        <v>276547.90729851287</v>
      </c>
    </row>
    <row r="952" spans="1:11" ht="18" x14ac:dyDescent="0.2">
      <c r="A952" s="31">
        <v>43031</v>
      </c>
      <c r="B952" s="30">
        <v>4.99</v>
      </c>
      <c r="C952" s="29">
        <f t="shared" si="76"/>
        <v>3.0379999999999994</v>
      </c>
      <c r="D952" s="29">
        <f t="shared" si="72"/>
        <v>1.2154499999999999</v>
      </c>
      <c r="E952" s="29">
        <f t="shared" si="74"/>
        <v>1348648.6486486495</v>
      </c>
      <c r="H952" s="3">
        <v>81.77</v>
      </c>
      <c r="I952" s="29">
        <f t="shared" si="77"/>
        <v>67.310599999999994</v>
      </c>
      <c r="J952" s="29">
        <f t="shared" si="73"/>
        <v>50.778800000000004</v>
      </c>
      <c r="K952" s="29">
        <f t="shared" si="75"/>
        <v>282843.30681425135</v>
      </c>
    </row>
    <row r="953" spans="1:11" ht="18" x14ac:dyDescent="0.2">
      <c r="A953" s="31">
        <v>43045</v>
      </c>
      <c r="B953" s="30">
        <v>5.34</v>
      </c>
      <c r="C953" s="29">
        <f t="shared" si="76"/>
        <v>3.1137999999999995</v>
      </c>
      <c r="D953" s="29">
        <f t="shared" si="72"/>
        <v>1.2404500000000001</v>
      </c>
      <c r="E953" s="29">
        <f t="shared" si="74"/>
        <v>1443243.243243244</v>
      </c>
      <c r="H953" s="3">
        <v>78.34</v>
      </c>
      <c r="I953" s="29">
        <f t="shared" si="77"/>
        <v>67.906399999999991</v>
      </c>
      <c r="J953" s="29">
        <f t="shared" si="73"/>
        <v>50.985249999999994</v>
      </c>
      <c r="K953" s="29">
        <f t="shared" si="75"/>
        <v>270978.90003459039</v>
      </c>
    </row>
    <row r="954" spans="1:11" ht="18" x14ac:dyDescent="0.2">
      <c r="A954" s="31">
        <v>43052</v>
      </c>
      <c r="B954" s="30">
        <v>5.22</v>
      </c>
      <c r="C954" s="29">
        <f t="shared" si="76"/>
        <v>3.186199999999999</v>
      </c>
      <c r="D954" s="29">
        <f t="shared" si="72"/>
        <v>1.2649000000000001</v>
      </c>
      <c r="E954" s="29">
        <f t="shared" si="74"/>
        <v>1410810.8108108116</v>
      </c>
      <c r="H954" s="3">
        <v>78.849999999999994</v>
      </c>
      <c r="I954" s="29">
        <f t="shared" si="77"/>
        <v>68.446599999999975</v>
      </c>
      <c r="J954" s="29">
        <f t="shared" si="73"/>
        <v>51.191299999999991</v>
      </c>
      <c r="K954" s="29">
        <f t="shared" si="75"/>
        <v>272742.99550328631</v>
      </c>
    </row>
    <row r="955" spans="1:11" ht="18" x14ac:dyDescent="0.2">
      <c r="A955" s="31">
        <v>43059</v>
      </c>
      <c r="B955" s="30">
        <v>5.36</v>
      </c>
      <c r="C955" s="29">
        <f t="shared" si="76"/>
        <v>3.2596000000000003</v>
      </c>
      <c r="D955" s="29">
        <f t="shared" si="72"/>
        <v>1.29</v>
      </c>
      <c r="E955" s="29">
        <f t="shared" si="74"/>
        <v>1448648.6486486495</v>
      </c>
      <c r="H955" s="3">
        <v>78.989999999999995</v>
      </c>
      <c r="I955" s="29">
        <f t="shared" si="77"/>
        <v>68.974799999999988</v>
      </c>
      <c r="J955" s="29">
        <f t="shared" si="73"/>
        <v>51.393799999999992</v>
      </c>
      <c r="K955" s="29">
        <f t="shared" si="75"/>
        <v>273227.25700449693</v>
      </c>
    </row>
    <row r="956" spans="1:11" ht="18" x14ac:dyDescent="0.2">
      <c r="A956" s="31">
        <v>43066</v>
      </c>
      <c r="B956" s="30">
        <v>4.8899999999999997</v>
      </c>
      <c r="C956" s="29">
        <f t="shared" si="76"/>
        <v>3.3250000000000002</v>
      </c>
      <c r="D956" s="29">
        <f t="shared" si="72"/>
        <v>1.3128</v>
      </c>
      <c r="E956" s="29">
        <f t="shared" si="74"/>
        <v>1321621.6216216222</v>
      </c>
      <c r="H956" s="3">
        <v>84.19</v>
      </c>
      <c r="I956" s="29">
        <f t="shared" si="77"/>
        <v>69.515999999999977</v>
      </c>
      <c r="J956" s="29">
        <f t="shared" si="73"/>
        <v>51.617349999999995</v>
      </c>
      <c r="K956" s="29">
        <f t="shared" si="75"/>
        <v>291214.11276374978</v>
      </c>
    </row>
    <row r="957" spans="1:11" ht="18" x14ac:dyDescent="0.2">
      <c r="A957" s="31">
        <v>43073</v>
      </c>
      <c r="B957" s="30">
        <v>4.7300000000000004</v>
      </c>
      <c r="C957" s="29">
        <f t="shared" si="76"/>
        <v>3.3864000000000001</v>
      </c>
      <c r="D957" s="29">
        <f t="shared" si="72"/>
        <v>1.3348000000000002</v>
      </c>
      <c r="E957" s="29">
        <f t="shared" si="74"/>
        <v>1278378.3783783792</v>
      </c>
      <c r="H957" s="3">
        <v>85.11</v>
      </c>
      <c r="I957" s="29">
        <f t="shared" si="77"/>
        <v>70.138999999999982</v>
      </c>
      <c r="J957" s="29">
        <f t="shared" si="73"/>
        <v>51.841250000000002</v>
      </c>
      <c r="K957" s="29">
        <f t="shared" si="75"/>
        <v>294396.40262884833</v>
      </c>
    </row>
    <row r="958" spans="1:11" ht="18" x14ac:dyDescent="0.2">
      <c r="A958" s="31">
        <v>43080</v>
      </c>
      <c r="B958" s="30">
        <v>4.74</v>
      </c>
      <c r="C958" s="29">
        <f t="shared" si="76"/>
        <v>3.4463999999999997</v>
      </c>
      <c r="D958" s="29">
        <f t="shared" si="72"/>
        <v>1.3568</v>
      </c>
      <c r="E958" s="29">
        <f t="shared" si="74"/>
        <v>1281081.0810810819</v>
      </c>
      <c r="H958" s="3">
        <v>85.28</v>
      </c>
      <c r="I958" s="29">
        <f t="shared" si="77"/>
        <v>70.765199999999993</v>
      </c>
      <c r="J958" s="29">
        <f t="shared" si="73"/>
        <v>52.066400000000002</v>
      </c>
      <c r="K958" s="29">
        <f t="shared" si="75"/>
        <v>294984.43445174699</v>
      </c>
    </row>
    <row r="959" spans="1:11" ht="18" x14ac:dyDescent="0.2">
      <c r="A959" s="31">
        <v>43087</v>
      </c>
      <c r="B959" s="30">
        <v>4.83</v>
      </c>
      <c r="C959" s="29">
        <f t="shared" si="76"/>
        <v>3.5098000000000003</v>
      </c>
      <c r="D959" s="29">
        <f t="shared" si="72"/>
        <v>1.3792500000000001</v>
      </c>
      <c r="E959" s="29">
        <f t="shared" si="74"/>
        <v>1305405.4054054061</v>
      </c>
      <c r="H959" s="3">
        <v>86.33</v>
      </c>
      <c r="I959" s="29">
        <f t="shared" si="77"/>
        <v>71.384999999999991</v>
      </c>
      <c r="J959" s="29">
        <f t="shared" si="73"/>
        <v>52.302300000000002</v>
      </c>
      <c r="K959" s="29">
        <f t="shared" si="75"/>
        <v>298616.39571082685</v>
      </c>
    </row>
    <row r="960" spans="1:11" ht="18" x14ac:dyDescent="0.2">
      <c r="A960" s="31">
        <v>43101</v>
      </c>
      <c r="B960" s="30">
        <v>5.33</v>
      </c>
      <c r="C960" s="29">
        <f t="shared" si="76"/>
        <v>3.5732000000000004</v>
      </c>
      <c r="D960" s="29">
        <f t="shared" si="72"/>
        <v>1.40415</v>
      </c>
      <c r="E960" s="29">
        <f t="shared" si="74"/>
        <v>1440540.5405405413</v>
      </c>
      <c r="H960" s="3">
        <v>87.04</v>
      </c>
      <c r="I960" s="29">
        <f t="shared" si="77"/>
        <v>72.046999999999983</v>
      </c>
      <c r="J960" s="29">
        <f t="shared" si="73"/>
        <v>52.546150000000004</v>
      </c>
      <c r="K960" s="29">
        <f t="shared" si="75"/>
        <v>301072.29332410952</v>
      </c>
    </row>
    <row r="961" spans="1:11" ht="18" x14ac:dyDescent="0.2">
      <c r="A961" s="31">
        <v>43108</v>
      </c>
      <c r="B961" s="30">
        <v>5.51</v>
      </c>
      <c r="C961" s="29">
        <f t="shared" si="76"/>
        <v>3.6374000000000009</v>
      </c>
      <c r="D961" s="29">
        <f t="shared" si="72"/>
        <v>1.4299500000000001</v>
      </c>
      <c r="E961" s="29">
        <f t="shared" si="74"/>
        <v>1489189.1891891898</v>
      </c>
      <c r="H961" s="3">
        <v>90.99</v>
      </c>
      <c r="I961" s="29">
        <f t="shared" si="77"/>
        <v>72.582999999999984</v>
      </c>
      <c r="J961" s="29">
        <f t="shared" si="73"/>
        <v>52.813250000000011</v>
      </c>
      <c r="K961" s="29">
        <f t="shared" si="75"/>
        <v>314735.38567969581</v>
      </c>
    </row>
    <row r="962" spans="1:11" ht="18" x14ac:dyDescent="0.2">
      <c r="A962" s="31">
        <v>43122</v>
      </c>
      <c r="B962" s="30">
        <v>6.02</v>
      </c>
      <c r="C962" s="29">
        <f t="shared" si="76"/>
        <v>3.7142000000000008</v>
      </c>
      <c r="D962" s="29">
        <f t="shared" si="72"/>
        <v>1.4582999999999999</v>
      </c>
      <c r="E962" s="29">
        <f t="shared" si="74"/>
        <v>1627027.0270270277</v>
      </c>
      <c r="H962" s="3">
        <v>93.94</v>
      </c>
      <c r="I962" s="29">
        <f t="shared" si="77"/>
        <v>73.181999999999988</v>
      </c>
      <c r="J962" s="29">
        <f t="shared" si="73"/>
        <v>53.101500000000016</v>
      </c>
      <c r="K962" s="29">
        <f t="shared" si="75"/>
        <v>324939.46731234889</v>
      </c>
    </row>
    <row r="963" spans="1:11" ht="18" x14ac:dyDescent="0.2">
      <c r="A963" s="31">
        <v>43129</v>
      </c>
      <c r="B963" s="30">
        <v>5.77</v>
      </c>
      <c r="C963" s="29">
        <f t="shared" si="76"/>
        <v>3.7844000000000007</v>
      </c>
      <c r="D963" s="29">
        <f t="shared" si="72"/>
        <v>1.4853999999999998</v>
      </c>
      <c r="E963" s="29">
        <f t="shared" si="74"/>
        <v>1559459.4594594599</v>
      </c>
      <c r="H963" s="3">
        <v>92.29</v>
      </c>
      <c r="I963" s="29">
        <f t="shared" si="77"/>
        <v>73.77879999999999</v>
      </c>
      <c r="J963" s="29">
        <f t="shared" si="73"/>
        <v>53.374200000000016</v>
      </c>
      <c r="K963" s="29">
        <f t="shared" si="75"/>
        <v>319232.09961950907</v>
      </c>
    </row>
    <row r="964" spans="1:11" ht="18" x14ac:dyDescent="0.2">
      <c r="A964" s="31">
        <v>43143</v>
      </c>
      <c r="B964" s="30">
        <v>6.03</v>
      </c>
      <c r="C964" s="29">
        <f t="shared" si="76"/>
        <v>3.8556000000000008</v>
      </c>
      <c r="D964" s="29">
        <f t="shared" si="72"/>
        <v>1.5136999999999998</v>
      </c>
      <c r="E964" s="29">
        <f t="shared" si="74"/>
        <v>1629729.7297297304</v>
      </c>
      <c r="H964" s="3">
        <v>92.62</v>
      </c>
      <c r="I964" s="29">
        <f t="shared" si="77"/>
        <v>74.281599999999983</v>
      </c>
      <c r="J964" s="29">
        <f t="shared" si="73"/>
        <v>53.648450000000018</v>
      </c>
      <c r="K964" s="29">
        <f t="shared" si="75"/>
        <v>320373.57315807702</v>
      </c>
    </row>
    <row r="965" spans="1:11" ht="18" x14ac:dyDescent="0.2">
      <c r="A965" s="31">
        <v>43150</v>
      </c>
      <c r="B965" s="30">
        <v>6.08</v>
      </c>
      <c r="C965" s="29">
        <f t="shared" si="76"/>
        <v>3.9232000000000009</v>
      </c>
      <c r="D965" s="29">
        <f t="shared" si="72"/>
        <v>1.5422499999999997</v>
      </c>
      <c r="E965" s="29">
        <f t="shared" si="74"/>
        <v>1643243.2432432438</v>
      </c>
      <c r="H965" s="3">
        <v>94.74</v>
      </c>
      <c r="I965" s="29">
        <f t="shared" si="77"/>
        <v>74.799599999999984</v>
      </c>
      <c r="J965" s="29">
        <f t="shared" si="73"/>
        <v>53.93255000000002</v>
      </c>
      <c r="K965" s="29">
        <f t="shared" si="75"/>
        <v>327706.67589069542</v>
      </c>
    </row>
    <row r="966" spans="1:11" ht="18" x14ac:dyDescent="0.2">
      <c r="A966" s="31">
        <v>43157</v>
      </c>
      <c r="B966" s="30">
        <v>5.85</v>
      </c>
      <c r="C966" s="29">
        <f t="shared" si="76"/>
        <v>3.9876000000000009</v>
      </c>
      <c r="D966" s="29">
        <f t="shared" si="72"/>
        <v>1.5696499999999998</v>
      </c>
      <c r="E966" s="29">
        <f t="shared" si="74"/>
        <v>1581081.0810810816</v>
      </c>
      <c r="H966" s="3">
        <v>91.52</v>
      </c>
      <c r="I966" s="29">
        <f t="shared" si="77"/>
        <v>75.326799999999977</v>
      </c>
      <c r="J966" s="29">
        <f t="shared" si="73"/>
        <v>54.202550000000016</v>
      </c>
      <c r="K966" s="29">
        <f t="shared" si="75"/>
        <v>316568.6613628504</v>
      </c>
    </row>
    <row r="967" spans="1:11" ht="18" x14ac:dyDescent="0.2">
      <c r="A967" s="31">
        <v>43164</v>
      </c>
      <c r="B967" s="30">
        <v>6.07</v>
      </c>
      <c r="C967" s="29">
        <f t="shared" si="76"/>
        <v>4.0582000000000003</v>
      </c>
      <c r="D967" s="29">
        <f t="shared" si="72"/>
        <v>1.5981499999999997</v>
      </c>
      <c r="E967" s="29">
        <f t="shared" si="74"/>
        <v>1640540.5405405413</v>
      </c>
      <c r="H967" s="3">
        <v>95.33</v>
      </c>
      <c r="I967" s="29">
        <f t="shared" si="77"/>
        <v>75.801599999999965</v>
      </c>
      <c r="J967" s="29">
        <f t="shared" si="73"/>
        <v>54.490050000000025</v>
      </c>
      <c r="K967" s="29">
        <f t="shared" si="75"/>
        <v>329747.49221722607</v>
      </c>
    </row>
    <row r="968" spans="1:11" ht="18" x14ac:dyDescent="0.2">
      <c r="A968" s="31">
        <v>43171</v>
      </c>
      <c r="B968" s="30">
        <v>6.2</v>
      </c>
      <c r="C968" s="29">
        <f t="shared" si="76"/>
        <v>4.1310000000000002</v>
      </c>
      <c r="D968" s="29">
        <f t="shared" si="72"/>
        <v>1.6272999999999995</v>
      </c>
      <c r="E968" s="29">
        <f t="shared" si="74"/>
        <v>1675675.6756756764</v>
      </c>
      <c r="H968" s="3">
        <v>93.23</v>
      </c>
      <c r="I968" s="29">
        <f t="shared" si="77"/>
        <v>76.355199999999982</v>
      </c>
      <c r="J968" s="29">
        <f t="shared" si="73"/>
        <v>54.75980000000002</v>
      </c>
      <c r="K968" s="29">
        <f t="shared" si="75"/>
        <v>322483.56969906628</v>
      </c>
    </row>
    <row r="969" spans="1:11" ht="18" x14ac:dyDescent="0.2">
      <c r="A969" s="31">
        <v>43178</v>
      </c>
      <c r="B969" s="30">
        <v>5.76</v>
      </c>
      <c r="C969" s="29">
        <f t="shared" si="76"/>
        <v>4.1912000000000003</v>
      </c>
      <c r="D969" s="29">
        <f t="shared" ref="D969:D1032" si="78">AVERAGE(B770:B969)</f>
        <v>1.6542999999999994</v>
      </c>
      <c r="E969" s="29">
        <f t="shared" si="74"/>
        <v>1556756.7567567574</v>
      </c>
      <c r="H969" s="3">
        <v>86.42</v>
      </c>
      <c r="I969" s="29">
        <f t="shared" si="77"/>
        <v>76.897999999999982</v>
      </c>
      <c r="J969" s="29">
        <f t="shared" ref="J969:J1032" si="79">AVERAGE(H770:H969)</f>
        <v>55.001000000000033</v>
      </c>
      <c r="K969" s="29">
        <f t="shared" si="75"/>
        <v>298927.70667589089</v>
      </c>
    </row>
    <row r="970" spans="1:11" ht="18" x14ac:dyDescent="0.2">
      <c r="A970" s="31">
        <v>43185</v>
      </c>
      <c r="B970" s="30">
        <v>5.73</v>
      </c>
      <c r="C970" s="29">
        <f t="shared" si="76"/>
        <v>4.2493999999999996</v>
      </c>
      <c r="D970" s="29">
        <f t="shared" si="78"/>
        <v>1.6811499999999995</v>
      </c>
      <c r="E970" s="29">
        <f t="shared" ref="E970:E1033" si="80">IF( C970&gt;D970,E969*B970/B969,100000)</f>
        <v>1548648.6486486492</v>
      </c>
      <c r="H970" s="3">
        <v>88.81</v>
      </c>
      <c r="I970" s="29">
        <f t="shared" si="77"/>
        <v>77.253199999999993</v>
      </c>
      <c r="J970" s="29">
        <f t="shared" si="79"/>
        <v>55.255100000000027</v>
      </c>
      <c r="K970" s="29">
        <f t="shared" ref="K970:K1033" si="81">IF(I970&gt;J970,K969*H970/H969,100000)</f>
        <v>307194.74230370135</v>
      </c>
    </row>
    <row r="971" spans="1:11" ht="18" x14ac:dyDescent="0.2">
      <c r="A971" s="31">
        <v>43192</v>
      </c>
      <c r="B971" s="30">
        <v>5.3</v>
      </c>
      <c r="C971" s="29">
        <f t="shared" si="76"/>
        <v>4.2994000000000003</v>
      </c>
      <c r="D971" s="29">
        <f t="shared" si="78"/>
        <v>1.7058499999999999</v>
      </c>
      <c r="E971" s="29">
        <f t="shared" si="80"/>
        <v>1432432.4324324329</v>
      </c>
      <c r="H971" s="3">
        <v>88.1</v>
      </c>
      <c r="I971" s="29">
        <f t="shared" si="77"/>
        <v>77.652199999999979</v>
      </c>
      <c r="J971" s="29">
        <f t="shared" si="79"/>
        <v>55.500400000000027</v>
      </c>
      <c r="K971" s="29">
        <f t="shared" si="81"/>
        <v>304738.84469041874</v>
      </c>
    </row>
    <row r="972" spans="1:11" ht="18" x14ac:dyDescent="0.2">
      <c r="A972" s="31">
        <v>43199</v>
      </c>
      <c r="B972" s="30">
        <v>5.73</v>
      </c>
      <c r="C972" s="29">
        <f t="shared" si="76"/>
        <v>4.3612000000000002</v>
      </c>
      <c r="D972" s="29">
        <f t="shared" si="78"/>
        <v>1.7325999999999997</v>
      </c>
      <c r="E972" s="29">
        <f t="shared" si="80"/>
        <v>1548648.6486486495</v>
      </c>
      <c r="H972" s="3">
        <v>89.53</v>
      </c>
      <c r="I972" s="29">
        <f t="shared" si="77"/>
        <v>78.039799999999985</v>
      </c>
      <c r="J972" s="29">
        <f t="shared" si="79"/>
        <v>55.749550000000028</v>
      </c>
      <c r="K972" s="29">
        <f t="shared" si="81"/>
        <v>309685.23002421332</v>
      </c>
    </row>
    <row r="973" spans="1:11" ht="18" x14ac:dyDescent="0.2">
      <c r="A973" s="31">
        <v>43213</v>
      </c>
      <c r="B973" s="30">
        <v>5.6</v>
      </c>
      <c r="C973" s="29">
        <f t="shared" si="76"/>
        <v>4.4231999999999996</v>
      </c>
      <c r="D973" s="29">
        <f t="shared" si="78"/>
        <v>1.7587999999999999</v>
      </c>
      <c r="E973" s="29">
        <f t="shared" si="80"/>
        <v>1513513.5135135143</v>
      </c>
      <c r="H973" s="3">
        <v>88.8</v>
      </c>
      <c r="I973" s="29">
        <f t="shared" si="77"/>
        <v>78.404999999999987</v>
      </c>
      <c r="J973" s="29">
        <f t="shared" si="79"/>
        <v>55.985700000000023</v>
      </c>
      <c r="K973" s="29">
        <f t="shared" si="81"/>
        <v>307160.15219647205</v>
      </c>
    </row>
    <row r="974" spans="1:11" ht="18" x14ac:dyDescent="0.2">
      <c r="A974" s="31">
        <v>43227</v>
      </c>
      <c r="B974" s="30">
        <v>6.3</v>
      </c>
      <c r="C974" s="29">
        <f t="shared" si="76"/>
        <v>4.5004000000000008</v>
      </c>
      <c r="D974" s="29">
        <f t="shared" si="78"/>
        <v>1.7884500000000001</v>
      </c>
      <c r="E974" s="29">
        <f t="shared" si="80"/>
        <v>1702702.7027027037</v>
      </c>
      <c r="H974" s="3">
        <v>92.42</v>
      </c>
      <c r="I974" s="29">
        <f t="shared" si="77"/>
        <v>78.753999999999991</v>
      </c>
      <c r="J974" s="29">
        <f t="shared" si="79"/>
        <v>56.240800000000029</v>
      </c>
      <c r="K974" s="29">
        <f t="shared" si="81"/>
        <v>319681.77101349039</v>
      </c>
    </row>
    <row r="975" spans="1:11" ht="18" x14ac:dyDescent="0.2">
      <c r="A975" s="31">
        <v>43241</v>
      </c>
      <c r="B975" s="30">
        <v>6.17</v>
      </c>
      <c r="C975" s="29">
        <f t="shared" si="76"/>
        <v>4.5714000000000006</v>
      </c>
      <c r="D975" s="29">
        <f t="shared" si="78"/>
        <v>1.8174999999999999</v>
      </c>
      <c r="E975" s="29">
        <f t="shared" si="80"/>
        <v>1667567.5675675685</v>
      </c>
      <c r="H975" s="3">
        <v>89.82</v>
      </c>
      <c r="I975" s="29">
        <f t="shared" si="77"/>
        <v>79.160399999999996</v>
      </c>
      <c r="J975" s="29">
        <f t="shared" si="79"/>
        <v>56.487100000000027</v>
      </c>
      <c r="K975" s="29">
        <f t="shared" si="81"/>
        <v>310688.34313386393</v>
      </c>
    </row>
    <row r="976" spans="1:11" ht="18" x14ac:dyDescent="0.2">
      <c r="A976" s="31">
        <v>43248</v>
      </c>
      <c r="B976" s="30">
        <v>6.38</v>
      </c>
      <c r="C976" s="29">
        <f t="shared" si="76"/>
        <v>4.6459999999999999</v>
      </c>
      <c r="D976" s="29">
        <f t="shared" si="78"/>
        <v>1.84755</v>
      </c>
      <c r="E976" s="29">
        <f t="shared" si="80"/>
        <v>1724324.3243243252</v>
      </c>
      <c r="H976" s="3">
        <v>87.99</v>
      </c>
      <c r="I976" s="29">
        <f t="shared" si="77"/>
        <v>79.5244</v>
      </c>
      <c r="J976" s="29">
        <f t="shared" si="79"/>
        <v>56.718350000000015</v>
      </c>
      <c r="K976" s="29">
        <f t="shared" si="81"/>
        <v>304358.35351089609</v>
      </c>
    </row>
    <row r="977" spans="1:11" ht="18" x14ac:dyDescent="0.2">
      <c r="A977" s="31">
        <v>43255</v>
      </c>
      <c r="B977" s="30">
        <v>6.49</v>
      </c>
      <c r="C977" s="29">
        <f t="shared" si="76"/>
        <v>4.7219999999999995</v>
      </c>
      <c r="D977" s="29">
        <f t="shared" si="78"/>
        <v>1.87815</v>
      </c>
      <c r="E977" s="29">
        <f t="shared" si="80"/>
        <v>1754054.0540540551</v>
      </c>
      <c r="H977" s="3">
        <v>90.19</v>
      </c>
      <c r="I977" s="29">
        <f t="shared" si="77"/>
        <v>79.905199999999994</v>
      </c>
      <c r="J977" s="29">
        <f t="shared" si="79"/>
        <v>56.959000000000024</v>
      </c>
      <c r="K977" s="29">
        <f t="shared" si="81"/>
        <v>311968.17710134928</v>
      </c>
    </row>
    <row r="978" spans="1:11" ht="18" x14ac:dyDescent="0.2">
      <c r="A978" s="31">
        <v>43262</v>
      </c>
      <c r="B978" s="30">
        <v>6.57</v>
      </c>
      <c r="C978" s="29">
        <f t="shared" si="76"/>
        <v>4.8039999999999994</v>
      </c>
      <c r="D978" s="29">
        <f t="shared" si="78"/>
        <v>1.9091499999999999</v>
      </c>
      <c r="E978" s="29">
        <f t="shared" si="80"/>
        <v>1775675.6756756767</v>
      </c>
      <c r="H978" s="3">
        <v>87.58</v>
      </c>
      <c r="I978" s="29">
        <f t="shared" si="77"/>
        <v>80.321399999999997</v>
      </c>
      <c r="J978" s="29">
        <f t="shared" si="79"/>
        <v>57.184700000000021</v>
      </c>
      <c r="K978" s="29">
        <f t="shared" si="81"/>
        <v>302940.15911449352</v>
      </c>
    </row>
    <row r="979" spans="1:11" ht="18" x14ac:dyDescent="0.2">
      <c r="A979" s="31">
        <v>43269</v>
      </c>
      <c r="B979" s="30">
        <v>6.21</v>
      </c>
      <c r="C979" s="29">
        <f t="shared" si="76"/>
        <v>4.8779999999999992</v>
      </c>
      <c r="D979" s="29">
        <f t="shared" si="78"/>
        <v>1.9383499999999998</v>
      </c>
      <c r="E979" s="29">
        <f t="shared" si="80"/>
        <v>1678378.3783783792</v>
      </c>
      <c r="H979" s="3">
        <v>85.84</v>
      </c>
      <c r="I979" s="29">
        <f t="shared" si="77"/>
        <v>80.711600000000004</v>
      </c>
      <c r="J979" s="29">
        <f t="shared" si="79"/>
        <v>57.400950000000023</v>
      </c>
      <c r="K979" s="29">
        <f t="shared" si="81"/>
        <v>296921.48045658966</v>
      </c>
    </row>
    <row r="980" spans="1:11" ht="18" x14ac:dyDescent="0.2">
      <c r="A980" s="31">
        <v>43276</v>
      </c>
      <c r="B980" s="30">
        <v>5.86</v>
      </c>
      <c r="C980" s="29">
        <f t="shared" si="76"/>
        <v>4.9437999999999995</v>
      </c>
      <c r="D980" s="29">
        <f t="shared" si="78"/>
        <v>1.9657499999999999</v>
      </c>
      <c r="E980" s="29">
        <f t="shared" si="80"/>
        <v>1583783.7837837846</v>
      </c>
      <c r="H980" s="3">
        <v>84.58</v>
      </c>
      <c r="I980" s="29">
        <f t="shared" si="77"/>
        <v>81.085599999999999</v>
      </c>
      <c r="J980" s="29">
        <f t="shared" si="79"/>
        <v>57.61225000000001</v>
      </c>
      <c r="K980" s="29">
        <f t="shared" si="81"/>
        <v>292563.12694569374</v>
      </c>
    </row>
    <row r="981" spans="1:11" ht="18" x14ac:dyDescent="0.2">
      <c r="A981" s="31">
        <v>43283</v>
      </c>
      <c r="B981" s="30">
        <v>6.12</v>
      </c>
      <c r="C981" s="29">
        <f t="shared" si="76"/>
        <v>5.0150000000000006</v>
      </c>
      <c r="D981" s="29">
        <f t="shared" si="78"/>
        <v>1.9944999999999999</v>
      </c>
      <c r="E981" s="29">
        <f t="shared" si="80"/>
        <v>1654054.0540540549</v>
      </c>
      <c r="H981" s="3">
        <v>84.47</v>
      </c>
      <c r="I981" s="29">
        <f t="shared" si="77"/>
        <v>81.394999999999996</v>
      </c>
      <c r="J981" s="29">
        <f t="shared" si="79"/>
        <v>57.833050000000021</v>
      </c>
      <c r="K981" s="29">
        <f t="shared" si="81"/>
        <v>292182.63576617109</v>
      </c>
    </row>
    <row r="982" spans="1:11" ht="18" x14ac:dyDescent="0.2">
      <c r="A982" s="31">
        <v>43290</v>
      </c>
      <c r="B982" s="30">
        <v>6.17</v>
      </c>
      <c r="C982" s="29">
        <f t="shared" si="76"/>
        <v>5.0754000000000001</v>
      </c>
      <c r="D982" s="29">
        <f t="shared" si="78"/>
        <v>2.0234999999999999</v>
      </c>
      <c r="E982" s="29">
        <f t="shared" si="80"/>
        <v>1667567.5675675683</v>
      </c>
      <c r="H982" s="3">
        <v>86.8</v>
      </c>
      <c r="I982" s="29">
        <f t="shared" si="77"/>
        <v>81.702199999999991</v>
      </c>
      <c r="J982" s="29">
        <f t="shared" si="79"/>
        <v>58.060900000000011</v>
      </c>
      <c r="K982" s="29">
        <f t="shared" si="81"/>
        <v>300242.13075060555</v>
      </c>
    </row>
    <row r="983" spans="1:11" ht="18" x14ac:dyDescent="0.2">
      <c r="A983" s="31">
        <v>43297</v>
      </c>
      <c r="B983" s="30">
        <v>6.21</v>
      </c>
      <c r="C983" s="29">
        <f t="shared" si="76"/>
        <v>5.1326000000000001</v>
      </c>
      <c r="D983" s="29">
        <f t="shared" si="78"/>
        <v>2.0524499999999999</v>
      </c>
      <c r="E983" s="29">
        <f t="shared" si="80"/>
        <v>1678378.3783783792</v>
      </c>
      <c r="H983" s="3">
        <v>90.82</v>
      </c>
      <c r="I983" s="29">
        <f t="shared" si="77"/>
        <v>82.057199999999995</v>
      </c>
      <c r="J983" s="29">
        <f t="shared" si="79"/>
        <v>58.303300000000007</v>
      </c>
      <c r="K983" s="29">
        <f t="shared" si="81"/>
        <v>314147.35385679716</v>
      </c>
    </row>
    <row r="984" spans="1:11" ht="18" x14ac:dyDescent="0.2">
      <c r="A984" s="31">
        <v>43304</v>
      </c>
      <c r="B984" s="30">
        <v>6.24</v>
      </c>
      <c r="C984" s="29">
        <f t="shared" si="76"/>
        <v>5.1874000000000002</v>
      </c>
      <c r="D984" s="29">
        <f t="shared" si="78"/>
        <v>2.0814500000000002</v>
      </c>
      <c r="E984" s="29">
        <f t="shared" si="80"/>
        <v>1686486.4864864873</v>
      </c>
      <c r="H984" s="3">
        <v>94.69</v>
      </c>
      <c r="I984" s="29">
        <f t="shared" si="77"/>
        <v>82.526599999999974</v>
      </c>
      <c r="J984" s="29">
        <f t="shared" si="79"/>
        <v>58.567000000000014</v>
      </c>
      <c r="K984" s="29">
        <f t="shared" si="81"/>
        <v>327533.72535454883</v>
      </c>
    </row>
    <row r="985" spans="1:11" ht="18" x14ac:dyDescent="0.2">
      <c r="A985" s="31">
        <v>43311</v>
      </c>
      <c r="B985" s="30">
        <v>6.24</v>
      </c>
      <c r="C985" s="29">
        <f t="shared" si="76"/>
        <v>5.2412000000000001</v>
      </c>
      <c r="D985" s="29">
        <f t="shared" si="78"/>
        <v>2.1105</v>
      </c>
      <c r="E985" s="29">
        <f t="shared" si="80"/>
        <v>1686486.4864864873</v>
      </c>
      <c r="H985" s="3">
        <v>95.56</v>
      </c>
      <c r="I985" s="29">
        <f t="shared" si="77"/>
        <v>83.064199999999985</v>
      </c>
      <c r="J985" s="29">
        <f t="shared" si="79"/>
        <v>58.828550000000021</v>
      </c>
      <c r="K985" s="29">
        <f t="shared" si="81"/>
        <v>330543.06468350079</v>
      </c>
    </row>
    <row r="986" spans="1:11" ht="18" x14ac:dyDescent="0.2">
      <c r="A986" s="31">
        <v>43346</v>
      </c>
      <c r="B986" s="30">
        <v>6.73</v>
      </c>
      <c r="C986" s="29">
        <f t="shared" si="76"/>
        <v>5.3020000000000005</v>
      </c>
      <c r="D986" s="29">
        <f t="shared" si="78"/>
        <v>2.1420000000000003</v>
      </c>
      <c r="E986" s="29">
        <f t="shared" si="80"/>
        <v>1818918.91891892</v>
      </c>
      <c r="H986" s="3">
        <v>93.3</v>
      </c>
      <c r="I986" s="29">
        <f t="shared" si="77"/>
        <v>83.662399999999991</v>
      </c>
      <c r="J986" s="29">
        <f t="shared" si="79"/>
        <v>59.078800000000022</v>
      </c>
      <c r="K986" s="29">
        <f t="shared" si="81"/>
        <v>322725.70044967165</v>
      </c>
    </row>
    <row r="987" spans="1:11" ht="18" x14ac:dyDescent="0.2">
      <c r="A987" s="31">
        <v>43353</v>
      </c>
      <c r="B987" s="30">
        <v>6.85</v>
      </c>
      <c r="C987" s="29">
        <f t="shared" si="76"/>
        <v>5.3642000000000003</v>
      </c>
      <c r="D987" s="29">
        <f t="shared" si="78"/>
        <v>2.17415</v>
      </c>
      <c r="E987" s="29">
        <f t="shared" si="80"/>
        <v>1851351.3513513522</v>
      </c>
      <c r="H987" s="3">
        <v>92.63</v>
      </c>
      <c r="I987" s="29">
        <f t="shared" si="77"/>
        <v>84.146799999999999</v>
      </c>
      <c r="J987" s="29">
        <f t="shared" si="79"/>
        <v>59.335150000000013</v>
      </c>
      <c r="K987" s="29">
        <f t="shared" si="81"/>
        <v>320408.16326530639</v>
      </c>
    </row>
    <row r="988" spans="1:11" ht="18" x14ac:dyDescent="0.2">
      <c r="A988" s="31">
        <v>43360</v>
      </c>
      <c r="B988" s="30">
        <v>6.53</v>
      </c>
      <c r="C988" s="29">
        <f t="shared" si="76"/>
        <v>5.4234</v>
      </c>
      <c r="D988" s="29">
        <f t="shared" si="78"/>
        <v>2.2046999999999999</v>
      </c>
      <c r="E988" s="29">
        <f t="shared" si="80"/>
        <v>1764864.8648648658</v>
      </c>
      <c r="H988" s="3">
        <v>96.18</v>
      </c>
      <c r="I988" s="29">
        <f t="shared" si="77"/>
        <v>84.630200000000002</v>
      </c>
      <c r="J988" s="29">
        <f t="shared" si="79"/>
        <v>59.597450000000016</v>
      </c>
      <c r="K988" s="29">
        <f t="shared" si="81"/>
        <v>332687.65133171948</v>
      </c>
    </row>
    <row r="989" spans="1:11" ht="18" x14ac:dyDescent="0.2">
      <c r="A989" s="31">
        <v>43367</v>
      </c>
      <c r="B989" s="30">
        <v>6.96</v>
      </c>
      <c r="C989" s="29">
        <f t="shared" si="76"/>
        <v>5.4901999999999989</v>
      </c>
      <c r="D989" s="29">
        <f t="shared" si="78"/>
        <v>2.2373499999999997</v>
      </c>
      <c r="E989" s="29">
        <f t="shared" si="80"/>
        <v>1881081.0810810819</v>
      </c>
      <c r="H989" s="3">
        <v>92.09</v>
      </c>
      <c r="I989" s="29">
        <f t="shared" si="77"/>
        <v>85.101600000000005</v>
      </c>
      <c r="J989" s="29">
        <f t="shared" si="79"/>
        <v>59.840150000000001</v>
      </c>
      <c r="K989" s="29">
        <f t="shared" si="81"/>
        <v>318540.2974749225</v>
      </c>
    </row>
    <row r="990" spans="1:11" ht="18" x14ac:dyDescent="0.2">
      <c r="A990" s="31">
        <v>43374</v>
      </c>
      <c r="B990" s="30">
        <v>6.68</v>
      </c>
      <c r="C990" s="29">
        <f t="shared" si="76"/>
        <v>5.5423999999999989</v>
      </c>
      <c r="D990" s="29">
        <f t="shared" si="78"/>
        <v>2.2685999999999997</v>
      </c>
      <c r="E990" s="29">
        <f t="shared" si="80"/>
        <v>1805405.4054054059</v>
      </c>
      <c r="H990" s="3">
        <v>93.54</v>
      </c>
      <c r="I990" s="29">
        <f t="shared" si="77"/>
        <v>85.452400000000011</v>
      </c>
      <c r="J990" s="29">
        <f t="shared" si="79"/>
        <v>60.105550000000015</v>
      </c>
      <c r="K990" s="29">
        <f t="shared" si="81"/>
        <v>323555.86302317574</v>
      </c>
    </row>
    <row r="991" spans="1:11" ht="18" x14ac:dyDescent="0.2">
      <c r="A991" s="31">
        <v>43381</v>
      </c>
      <c r="B991" s="30">
        <v>6.11</v>
      </c>
      <c r="C991" s="29">
        <f t="shared" si="76"/>
        <v>5.5815999999999999</v>
      </c>
      <c r="D991" s="29">
        <f t="shared" si="78"/>
        <v>2.2969499999999998</v>
      </c>
      <c r="E991" s="29">
        <f t="shared" si="80"/>
        <v>1651351.3513513522</v>
      </c>
      <c r="H991" s="3">
        <v>87.9</v>
      </c>
      <c r="I991" s="29">
        <f t="shared" si="77"/>
        <v>85.849400000000017</v>
      </c>
      <c r="J991" s="29">
        <f t="shared" si="79"/>
        <v>60.341400000000014</v>
      </c>
      <c r="K991" s="29">
        <f t="shared" si="81"/>
        <v>304047.04254583223</v>
      </c>
    </row>
    <row r="992" spans="1:11" ht="18" x14ac:dyDescent="0.2">
      <c r="A992" s="31">
        <v>43388</v>
      </c>
      <c r="B992" s="30">
        <v>5.68</v>
      </c>
      <c r="C992" s="29">
        <f t="shared" si="76"/>
        <v>5.6125999999999996</v>
      </c>
      <c r="D992" s="29">
        <f t="shared" si="78"/>
        <v>2.32315</v>
      </c>
      <c r="E992" s="29">
        <f t="shared" si="80"/>
        <v>1535135.1351351356</v>
      </c>
      <c r="H992" s="3">
        <v>88.68</v>
      </c>
      <c r="I992" s="29">
        <f t="shared" si="77"/>
        <v>86.155400000000014</v>
      </c>
      <c r="J992" s="29">
        <f t="shared" si="79"/>
        <v>60.586900000000007</v>
      </c>
      <c r="K992" s="29">
        <f t="shared" si="81"/>
        <v>306745.07090972015</v>
      </c>
    </row>
    <row r="993" spans="1:11" ht="18" x14ac:dyDescent="0.2">
      <c r="A993" s="31">
        <v>43395</v>
      </c>
      <c r="B993" s="30">
        <v>4.91</v>
      </c>
      <c r="C993" s="29">
        <f t="shared" si="76"/>
        <v>5.6337999999999999</v>
      </c>
      <c r="D993" s="29">
        <f t="shared" si="78"/>
        <v>2.3455500000000002</v>
      </c>
      <c r="E993" s="29">
        <f t="shared" si="80"/>
        <v>1327027.0270270274</v>
      </c>
      <c r="H993" s="3">
        <v>84.99</v>
      </c>
      <c r="I993" s="29">
        <f t="shared" si="77"/>
        <v>86.432800000000029</v>
      </c>
      <c r="J993" s="29">
        <f t="shared" si="79"/>
        <v>60.816550000000007</v>
      </c>
      <c r="K993" s="29">
        <f t="shared" si="81"/>
        <v>293981.32134209643</v>
      </c>
    </row>
    <row r="994" spans="1:11" ht="18" x14ac:dyDescent="0.2">
      <c r="A994" s="31">
        <v>43402</v>
      </c>
      <c r="B994" s="30">
        <v>5.32</v>
      </c>
      <c r="C994" s="29">
        <f t="shared" si="76"/>
        <v>5.660400000000001</v>
      </c>
      <c r="D994" s="29">
        <f t="shared" si="78"/>
        <v>2.37</v>
      </c>
      <c r="E994" s="29">
        <f t="shared" si="80"/>
        <v>1437837.8378378383</v>
      </c>
      <c r="H994" s="3">
        <v>89.07</v>
      </c>
      <c r="I994" s="29">
        <f t="shared" si="77"/>
        <v>86.672200000000018</v>
      </c>
      <c r="J994" s="29">
        <f t="shared" si="79"/>
        <v>61.062100000000001</v>
      </c>
      <c r="K994" s="29">
        <f t="shared" si="81"/>
        <v>308094.08509166411</v>
      </c>
    </row>
    <row r="995" spans="1:11" ht="18" x14ac:dyDescent="0.2">
      <c r="A995" s="31">
        <v>43409</v>
      </c>
      <c r="B995" s="30">
        <v>5.09</v>
      </c>
      <c r="C995" s="29">
        <f t="shared" si="76"/>
        <v>5.6814000000000009</v>
      </c>
      <c r="D995" s="29">
        <f t="shared" si="78"/>
        <v>2.3932500000000001</v>
      </c>
      <c r="E995" s="29">
        <f t="shared" si="80"/>
        <v>1375675.675675676</v>
      </c>
      <c r="H995" s="3">
        <v>91.46</v>
      </c>
      <c r="I995" s="29">
        <f t="shared" si="77"/>
        <v>87.003999999999991</v>
      </c>
      <c r="J995" s="29">
        <f t="shared" si="79"/>
        <v>61.315799999999996</v>
      </c>
      <c r="K995" s="29">
        <f t="shared" si="81"/>
        <v>316361.12071947457</v>
      </c>
    </row>
    <row r="996" spans="1:11" ht="18" x14ac:dyDescent="0.2">
      <c r="A996" s="31">
        <v>43416</v>
      </c>
      <c r="B996" s="30">
        <v>4.07</v>
      </c>
      <c r="C996" s="29">
        <f t="shared" si="76"/>
        <v>5.6786000000000003</v>
      </c>
      <c r="D996" s="29">
        <f t="shared" si="78"/>
        <v>2.4113500000000001</v>
      </c>
      <c r="E996" s="29">
        <f t="shared" si="80"/>
        <v>1100000.0000000005</v>
      </c>
      <c r="H996" s="3">
        <v>90.39</v>
      </c>
      <c r="I996" s="29">
        <f t="shared" si="77"/>
        <v>87.365200000000016</v>
      </c>
      <c r="J996" s="29">
        <f t="shared" si="79"/>
        <v>61.558999999999997</v>
      </c>
      <c r="K996" s="29">
        <f t="shared" si="81"/>
        <v>312659.97924593603</v>
      </c>
    </row>
    <row r="997" spans="1:11" ht="18" x14ac:dyDescent="0.2">
      <c r="A997" s="31">
        <v>43423</v>
      </c>
      <c r="B997" s="30">
        <v>3.59</v>
      </c>
      <c r="C997" s="29">
        <f t="shared" si="76"/>
        <v>5.6613999999999995</v>
      </c>
      <c r="D997" s="29">
        <f t="shared" si="78"/>
        <v>2.4270499999999995</v>
      </c>
      <c r="E997" s="29">
        <f t="shared" si="80"/>
        <v>970270.27027027053</v>
      </c>
      <c r="H997" s="3">
        <v>87.65</v>
      </c>
      <c r="I997" s="29">
        <f t="shared" si="77"/>
        <v>87.708000000000013</v>
      </c>
      <c r="J997" s="29">
        <f t="shared" si="79"/>
        <v>61.788249999999991</v>
      </c>
      <c r="K997" s="29">
        <f t="shared" si="81"/>
        <v>303182.28986509895</v>
      </c>
    </row>
    <row r="998" spans="1:11" ht="18" x14ac:dyDescent="0.2">
      <c r="A998" s="31">
        <v>43430</v>
      </c>
      <c r="B998" s="30">
        <v>4.05</v>
      </c>
      <c r="C998" s="29">
        <f t="shared" si="76"/>
        <v>5.6539999999999999</v>
      </c>
      <c r="D998" s="29">
        <f t="shared" si="78"/>
        <v>2.4449999999999998</v>
      </c>
      <c r="E998" s="29">
        <f t="shared" si="80"/>
        <v>1094594.5945945948</v>
      </c>
      <c r="H998" s="3">
        <v>91.38</v>
      </c>
      <c r="I998" s="29">
        <f t="shared" si="77"/>
        <v>87.997400000000013</v>
      </c>
      <c r="J998" s="29">
        <f t="shared" si="79"/>
        <v>62.034299999999995</v>
      </c>
      <c r="K998" s="29">
        <f t="shared" si="81"/>
        <v>316084.39986163995</v>
      </c>
    </row>
    <row r="999" spans="1:11" ht="18" x14ac:dyDescent="0.2">
      <c r="A999" s="31">
        <v>43437</v>
      </c>
      <c r="B999" s="30">
        <v>3.66</v>
      </c>
      <c r="C999" s="29">
        <f t="shared" si="76"/>
        <v>5.6388000000000007</v>
      </c>
      <c r="D999" s="29">
        <f t="shared" si="78"/>
        <v>2.4610499999999997</v>
      </c>
      <c r="E999" s="29">
        <f t="shared" si="80"/>
        <v>989189.18918918946</v>
      </c>
      <c r="H999" s="3">
        <v>84.89</v>
      </c>
      <c r="I999" s="29">
        <f t="shared" si="77"/>
        <v>88.31</v>
      </c>
      <c r="J999" s="29">
        <f t="shared" si="79"/>
        <v>62.247949999999982</v>
      </c>
      <c r="K999" s="29">
        <f t="shared" si="81"/>
        <v>293635.4202698032</v>
      </c>
    </row>
    <row r="1000" spans="1:11" ht="18" x14ac:dyDescent="0.2">
      <c r="A1000" s="31">
        <v>43444</v>
      </c>
      <c r="B1000" s="30">
        <v>3.63</v>
      </c>
      <c r="C1000" s="29">
        <f t="shared" si="76"/>
        <v>5.6151999999999997</v>
      </c>
      <c r="D1000" s="29">
        <f t="shared" si="78"/>
        <v>2.4769999999999999</v>
      </c>
      <c r="E1000" s="29">
        <f t="shared" si="80"/>
        <v>981081.0810810813</v>
      </c>
      <c r="H1000" s="3">
        <v>82.42</v>
      </c>
      <c r="I1000" s="29">
        <f t="shared" si="77"/>
        <v>88.482000000000014</v>
      </c>
      <c r="J1000" s="29">
        <f t="shared" si="79"/>
        <v>62.454149999999984</v>
      </c>
      <c r="K1000" s="29">
        <f t="shared" si="81"/>
        <v>285091.66378415807</v>
      </c>
    </row>
    <row r="1001" spans="1:11" ht="18" x14ac:dyDescent="0.2">
      <c r="A1001" s="31">
        <v>43451</v>
      </c>
      <c r="B1001" s="30">
        <v>3.21</v>
      </c>
      <c r="C1001" s="29">
        <f t="shared" si="76"/>
        <v>5.5822000000000003</v>
      </c>
      <c r="D1001" s="29">
        <f t="shared" si="78"/>
        <v>2.4907999999999997</v>
      </c>
      <c r="E1001" s="29">
        <f t="shared" si="80"/>
        <v>867567.56756756769</v>
      </c>
      <c r="H1001" s="3">
        <v>77.39</v>
      </c>
      <c r="I1001" s="29">
        <f t="shared" si="77"/>
        <v>88.59</v>
      </c>
      <c r="J1001" s="29">
        <f t="shared" si="79"/>
        <v>62.626249999999985</v>
      </c>
      <c r="K1001" s="29">
        <f t="shared" si="81"/>
        <v>267692.83984780387</v>
      </c>
    </row>
    <row r="1002" spans="1:11" ht="18" x14ac:dyDescent="0.2">
      <c r="A1002" s="31">
        <v>43458</v>
      </c>
      <c r="B1002" s="30">
        <v>3.31</v>
      </c>
      <c r="C1002" s="29">
        <f t="shared" si="76"/>
        <v>5.5486000000000004</v>
      </c>
      <c r="D1002" s="29">
        <f t="shared" si="78"/>
        <v>2.50515</v>
      </c>
      <c r="E1002" s="29">
        <f t="shared" si="80"/>
        <v>894594.59459459467</v>
      </c>
      <c r="H1002" s="3">
        <v>79.58</v>
      </c>
      <c r="I1002" s="29">
        <f t="shared" si="77"/>
        <v>88.538800000000009</v>
      </c>
      <c r="J1002" s="29">
        <f t="shared" si="79"/>
        <v>62.806449999999977</v>
      </c>
      <c r="K1002" s="29">
        <f t="shared" si="81"/>
        <v>275268.07333102764</v>
      </c>
    </row>
    <row r="1003" spans="1:11" ht="18" x14ac:dyDescent="0.2">
      <c r="A1003" s="31">
        <v>43465</v>
      </c>
      <c r="B1003" s="30">
        <v>3.38</v>
      </c>
      <c r="C1003" s="29">
        <f t="shared" si="76"/>
        <v>5.5094000000000003</v>
      </c>
      <c r="D1003" s="29">
        <f t="shared" si="78"/>
        <v>2.5199499999999997</v>
      </c>
      <c r="E1003" s="29">
        <f t="shared" si="80"/>
        <v>913513.51351351349</v>
      </c>
      <c r="H1003" s="3">
        <v>82.75</v>
      </c>
      <c r="I1003" s="29">
        <f t="shared" si="77"/>
        <v>88.495000000000005</v>
      </c>
      <c r="J1003" s="29">
        <f t="shared" si="79"/>
        <v>63.012349999999977</v>
      </c>
      <c r="K1003" s="29">
        <f t="shared" si="81"/>
        <v>286233.13732272602</v>
      </c>
    </row>
    <row r="1004" spans="1:11" ht="18" x14ac:dyDescent="0.2">
      <c r="A1004" s="31">
        <v>43472</v>
      </c>
      <c r="B1004" s="30">
        <v>3.69</v>
      </c>
      <c r="C1004" s="29">
        <f t="shared" si="76"/>
        <v>5.4787999999999997</v>
      </c>
      <c r="D1004" s="29">
        <f t="shared" si="78"/>
        <v>2.5361499999999997</v>
      </c>
      <c r="E1004" s="29">
        <f t="shared" si="80"/>
        <v>997297.29729729728</v>
      </c>
      <c r="H1004" s="3">
        <v>82.78</v>
      </c>
      <c r="I1004" s="29">
        <f t="shared" si="77"/>
        <v>88.583200000000019</v>
      </c>
      <c r="J1004" s="29">
        <f t="shared" si="79"/>
        <v>63.216849999999987</v>
      </c>
      <c r="K1004" s="29">
        <f t="shared" si="81"/>
        <v>286336.90764441399</v>
      </c>
    </row>
    <row r="1005" spans="1:11" ht="18" x14ac:dyDescent="0.2">
      <c r="A1005" s="31">
        <v>43479</v>
      </c>
      <c r="B1005" s="30">
        <v>3.89</v>
      </c>
      <c r="C1005" s="29">
        <f t="shared" si="76"/>
        <v>5.4494000000000007</v>
      </c>
      <c r="D1005" s="29">
        <f t="shared" si="78"/>
        <v>2.55335</v>
      </c>
      <c r="E1005" s="29">
        <f t="shared" si="80"/>
        <v>1051351.3513513515</v>
      </c>
      <c r="H1005" s="3">
        <v>86.65</v>
      </c>
      <c r="I1005" s="29">
        <f t="shared" si="77"/>
        <v>88.661799999999999</v>
      </c>
      <c r="J1005" s="29">
        <f t="shared" si="79"/>
        <v>63.434299999999993</v>
      </c>
      <c r="K1005" s="29">
        <f t="shared" si="81"/>
        <v>299723.27914216567</v>
      </c>
    </row>
    <row r="1006" spans="1:11" ht="18" x14ac:dyDescent="0.2">
      <c r="A1006" s="31">
        <v>43486</v>
      </c>
      <c r="B1006" s="30">
        <v>3.97</v>
      </c>
      <c r="C1006" s="29">
        <f t="shared" si="76"/>
        <v>5.4310000000000009</v>
      </c>
      <c r="D1006" s="29">
        <f t="shared" si="78"/>
        <v>2.5709499999999998</v>
      </c>
      <c r="E1006" s="29">
        <f t="shared" si="80"/>
        <v>1072972.9729729732</v>
      </c>
      <c r="H1006" s="3">
        <v>85.66</v>
      </c>
      <c r="I1006" s="29">
        <f t="shared" si="77"/>
        <v>88.814999999999998</v>
      </c>
      <c r="J1006" s="29">
        <f t="shared" si="79"/>
        <v>63.643249999999988</v>
      </c>
      <c r="K1006" s="29">
        <f t="shared" si="81"/>
        <v>296298.85852646176</v>
      </c>
    </row>
    <row r="1007" spans="1:11" ht="18" x14ac:dyDescent="0.2">
      <c r="A1007" s="31">
        <v>43493</v>
      </c>
      <c r="B1007" s="30">
        <v>3.59</v>
      </c>
      <c r="C1007" s="29">
        <f t="shared" si="76"/>
        <v>5.4082000000000017</v>
      </c>
      <c r="D1007" s="29">
        <f t="shared" si="78"/>
        <v>2.5865999999999998</v>
      </c>
      <c r="E1007" s="29">
        <f t="shared" si="80"/>
        <v>970270.27027027041</v>
      </c>
      <c r="H1007" s="3">
        <v>86.07</v>
      </c>
      <c r="I1007" s="29">
        <f t="shared" si="77"/>
        <v>88.844399999999993</v>
      </c>
      <c r="J1007" s="29">
        <f t="shared" si="79"/>
        <v>63.852549999999979</v>
      </c>
      <c r="K1007" s="29">
        <f t="shared" si="81"/>
        <v>297717.05292286439</v>
      </c>
    </row>
    <row r="1008" spans="1:11" ht="18" x14ac:dyDescent="0.2">
      <c r="A1008" s="31">
        <v>43500</v>
      </c>
      <c r="B1008" s="30">
        <v>3.67</v>
      </c>
      <c r="C1008" s="29">
        <f t="shared" si="76"/>
        <v>5.3868000000000009</v>
      </c>
      <c r="D1008" s="29">
        <f t="shared" si="78"/>
        <v>2.6025499999999999</v>
      </c>
      <c r="E1008" s="29">
        <f t="shared" si="80"/>
        <v>991891.89189189207</v>
      </c>
      <c r="H1008" s="3">
        <v>83.98</v>
      </c>
      <c r="I1008" s="29">
        <f t="shared" si="77"/>
        <v>88.863599999999991</v>
      </c>
      <c r="J1008" s="29">
        <f t="shared" si="79"/>
        <v>64.050949999999986</v>
      </c>
      <c r="K1008" s="29">
        <f t="shared" si="81"/>
        <v>290487.72051193396</v>
      </c>
    </row>
    <row r="1009" spans="1:11" ht="18" x14ac:dyDescent="0.2">
      <c r="A1009" s="31">
        <v>43507</v>
      </c>
      <c r="B1009" s="30">
        <v>3.9</v>
      </c>
      <c r="C1009" s="29">
        <f t="shared" si="76"/>
        <v>5.368199999999999</v>
      </c>
      <c r="D1009" s="29">
        <f t="shared" si="78"/>
        <v>2.6197499999999998</v>
      </c>
      <c r="E1009" s="29">
        <f t="shared" si="80"/>
        <v>1054054.0540540542</v>
      </c>
      <c r="H1009" s="3">
        <v>87.45</v>
      </c>
      <c r="I1009" s="29">
        <f t="shared" si="77"/>
        <v>88.837599999999966</v>
      </c>
      <c r="J1009" s="29">
        <f t="shared" si="79"/>
        <v>64.262749999999983</v>
      </c>
      <c r="K1009" s="29">
        <f t="shared" si="81"/>
        <v>302490.48772051232</v>
      </c>
    </row>
    <row r="1010" spans="1:11" ht="18" x14ac:dyDescent="0.2">
      <c r="A1010" s="31">
        <v>43514</v>
      </c>
      <c r="B1010" s="30">
        <v>3.95</v>
      </c>
      <c r="C1010" s="29">
        <f t="shared" si="76"/>
        <v>5.3405999999999993</v>
      </c>
      <c r="D1010" s="29">
        <f t="shared" si="78"/>
        <v>2.6371999999999995</v>
      </c>
      <c r="E1010" s="29">
        <f t="shared" si="80"/>
        <v>1067567.5675675678</v>
      </c>
      <c r="H1010" s="3">
        <v>86.99</v>
      </c>
      <c r="I1010" s="29">
        <f t="shared" si="77"/>
        <v>88.859999999999985</v>
      </c>
      <c r="J1010" s="29">
        <f t="shared" si="79"/>
        <v>64.474249999999984</v>
      </c>
      <c r="K1010" s="29">
        <f t="shared" si="81"/>
        <v>300899.34278796299</v>
      </c>
    </row>
    <row r="1011" spans="1:11" ht="18" x14ac:dyDescent="0.2">
      <c r="A1011" s="31">
        <v>43521</v>
      </c>
      <c r="B1011" s="30">
        <v>3.88</v>
      </c>
      <c r="C1011" s="29">
        <f t="shared" ref="C1011:C1074" si="82">AVERAGE(B962:B1011)</f>
        <v>5.3079999999999998</v>
      </c>
      <c r="D1011" s="29">
        <f t="shared" si="78"/>
        <v>2.6543999999999999</v>
      </c>
      <c r="E1011" s="29">
        <f t="shared" si="80"/>
        <v>1048648.6486486488</v>
      </c>
      <c r="H1011" s="3">
        <v>86.52</v>
      </c>
      <c r="I1011" s="29">
        <f t="shared" si="77"/>
        <v>88.85899999999998</v>
      </c>
      <c r="J1011" s="29">
        <f t="shared" si="79"/>
        <v>64.689499999999981</v>
      </c>
      <c r="K1011" s="29">
        <f t="shared" si="81"/>
        <v>299273.60774818435</v>
      </c>
    </row>
    <row r="1012" spans="1:11" ht="18" x14ac:dyDescent="0.2">
      <c r="A1012" s="31">
        <v>43528</v>
      </c>
      <c r="B1012" s="30">
        <v>3.74</v>
      </c>
      <c r="C1012" s="29">
        <f t="shared" si="82"/>
        <v>5.2624000000000004</v>
      </c>
      <c r="D1012" s="29">
        <f t="shared" si="78"/>
        <v>2.6711</v>
      </c>
      <c r="E1012" s="29">
        <f t="shared" si="80"/>
        <v>1010810.810810811</v>
      </c>
      <c r="H1012" s="3">
        <v>85.35</v>
      </c>
      <c r="I1012" s="29">
        <f t="shared" ref="I1012:I1075" si="83">AVERAGE(H962:H1011)</f>
        <v>88.769599999999997</v>
      </c>
      <c r="J1012" s="29">
        <f t="shared" si="79"/>
        <v>64.907499999999985</v>
      </c>
      <c r="K1012" s="29">
        <f t="shared" si="81"/>
        <v>295226.56520235247</v>
      </c>
    </row>
    <row r="1013" spans="1:11" ht="18" x14ac:dyDescent="0.2">
      <c r="A1013" s="31">
        <v>43535</v>
      </c>
      <c r="B1013" s="30">
        <v>4.21</v>
      </c>
      <c r="C1013" s="29">
        <f t="shared" si="82"/>
        <v>5.2311999999999985</v>
      </c>
      <c r="D1013" s="29">
        <f t="shared" si="78"/>
        <v>2.6899500000000001</v>
      </c>
      <c r="E1013" s="29">
        <f t="shared" si="80"/>
        <v>1137837.8378378379</v>
      </c>
      <c r="H1013" s="3">
        <v>88.28</v>
      </c>
      <c r="I1013" s="29">
        <f t="shared" si="83"/>
        <v>88.597800000000007</v>
      </c>
      <c r="J1013" s="29">
        <f t="shared" si="79"/>
        <v>65.13069999999999</v>
      </c>
      <c r="K1013" s="29">
        <f t="shared" si="81"/>
        <v>305361.46662054688</v>
      </c>
    </row>
    <row r="1014" spans="1:11" ht="18" x14ac:dyDescent="0.2">
      <c r="A1014" s="31">
        <v>43542</v>
      </c>
      <c r="B1014" s="30">
        <v>4.41</v>
      </c>
      <c r="C1014" s="29">
        <f t="shared" si="82"/>
        <v>5.1988000000000003</v>
      </c>
      <c r="D1014" s="29">
        <f t="shared" si="78"/>
        <v>2.7096499999999999</v>
      </c>
      <c r="E1014" s="29">
        <f t="shared" si="80"/>
        <v>1191891.8918918921</v>
      </c>
      <c r="H1014" s="3">
        <v>82.65</v>
      </c>
      <c r="I1014" s="29">
        <f t="shared" si="83"/>
        <v>88.517600000000002</v>
      </c>
      <c r="J1014" s="29">
        <f t="shared" si="79"/>
        <v>65.31929999999997</v>
      </c>
      <c r="K1014" s="29">
        <f t="shared" si="81"/>
        <v>285887.23625043273</v>
      </c>
    </row>
    <row r="1015" spans="1:11" ht="18" x14ac:dyDescent="0.2">
      <c r="A1015" s="31">
        <v>43549</v>
      </c>
      <c r="B1015" s="30">
        <v>4.46</v>
      </c>
      <c r="C1015" s="29">
        <f t="shared" si="82"/>
        <v>5.1663999999999994</v>
      </c>
      <c r="D1015" s="29">
        <f t="shared" si="78"/>
        <v>2.7296000000000005</v>
      </c>
      <c r="E1015" s="29">
        <f t="shared" si="80"/>
        <v>1205405.4054054054</v>
      </c>
      <c r="H1015" s="3">
        <v>83.87</v>
      </c>
      <c r="I1015" s="29">
        <f t="shared" si="83"/>
        <v>88.318199999999976</v>
      </c>
      <c r="J1015" s="29">
        <f t="shared" si="79"/>
        <v>65.514749999999992</v>
      </c>
      <c r="K1015" s="29">
        <f t="shared" si="81"/>
        <v>290107.22933241131</v>
      </c>
    </row>
    <row r="1016" spans="1:11" ht="18" x14ac:dyDescent="0.2">
      <c r="A1016" s="31">
        <v>43556</v>
      </c>
      <c r="B1016" s="30">
        <v>4.74</v>
      </c>
      <c r="C1016" s="29">
        <f t="shared" si="82"/>
        <v>5.1442000000000005</v>
      </c>
      <c r="D1016" s="29">
        <f t="shared" si="78"/>
        <v>2.7508500000000002</v>
      </c>
      <c r="E1016" s="29">
        <f t="shared" si="80"/>
        <v>1281081.0810810812</v>
      </c>
      <c r="H1016" s="3">
        <v>87.25</v>
      </c>
      <c r="I1016" s="29">
        <f t="shared" si="83"/>
        <v>88.100799999999964</v>
      </c>
      <c r="J1016" s="29">
        <f t="shared" si="79"/>
        <v>65.726449999999986</v>
      </c>
      <c r="K1016" s="29">
        <f t="shared" si="81"/>
        <v>301798.68557592569</v>
      </c>
    </row>
    <row r="1017" spans="1:11" ht="18" x14ac:dyDescent="0.2">
      <c r="A1017" s="31">
        <v>43563</v>
      </c>
      <c r="B1017" s="30">
        <v>4.72</v>
      </c>
      <c r="C1017" s="29">
        <f t="shared" si="82"/>
        <v>5.1172000000000004</v>
      </c>
      <c r="D1017" s="29">
        <f t="shared" si="78"/>
        <v>2.7719500000000004</v>
      </c>
      <c r="E1017" s="29">
        <f t="shared" si="80"/>
        <v>1275675.6756756757</v>
      </c>
      <c r="H1017" s="3">
        <v>92.84</v>
      </c>
      <c r="I1017" s="29">
        <f t="shared" si="83"/>
        <v>88.015399999999971</v>
      </c>
      <c r="J1017" s="29">
        <f t="shared" si="79"/>
        <v>65.967199999999991</v>
      </c>
      <c r="K1017" s="29">
        <f t="shared" si="81"/>
        <v>321134.55551712256</v>
      </c>
    </row>
    <row r="1018" spans="1:11" ht="18" x14ac:dyDescent="0.2">
      <c r="A1018" s="31">
        <v>43570</v>
      </c>
      <c r="B1018" s="30">
        <v>4.62</v>
      </c>
      <c r="C1018" s="29">
        <f t="shared" si="82"/>
        <v>5.0856000000000003</v>
      </c>
      <c r="D1018" s="29">
        <f t="shared" si="78"/>
        <v>2.7925000000000004</v>
      </c>
      <c r="E1018" s="29">
        <f t="shared" si="80"/>
        <v>1248648.6486486488</v>
      </c>
      <c r="H1018" s="3">
        <v>94.72</v>
      </c>
      <c r="I1018" s="29">
        <f t="shared" si="83"/>
        <v>87.965599999999995</v>
      </c>
      <c r="J1018" s="29">
        <f t="shared" si="79"/>
        <v>66.207899999999981</v>
      </c>
      <c r="K1018" s="29">
        <f t="shared" si="81"/>
        <v>327637.49567623704</v>
      </c>
    </row>
    <row r="1019" spans="1:11" ht="18" x14ac:dyDescent="0.2">
      <c r="A1019" s="31">
        <v>43577</v>
      </c>
      <c r="B1019" s="30">
        <v>4.42</v>
      </c>
      <c r="C1019" s="29">
        <f t="shared" si="82"/>
        <v>5.0587999999999997</v>
      </c>
      <c r="D1019" s="29">
        <f t="shared" si="78"/>
        <v>2.8122500000000001</v>
      </c>
      <c r="E1019" s="29">
        <f t="shared" si="80"/>
        <v>1194594.5945945948</v>
      </c>
      <c r="H1019" s="3">
        <v>95.57</v>
      </c>
      <c r="I1019" s="29">
        <f t="shared" si="83"/>
        <v>87.995400000000004</v>
      </c>
      <c r="J1019" s="29">
        <f t="shared" si="79"/>
        <v>66.462749999999971</v>
      </c>
      <c r="K1019" s="29">
        <f t="shared" si="81"/>
        <v>330577.65479073027</v>
      </c>
    </row>
    <row r="1020" spans="1:11" ht="18" x14ac:dyDescent="0.2">
      <c r="A1020" s="31">
        <v>43584</v>
      </c>
      <c r="B1020" s="30">
        <v>4.54</v>
      </c>
      <c r="C1020" s="29">
        <f t="shared" si="82"/>
        <v>5.0349999999999993</v>
      </c>
      <c r="D1020" s="29">
        <f t="shared" si="78"/>
        <v>2.8325000000000005</v>
      </c>
      <c r="E1020" s="29">
        <f t="shared" si="80"/>
        <v>1227027.0270270272</v>
      </c>
      <c r="H1020" s="3">
        <v>96.94</v>
      </c>
      <c r="I1020" s="29">
        <f t="shared" si="83"/>
        <v>88.178399999999982</v>
      </c>
      <c r="J1020" s="29">
        <f t="shared" si="79"/>
        <v>66.717399999999969</v>
      </c>
      <c r="K1020" s="29">
        <f t="shared" si="81"/>
        <v>335316.49948114884</v>
      </c>
    </row>
    <row r="1021" spans="1:11" ht="18" x14ac:dyDescent="0.2">
      <c r="A1021" s="31">
        <v>43591</v>
      </c>
      <c r="B1021" s="30">
        <v>4.1900000000000004</v>
      </c>
      <c r="C1021" s="29">
        <f t="shared" si="82"/>
        <v>5.0127999999999986</v>
      </c>
      <c r="D1021" s="29">
        <f t="shared" si="78"/>
        <v>2.8510000000000004</v>
      </c>
      <c r="E1021" s="29">
        <f t="shared" si="80"/>
        <v>1132432.4324324327</v>
      </c>
      <c r="H1021" s="3">
        <v>93.93</v>
      </c>
      <c r="I1021" s="29">
        <f t="shared" si="83"/>
        <v>88.34099999999998</v>
      </c>
      <c r="J1021" s="29">
        <f t="shared" si="79"/>
        <v>66.954699999999974</v>
      </c>
      <c r="K1021" s="29">
        <f t="shared" si="81"/>
        <v>324904.87720511982</v>
      </c>
    </row>
    <row r="1022" spans="1:11" ht="18" x14ac:dyDescent="0.2">
      <c r="A1022" s="31">
        <v>43598</v>
      </c>
      <c r="B1022" s="30">
        <v>3.88</v>
      </c>
      <c r="C1022" s="29">
        <f t="shared" si="82"/>
        <v>4.9757999999999987</v>
      </c>
      <c r="D1022" s="29">
        <f t="shared" si="78"/>
        <v>2.8680000000000008</v>
      </c>
      <c r="E1022" s="29">
        <f t="shared" si="80"/>
        <v>1048648.6486486488</v>
      </c>
      <c r="H1022" s="3">
        <v>92.48</v>
      </c>
      <c r="I1022" s="29">
        <f t="shared" si="83"/>
        <v>88.457599999999999</v>
      </c>
      <c r="J1022" s="29">
        <f t="shared" si="79"/>
        <v>67.18499999999996</v>
      </c>
      <c r="K1022" s="29">
        <f t="shared" si="81"/>
        <v>319889.31165686663</v>
      </c>
    </row>
    <row r="1023" spans="1:11" ht="18" x14ac:dyDescent="0.2">
      <c r="A1023" s="31">
        <v>43605</v>
      </c>
      <c r="B1023" s="30">
        <v>3.6</v>
      </c>
      <c r="C1023" s="29">
        <f t="shared" si="82"/>
        <v>4.9357999999999986</v>
      </c>
      <c r="D1023" s="29">
        <f t="shared" si="78"/>
        <v>2.8836000000000008</v>
      </c>
      <c r="E1023" s="29">
        <f t="shared" si="80"/>
        <v>972972.97297297313</v>
      </c>
      <c r="H1023" s="3">
        <v>91.59</v>
      </c>
      <c r="I1023" s="29">
        <f t="shared" si="83"/>
        <v>88.516599999999983</v>
      </c>
      <c r="J1023" s="29">
        <f t="shared" si="79"/>
        <v>67.421099999999967</v>
      </c>
      <c r="K1023" s="29">
        <f t="shared" si="81"/>
        <v>316810.79211345606</v>
      </c>
    </row>
    <row r="1024" spans="1:11" ht="18" x14ac:dyDescent="0.2">
      <c r="A1024" s="31">
        <v>43612</v>
      </c>
      <c r="B1024" s="30">
        <v>3.36</v>
      </c>
      <c r="C1024" s="29">
        <f t="shared" si="82"/>
        <v>4.8769999999999989</v>
      </c>
      <c r="D1024" s="29">
        <f t="shared" si="78"/>
        <v>2.8980000000000006</v>
      </c>
      <c r="E1024" s="29">
        <f t="shared" si="80"/>
        <v>908108.10810810816</v>
      </c>
      <c r="H1024" s="3">
        <v>88.46</v>
      </c>
      <c r="I1024" s="29">
        <f t="shared" si="83"/>
        <v>88.572400000000002</v>
      </c>
      <c r="J1024" s="29">
        <f t="shared" si="79"/>
        <v>67.654299999999964</v>
      </c>
      <c r="K1024" s="29">
        <f t="shared" si="81"/>
        <v>305984.08855067496</v>
      </c>
    </row>
    <row r="1025" spans="1:11" ht="18" x14ac:dyDescent="0.2">
      <c r="A1025" s="31">
        <v>43619</v>
      </c>
      <c r="B1025" s="30">
        <v>3.62</v>
      </c>
      <c r="C1025" s="29">
        <f t="shared" si="82"/>
        <v>4.8259999999999996</v>
      </c>
      <c r="D1025" s="29">
        <f t="shared" si="78"/>
        <v>2.9138000000000006</v>
      </c>
      <c r="E1025" s="29">
        <f t="shared" si="80"/>
        <v>978378.37837837846</v>
      </c>
      <c r="H1025" s="3">
        <v>91.13</v>
      </c>
      <c r="I1025" s="29">
        <f t="shared" si="83"/>
        <v>88.493200000000002</v>
      </c>
      <c r="J1025" s="29">
        <f t="shared" si="79"/>
        <v>67.906649999999956</v>
      </c>
      <c r="K1025" s="29">
        <f t="shared" si="81"/>
        <v>315219.64718090673</v>
      </c>
    </row>
    <row r="1026" spans="1:11" ht="18" x14ac:dyDescent="0.2">
      <c r="A1026" s="31">
        <v>43626</v>
      </c>
      <c r="B1026" s="30">
        <v>3.59</v>
      </c>
      <c r="C1026" s="29">
        <f t="shared" si="82"/>
        <v>4.7701999999999991</v>
      </c>
      <c r="D1026" s="29">
        <f t="shared" si="78"/>
        <v>2.929050000000001</v>
      </c>
      <c r="E1026" s="29">
        <f t="shared" si="80"/>
        <v>970270.2702702703</v>
      </c>
      <c r="H1026" s="3">
        <v>91.68</v>
      </c>
      <c r="I1026" s="29">
        <f t="shared" si="83"/>
        <v>88.519400000000005</v>
      </c>
      <c r="J1026" s="29">
        <f t="shared" si="79"/>
        <v>68.141999999999967</v>
      </c>
      <c r="K1026" s="29">
        <f t="shared" si="81"/>
        <v>317122.10307852004</v>
      </c>
    </row>
    <row r="1027" spans="1:11" ht="18" x14ac:dyDescent="0.2">
      <c r="A1027" s="31">
        <v>43633</v>
      </c>
      <c r="B1027" s="30">
        <v>3.77</v>
      </c>
      <c r="C1027" s="29">
        <f t="shared" si="82"/>
        <v>4.7157999999999998</v>
      </c>
      <c r="D1027" s="29">
        <f t="shared" si="78"/>
        <v>2.945250000000001</v>
      </c>
      <c r="E1027" s="29">
        <f t="shared" si="80"/>
        <v>1018918.9189189189</v>
      </c>
      <c r="H1027" s="3">
        <v>91.37</v>
      </c>
      <c r="I1027" s="29">
        <f t="shared" si="83"/>
        <v>88.593199999999996</v>
      </c>
      <c r="J1027" s="29">
        <f t="shared" si="79"/>
        <v>68.369749999999968</v>
      </c>
      <c r="K1027" s="29">
        <f t="shared" si="81"/>
        <v>316049.8097544107</v>
      </c>
    </row>
    <row r="1028" spans="1:11" ht="18" x14ac:dyDescent="0.2">
      <c r="A1028" s="31">
        <v>43640</v>
      </c>
      <c r="B1028" s="30">
        <v>4.08</v>
      </c>
      <c r="C1028" s="29">
        <f t="shared" si="82"/>
        <v>4.6659999999999995</v>
      </c>
      <c r="D1028" s="29">
        <f t="shared" si="78"/>
        <v>2.9629500000000011</v>
      </c>
      <c r="E1028" s="29">
        <f t="shared" si="80"/>
        <v>1102702.7027027027</v>
      </c>
      <c r="H1028" s="3">
        <v>93.34</v>
      </c>
      <c r="I1028" s="29">
        <f t="shared" si="83"/>
        <v>88.616799999999998</v>
      </c>
      <c r="J1028" s="29">
        <f t="shared" si="79"/>
        <v>68.608849999999961</v>
      </c>
      <c r="K1028" s="29">
        <f t="shared" si="81"/>
        <v>322864.06087858917</v>
      </c>
    </row>
    <row r="1029" spans="1:11" ht="18" x14ac:dyDescent="0.2">
      <c r="A1029" s="31">
        <v>43647</v>
      </c>
      <c r="B1029" s="30">
        <v>3.98</v>
      </c>
      <c r="C1029" s="29">
        <f t="shared" si="82"/>
        <v>4.6213999999999995</v>
      </c>
      <c r="D1029" s="29">
        <f t="shared" si="78"/>
        <v>2.9801000000000011</v>
      </c>
      <c r="E1029" s="29">
        <f t="shared" si="80"/>
        <v>1075675.6756756755</v>
      </c>
      <c r="H1029" s="3">
        <v>94.75</v>
      </c>
      <c r="I1029" s="29">
        <f t="shared" si="83"/>
        <v>88.732000000000028</v>
      </c>
      <c r="J1029" s="29">
        <f t="shared" si="79"/>
        <v>68.854549999999961</v>
      </c>
      <c r="K1029" s="29">
        <f t="shared" si="81"/>
        <v>327741.26599792502</v>
      </c>
    </row>
    <row r="1030" spans="1:11" ht="18" x14ac:dyDescent="0.2">
      <c r="A1030" s="31">
        <v>43654</v>
      </c>
      <c r="B1030" s="30">
        <v>4.16</v>
      </c>
      <c r="C1030" s="29">
        <f t="shared" si="82"/>
        <v>4.5873999999999997</v>
      </c>
      <c r="D1030" s="29">
        <f t="shared" si="78"/>
        <v>2.998050000000001</v>
      </c>
      <c r="E1030" s="29">
        <f t="shared" si="80"/>
        <v>1124324.324324324</v>
      </c>
      <c r="H1030" s="3">
        <v>96.94</v>
      </c>
      <c r="I1030" s="29">
        <f t="shared" si="83"/>
        <v>88.910200000000017</v>
      </c>
      <c r="J1030" s="29">
        <f t="shared" si="79"/>
        <v>69.108399999999975</v>
      </c>
      <c r="K1030" s="29">
        <f t="shared" si="81"/>
        <v>335316.49948114878</v>
      </c>
    </row>
    <row r="1031" spans="1:11" ht="18" x14ac:dyDescent="0.2">
      <c r="A1031" s="31">
        <v>43661</v>
      </c>
      <c r="B1031" s="30">
        <v>4.1900000000000004</v>
      </c>
      <c r="C1031" s="29">
        <f t="shared" si="82"/>
        <v>4.5487999999999991</v>
      </c>
      <c r="D1031" s="29">
        <f t="shared" si="78"/>
        <v>3.0164000000000017</v>
      </c>
      <c r="E1031" s="29">
        <f t="shared" si="80"/>
        <v>1132432.4324324322</v>
      </c>
      <c r="H1031" s="3">
        <v>95.46</v>
      </c>
      <c r="I1031" s="29">
        <f t="shared" si="83"/>
        <v>89.15740000000001</v>
      </c>
      <c r="J1031" s="29">
        <f t="shared" si="79"/>
        <v>69.363099999999974</v>
      </c>
      <c r="K1031" s="29">
        <f t="shared" si="81"/>
        <v>330197.16361120756</v>
      </c>
    </row>
    <row r="1032" spans="1:11" ht="18" x14ac:dyDescent="0.2">
      <c r="A1032" s="31">
        <v>43668</v>
      </c>
      <c r="B1032" s="30">
        <v>4.3499999999999996</v>
      </c>
      <c r="C1032" s="29">
        <f t="shared" si="82"/>
        <v>4.5123999999999995</v>
      </c>
      <c r="D1032" s="29">
        <f t="shared" si="78"/>
        <v>3.0356000000000019</v>
      </c>
      <c r="E1032" s="29">
        <f t="shared" si="80"/>
        <v>1175675.675675675</v>
      </c>
      <c r="H1032" s="3">
        <v>97.71</v>
      </c>
      <c r="I1032" s="29">
        <f t="shared" si="83"/>
        <v>89.377199999999988</v>
      </c>
      <c r="J1032" s="29">
        <f t="shared" si="79"/>
        <v>69.625399999999956</v>
      </c>
      <c r="K1032" s="29">
        <f t="shared" si="81"/>
        <v>337979.9377378074</v>
      </c>
    </row>
    <row r="1033" spans="1:11" ht="18" x14ac:dyDescent="0.2">
      <c r="A1033" s="31">
        <v>43675</v>
      </c>
      <c r="B1033" s="30">
        <v>4.01</v>
      </c>
      <c r="C1033" s="29">
        <f t="shared" si="82"/>
        <v>4.4683999999999999</v>
      </c>
      <c r="D1033" s="29">
        <f t="shared" ref="D1033:D1096" si="84">AVERAGE(B834:B1033)</f>
        <v>3.0529000000000015</v>
      </c>
      <c r="E1033" s="29">
        <f t="shared" si="80"/>
        <v>1083783.7837837832</v>
      </c>
      <c r="H1033" s="3">
        <v>94.95</v>
      </c>
      <c r="I1033" s="29">
        <f t="shared" si="83"/>
        <v>89.595400000000012</v>
      </c>
      <c r="J1033" s="29">
        <f t="shared" ref="J1033:J1096" si="85">AVERAGE(H834:H1033)</f>
        <v>69.867949999999965</v>
      </c>
      <c r="K1033" s="29">
        <f t="shared" si="81"/>
        <v>328433.06814251165</v>
      </c>
    </row>
    <row r="1034" spans="1:11" ht="18" x14ac:dyDescent="0.2">
      <c r="A1034" s="31">
        <v>43682</v>
      </c>
      <c r="B1034" s="30">
        <v>3.83</v>
      </c>
      <c r="C1034" s="29">
        <f t="shared" si="82"/>
        <v>4.4201999999999995</v>
      </c>
      <c r="D1034" s="29">
        <f t="shared" si="84"/>
        <v>3.0694000000000017</v>
      </c>
      <c r="E1034" s="29">
        <f t="shared" ref="E1034:E1097" si="86">IF( C1034&gt;D1034,E1033*B1034/B1033,100000)</f>
        <v>1035135.1351351347</v>
      </c>
      <c r="H1034" s="3">
        <v>92.27</v>
      </c>
      <c r="I1034" s="29">
        <f t="shared" si="83"/>
        <v>89.677999999999997</v>
      </c>
      <c r="J1034" s="29">
        <f t="shared" si="85"/>
        <v>70.092849999999956</v>
      </c>
      <c r="K1034" s="29">
        <f t="shared" ref="K1034:K1097" si="87">IF(I1034&gt;J1034,K1033*H1034/H1033,100000)</f>
        <v>319162.91940505052</v>
      </c>
    </row>
    <row r="1035" spans="1:11" ht="18" x14ac:dyDescent="0.2">
      <c r="A1035" s="31">
        <v>43689</v>
      </c>
      <c r="B1035" s="30">
        <v>3.96</v>
      </c>
      <c r="C1035" s="29">
        <f t="shared" si="82"/>
        <v>4.3746</v>
      </c>
      <c r="D1035" s="29">
        <f t="shared" si="84"/>
        <v>3.0865500000000012</v>
      </c>
      <c r="E1035" s="29">
        <f t="shared" si="86"/>
        <v>1070270.2702702698</v>
      </c>
      <c r="H1035" s="3">
        <v>90.57</v>
      </c>
      <c r="I1035" s="29">
        <f t="shared" si="83"/>
        <v>89.629600000000011</v>
      </c>
      <c r="J1035" s="29">
        <f t="shared" si="85"/>
        <v>70.310149999999979</v>
      </c>
      <c r="K1035" s="29">
        <f t="shared" si="87"/>
        <v>313282.601176064</v>
      </c>
    </row>
    <row r="1036" spans="1:11" ht="18" x14ac:dyDescent="0.2">
      <c r="A1036" s="31">
        <v>43696</v>
      </c>
      <c r="B1036" s="30">
        <v>4.04</v>
      </c>
      <c r="C1036" s="29">
        <f t="shared" si="82"/>
        <v>4.3207999999999993</v>
      </c>
      <c r="D1036" s="29">
        <f t="shared" si="84"/>
        <v>3.1040000000000014</v>
      </c>
      <c r="E1036" s="29">
        <f t="shared" si="86"/>
        <v>1091891.8918918914</v>
      </c>
      <c r="H1036" s="3">
        <v>89.14</v>
      </c>
      <c r="I1036" s="29">
        <f t="shared" si="83"/>
        <v>89.529800000000009</v>
      </c>
      <c r="J1036" s="29">
        <f t="shared" si="85"/>
        <v>70.516499999999965</v>
      </c>
      <c r="K1036" s="29">
        <f t="shared" si="87"/>
        <v>308336.21584226948</v>
      </c>
    </row>
    <row r="1037" spans="1:11" ht="18" x14ac:dyDescent="0.2">
      <c r="A1037" s="31">
        <v>43703</v>
      </c>
      <c r="B1037" s="30">
        <v>4.16</v>
      </c>
      <c r="C1037" s="29">
        <f t="shared" si="82"/>
        <v>4.2669999999999995</v>
      </c>
      <c r="D1037" s="29">
        <f t="shared" si="84"/>
        <v>3.1221000000000014</v>
      </c>
      <c r="E1037" s="29">
        <f t="shared" si="86"/>
        <v>1124324.3243243238</v>
      </c>
      <c r="H1037" s="3">
        <v>92.37</v>
      </c>
      <c r="I1037" s="29">
        <f t="shared" si="83"/>
        <v>89.446600000000018</v>
      </c>
      <c r="J1037" s="29">
        <f t="shared" si="85"/>
        <v>70.730799999999974</v>
      </c>
      <c r="K1037" s="29">
        <f t="shared" si="87"/>
        <v>319508.82047734386</v>
      </c>
    </row>
    <row r="1038" spans="1:11" ht="18" x14ac:dyDescent="0.2">
      <c r="A1038" s="31">
        <v>43710</v>
      </c>
      <c r="B1038" s="30">
        <v>4.4400000000000004</v>
      </c>
      <c r="C1038" s="29">
        <f t="shared" si="82"/>
        <v>4.2251999999999992</v>
      </c>
      <c r="D1038" s="29">
        <f t="shared" si="84"/>
        <v>3.1416000000000013</v>
      </c>
      <c r="E1038" s="29">
        <f t="shared" si="86"/>
        <v>1199999.9999999995</v>
      </c>
      <c r="H1038" s="3">
        <v>94.68</v>
      </c>
      <c r="I1038" s="29">
        <f t="shared" si="83"/>
        <v>89.44140000000003</v>
      </c>
      <c r="J1038" s="29">
        <f t="shared" si="85"/>
        <v>70.950499999999977</v>
      </c>
      <c r="K1038" s="29">
        <f t="shared" si="87"/>
        <v>327499.13524731965</v>
      </c>
    </row>
    <row r="1039" spans="1:11" ht="18" x14ac:dyDescent="0.2">
      <c r="A1039" s="31">
        <v>43717</v>
      </c>
      <c r="B1039" s="30">
        <v>4.53</v>
      </c>
      <c r="C1039" s="29">
        <f t="shared" si="82"/>
        <v>4.1765999999999996</v>
      </c>
      <c r="D1039" s="29">
        <f t="shared" si="84"/>
        <v>3.1617000000000015</v>
      </c>
      <c r="E1039" s="29">
        <f t="shared" si="86"/>
        <v>1224324.3243243238</v>
      </c>
      <c r="H1039" s="3">
        <v>101.08</v>
      </c>
      <c r="I1039" s="29">
        <f t="shared" si="83"/>
        <v>89.411400000000015</v>
      </c>
      <c r="J1039" s="29">
        <f t="shared" si="85"/>
        <v>71.199049999999986</v>
      </c>
      <c r="K1039" s="29">
        <f t="shared" si="87"/>
        <v>349636.80387409241</v>
      </c>
    </row>
    <row r="1040" spans="1:11" ht="18" x14ac:dyDescent="0.2">
      <c r="A1040" s="31">
        <v>43724</v>
      </c>
      <c r="B1040" s="30">
        <v>4.3</v>
      </c>
      <c r="C1040" s="29">
        <f t="shared" si="82"/>
        <v>4.1290000000000004</v>
      </c>
      <c r="D1040" s="29">
        <f t="shared" si="84"/>
        <v>3.1805500000000011</v>
      </c>
      <c r="E1040" s="29">
        <f t="shared" si="86"/>
        <v>1162162.1621621617</v>
      </c>
      <c r="H1040" s="3">
        <v>99.97</v>
      </c>
      <c r="I1040" s="29">
        <f t="shared" si="83"/>
        <v>89.591200000000015</v>
      </c>
      <c r="J1040" s="29">
        <f t="shared" si="85"/>
        <v>71.442699999999974</v>
      </c>
      <c r="K1040" s="29">
        <f t="shared" si="87"/>
        <v>345797.30197163648</v>
      </c>
    </row>
    <row r="1041" spans="1:11" ht="18" x14ac:dyDescent="0.2">
      <c r="A1041" s="31">
        <v>43731</v>
      </c>
      <c r="B1041" s="30">
        <v>4.2699999999999996</v>
      </c>
      <c r="C1041" s="29">
        <f t="shared" si="82"/>
        <v>4.0922000000000009</v>
      </c>
      <c r="D1041" s="29">
        <f t="shared" si="84"/>
        <v>3.1994000000000011</v>
      </c>
      <c r="E1041" s="29">
        <f t="shared" si="86"/>
        <v>1154054.0540540535</v>
      </c>
      <c r="H1041" s="3">
        <v>98.97</v>
      </c>
      <c r="I1041" s="29">
        <f t="shared" si="83"/>
        <v>89.719800000000021</v>
      </c>
      <c r="J1041" s="29">
        <f t="shared" si="85"/>
        <v>71.678099999999972</v>
      </c>
      <c r="K1041" s="29">
        <f t="shared" si="87"/>
        <v>342338.29124870326</v>
      </c>
    </row>
    <row r="1042" spans="1:11" ht="18" x14ac:dyDescent="0.2">
      <c r="A1042" s="31">
        <v>43738</v>
      </c>
      <c r="B1042" s="30">
        <v>4.53</v>
      </c>
      <c r="C1042" s="29">
        <f t="shared" si="82"/>
        <v>4.0692000000000004</v>
      </c>
      <c r="D1042" s="29">
        <f t="shared" si="84"/>
        <v>3.2196000000000011</v>
      </c>
      <c r="E1042" s="29">
        <f t="shared" si="86"/>
        <v>1224324.3243243238</v>
      </c>
      <c r="H1042" s="3">
        <v>96.37</v>
      </c>
      <c r="I1042" s="29">
        <f t="shared" si="83"/>
        <v>89.941200000000023</v>
      </c>
      <c r="J1042" s="29">
        <f t="shared" si="85"/>
        <v>71.905849999999973</v>
      </c>
      <c r="K1042" s="29">
        <f t="shared" si="87"/>
        <v>333344.86336907686</v>
      </c>
    </row>
    <row r="1043" spans="1:11" ht="18" x14ac:dyDescent="0.2">
      <c r="A1043" s="31">
        <v>43745</v>
      </c>
      <c r="B1043" s="30">
        <v>4.63</v>
      </c>
      <c r="C1043" s="29">
        <f t="shared" si="82"/>
        <v>4.0635999999999992</v>
      </c>
      <c r="D1043" s="29">
        <f t="shared" si="84"/>
        <v>3.2403500000000007</v>
      </c>
      <c r="E1043" s="29">
        <f t="shared" si="86"/>
        <v>1251351.3513513508</v>
      </c>
      <c r="H1043" s="3">
        <v>98.43</v>
      </c>
      <c r="I1043" s="29">
        <f t="shared" si="83"/>
        <v>90.095000000000013</v>
      </c>
      <c r="J1043" s="29">
        <f t="shared" si="85"/>
        <v>72.144049999999979</v>
      </c>
      <c r="K1043" s="29">
        <f t="shared" si="87"/>
        <v>340470.42545831937</v>
      </c>
    </row>
    <row r="1044" spans="1:11" ht="18" x14ac:dyDescent="0.2">
      <c r="A1044" s="31">
        <v>43752</v>
      </c>
      <c r="B1044" s="30">
        <v>4.74</v>
      </c>
      <c r="C1044" s="29">
        <f t="shared" si="82"/>
        <v>4.0519999999999996</v>
      </c>
      <c r="D1044" s="29">
        <f t="shared" si="84"/>
        <v>3.2616000000000014</v>
      </c>
      <c r="E1044" s="29">
        <f t="shared" si="86"/>
        <v>1281081.0810810807</v>
      </c>
      <c r="H1044" s="3">
        <v>102.17</v>
      </c>
      <c r="I1044" s="29">
        <f t="shared" si="83"/>
        <v>90.363800000000012</v>
      </c>
      <c r="J1044" s="29">
        <f t="shared" si="85"/>
        <v>72.392749999999978</v>
      </c>
      <c r="K1044" s="29">
        <f t="shared" si="87"/>
        <v>353407.12556208967</v>
      </c>
    </row>
    <row r="1045" spans="1:11" ht="18" x14ac:dyDescent="0.2">
      <c r="A1045" s="31">
        <v>43759</v>
      </c>
      <c r="B1045" s="30">
        <v>5.09</v>
      </c>
      <c r="C1045" s="29">
        <f t="shared" si="82"/>
        <v>4.0519999999999996</v>
      </c>
      <c r="D1045" s="29">
        <f t="shared" si="84"/>
        <v>3.2847000000000013</v>
      </c>
      <c r="E1045" s="29">
        <f t="shared" si="86"/>
        <v>1375675.6756756753</v>
      </c>
      <c r="H1045" s="3">
        <v>106.81</v>
      </c>
      <c r="I1045" s="29">
        <f t="shared" si="83"/>
        <v>90.625799999999998</v>
      </c>
      <c r="J1045" s="29">
        <f t="shared" si="85"/>
        <v>72.665799999999976</v>
      </c>
      <c r="K1045" s="29">
        <f t="shared" si="87"/>
        <v>369456.9353164999</v>
      </c>
    </row>
    <row r="1046" spans="1:11" ht="18" x14ac:dyDescent="0.2">
      <c r="A1046" s="31">
        <v>43766</v>
      </c>
      <c r="B1046" s="30">
        <v>5.04</v>
      </c>
      <c r="C1046" s="29">
        <f t="shared" si="82"/>
        <v>4.0713999999999997</v>
      </c>
      <c r="D1046" s="29">
        <f t="shared" si="84"/>
        <v>3.307500000000001</v>
      </c>
      <c r="E1046" s="29">
        <f t="shared" si="86"/>
        <v>1362162.1621621617</v>
      </c>
      <c r="H1046" s="3">
        <v>108.31</v>
      </c>
      <c r="I1046" s="29">
        <f t="shared" si="83"/>
        <v>90.9328</v>
      </c>
      <c r="J1046" s="29">
        <f t="shared" si="85"/>
        <v>72.947799999999972</v>
      </c>
      <c r="K1046" s="29">
        <f t="shared" si="87"/>
        <v>374645.45140089979</v>
      </c>
    </row>
    <row r="1047" spans="1:11" ht="18" x14ac:dyDescent="0.2">
      <c r="A1047" s="31">
        <v>43773</v>
      </c>
      <c r="B1047" s="30">
        <v>5.17</v>
      </c>
      <c r="C1047" s="29">
        <f t="shared" si="82"/>
        <v>4.1029999999999998</v>
      </c>
      <c r="D1047" s="29">
        <f t="shared" si="84"/>
        <v>3.3305500000000006</v>
      </c>
      <c r="E1047" s="29">
        <f t="shared" si="86"/>
        <v>1397297.2972972968</v>
      </c>
      <c r="H1047" s="3">
        <v>110.5</v>
      </c>
      <c r="I1047" s="29">
        <f t="shared" si="83"/>
        <v>91.291200000000003</v>
      </c>
      <c r="J1047" s="29">
        <f t="shared" si="85"/>
        <v>73.242549999999966</v>
      </c>
      <c r="K1047" s="29">
        <f t="shared" si="87"/>
        <v>382220.68488412356</v>
      </c>
    </row>
    <row r="1048" spans="1:11" ht="18" x14ac:dyDescent="0.2">
      <c r="A1048" s="31">
        <v>43780</v>
      </c>
      <c r="B1048" s="30">
        <v>5.08</v>
      </c>
      <c r="C1048" s="29">
        <f t="shared" si="82"/>
        <v>4.1235999999999997</v>
      </c>
      <c r="D1048" s="29">
        <f t="shared" si="84"/>
        <v>3.3531000000000013</v>
      </c>
      <c r="E1048" s="29">
        <f t="shared" si="86"/>
        <v>1372972.9729729726</v>
      </c>
      <c r="H1048" s="3">
        <v>109.78</v>
      </c>
      <c r="I1048" s="29">
        <f t="shared" si="83"/>
        <v>91.748199999999997</v>
      </c>
      <c r="J1048" s="29">
        <f t="shared" si="85"/>
        <v>73.534299999999973</v>
      </c>
      <c r="K1048" s="29">
        <f t="shared" si="87"/>
        <v>379730.19716361165</v>
      </c>
    </row>
    <row r="1049" spans="1:11" ht="18" x14ac:dyDescent="0.2">
      <c r="A1049" s="31">
        <v>43787</v>
      </c>
      <c r="B1049" s="30">
        <v>5.25</v>
      </c>
      <c r="C1049" s="29">
        <f t="shared" si="82"/>
        <v>4.1554000000000011</v>
      </c>
      <c r="D1049" s="29">
        <f t="shared" si="84"/>
        <v>3.3767500000000008</v>
      </c>
      <c r="E1049" s="29">
        <f t="shared" si="86"/>
        <v>1418918.9189189186</v>
      </c>
      <c r="H1049" s="3">
        <v>110.84</v>
      </c>
      <c r="I1049" s="29">
        <f t="shared" si="83"/>
        <v>92.116199999999992</v>
      </c>
      <c r="J1049" s="29">
        <f t="shared" si="85"/>
        <v>73.847599999999971</v>
      </c>
      <c r="K1049" s="29">
        <f t="shared" si="87"/>
        <v>383396.74852992088</v>
      </c>
    </row>
    <row r="1050" spans="1:11" ht="18" x14ac:dyDescent="0.2">
      <c r="A1050" s="31">
        <v>43794</v>
      </c>
      <c r="B1050" s="30">
        <v>5.39</v>
      </c>
      <c r="C1050" s="29">
        <f t="shared" si="82"/>
        <v>4.1905999999999999</v>
      </c>
      <c r="D1050" s="29">
        <f t="shared" si="84"/>
        <v>3.4009500000000008</v>
      </c>
      <c r="E1050" s="29">
        <f t="shared" si="86"/>
        <v>1456756.7567567562</v>
      </c>
      <c r="H1050" s="3">
        <v>111.67</v>
      </c>
      <c r="I1050" s="29">
        <f t="shared" si="83"/>
        <v>92.635199999999983</v>
      </c>
      <c r="J1050" s="29">
        <f t="shared" si="85"/>
        <v>74.16304999999997</v>
      </c>
      <c r="K1050" s="29">
        <f t="shared" si="87"/>
        <v>386267.7274299555</v>
      </c>
    </row>
    <row r="1051" spans="1:11" ht="18" x14ac:dyDescent="0.2">
      <c r="A1051" s="31">
        <v>43801</v>
      </c>
      <c r="B1051" s="30">
        <v>5.28</v>
      </c>
      <c r="C1051" s="29">
        <f t="shared" si="82"/>
        <v>4.2320000000000002</v>
      </c>
      <c r="D1051" s="29">
        <f t="shared" si="84"/>
        <v>3.424700000000001</v>
      </c>
      <c r="E1051" s="29">
        <f t="shared" si="86"/>
        <v>1427027.0270270268</v>
      </c>
      <c r="H1051" s="3">
        <v>114.45</v>
      </c>
      <c r="I1051" s="29">
        <f t="shared" si="83"/>
        <v>93.220199999999991</v>
      </c>
      <c r="J1051" s="29">
        <f t="shared" si="85"/>
        <v>74.502349999999964</v>
      </c>
      <c r="K1051" s="29">
        <f t="shared" si="87"/>
        <v>395883.77723970992</v>
      </c>
    </row>
    <row r="1052" spans="1:11" ht="18" x14ac:dyDescent="0.2">
      <c r="A1052" s="31">
        <v>43808</v>
      </c>
      <c r="B1052" s="30">
        <v>5.58</v>
      </c>
      <c r="C1052" s="29">
        <f t="shared" si="82"/>
        <v>4.277400000000001</v>
      </c>
      <c r="D1052" s="29">
        <f t="shared" si="84"/>
        <v>3.4498500000000005</v>
      </c>
      <c r="E1052" s="29">
        <f t="shared" si="86"/>
        <v>1508108.1081081077</v>
      </c>
      <c r="H1052" s="3">
        <v>115.95</v>
      </c>
      <c r="I1052" s="29">
        <f t="shared" si="83"/>
        <v>93.961399999999969</v>
      </c>
      <c r="J1052" s="29">
        <f t="shared" si="85"/>
        <v>74.845149999999975</v>
      </c>
      <c r="K1052" s="29">
        <f t="shared" si="87"/>
        <v>401072.29332410981</v>
      </c>
    </row>
    <row r="1053" spans="1:11" ht="18" x14ac:dyDescent="0.2">
      <c r="A1053" s="31">
        <v>43815</v>
      </c>
      <c r="B1053" s="30">
        <v>5.96</v>
      </c>
      <c r="C1053" s="29">
        <f t="shared" si="82"/>
        <v>4.3290000000000006</v>
      </c>
      <c r="D1053" s="29">
        <f t="shared" si="84"/>
        <v>3.4768000000000012</v>
      </c>
      <c r="E1053" s="29">
        <f t="shared" si="86"/>
        <v>1610810.8108108102</v>
      </c>
      <c r="H1053" s="3">
        <v>116.31</v>
      </c>
      <c r="I1053" s="29">
        <f t="shared" si="83"/>
        <v>94.688799999999958</v>
      </c>
      <c r="J1053" s="29">
        <f t="shared" si="85"/>
        <v>75.19589999999998</v>
      </c>
      <c r="K1053" s="29">
        <f t="shared" si="87"/>
        <v>402317.53718436579</v>
      </c>
    </row>
    <row r="1054" spans="1:11" ht="18" x14ac:dyDescent="0.2">
      <c r="A1054" s="31">
        <v>43822</v>
      </c>
      <c r="B1054" s="30">
        <v>5.9</v>
      </c>
      <c r="C1054" s="29">
        <f t="shared" si="82"/>
        <v>4.3731999999999998</v>
      </c>
      <c r="D1054" s="29">
        <f t="shared" si="84"/>
        <v>3.5034500000000008</v>
      </c>
      <c r="E1054" s="29">
        <f t="shared" si="86"/>
        <v>1594594.5945945941</v>
      </c>
      <c r="H1054" s="3">
        <v>117.92</v>
      </c>
      <c r="I1054" s="29">
        <f t="shared" si="83"/>
        <v>95.359999999999985</v>
      </c>
      <c r="J1054" s="29">
        <f t="shared" si="85"/>
        <v>75.552649999999971</v>
      </c>
      <c r="K1054" s="29">
        <f t="shared" si="87"/>
        <v>407886.54444828833</v>
      </c>
    </row>
    <row r="1055" spans="1:11" ht="18" x14ac:dyDescent="0.2">
      <c r="A1055" s="31">
        <v>43829</v>
      </c>
      <c r="B1055" s="30">
        <v>5.88</v>
      </c>
      <c r="C1055" s="29">
        <f t="shared" si="82"/>
        <v>4.4130000000000003</v>
      </c>
      <c r="D1055" s="29">
        <f t="shared" si="84"/>
        <v>3.5298500000000006</v>
      </c>
      <c r="E1055" s="29">
        <f t="shared" si="86"/>
        <v>1589189.1891891886</v>
      </c>
      <c r="H1055" s="3">
        <v>117.24</v>
      </c>
      <c r="I1055" s="29">
        <f t="shared" si="83"/>
        <v>96.062799999999982</v>
      </c>
      <c r="J1055" s="29">
        <f t="shared" si="85"/>
        <v>75.908499999999975</v>
      </c>
      <c r="K1055" s="29">
        <f t="shared" si="87"/>
        <v>405534.4171566937</v>
      </c>
    </row>
    <row r="1056" spans="1:11" ht="18" x14ac:dyDescent="0.2">
      <c r="A1056" s="31">
        <v>43836</v>
      </c>
      <c r="B1056" s="30">
        <v>6.08</v>
      </c>
      <c r="C1056" s="29">
        <f t="shared" si="82"/>
        <v>4.4552000000000005</v>
      </c>
      <c r="D1056" s="29">
        <f t="shared" si="84"/>
        <v>3.557100000000001</v>
      </c>
      <c r="E1056" s="29">
        <f t="shared" si="86"/>
        <v>1643243.2432432428</v>
      </c>
      <c r="H1056" s="3">
        <v>116.06</v>
      </c>
      <c r="I1056" s="29">
        <f t="shared" si="83"/>
        <v>96.674599999999998</v>
      </c>
      <c r="J1056" s="29">
        <f t="shared" si="85"/>
        <v>76.252549999999985</v>
      </c>
      <c r="K1056" s="29">
        <f t="shared" si="87"/>
        <v>401452.78450363252</v>
      </c>
    </row>
    <row r="1057" spans="1:11" ht="18" x14ac:dyDescent="0.2">
      <c r="A1057" s="31">
        <v>43843</v>
      </c>
      <c r="B1057" s="30">
        <v>6.2</v>
      </c>
      <c r="C1057" s="29">
        <f t="shared" si="82"/>
        <v>4.5074000000000005</v>
      </c>
      <c r="D1057" s="29">
        <f t="shared" si="84"/>
        <v>3.5847000000000016</v>
      </c>
      <c r="E1057" s="29">
        <f t="shared" si="86"/>
        <v>1675675.6756756753</v>
      </c>
      <c r="H1057" s="3">
        <v>117.88</v>
      </c>
      <c r="I1057" s="29">
        <f t="shared" si="83"/>
        <v>97.282599999999988</v>
      </c>
      <c r="J1057" s="29">
        <f t="shared" si="85"/>
        <v>76.603799999999978</v>
      </c>
      <c r="K1057" s="29">
        <f t="shared" si="87"/>
        <v>407748.18401937099</v>
      </c>
    </row>
    <row r="1058" spans="1:11" ht="18" x14ac:dyDescent="0.2">
      <c r="A1058" s="31">
        <v>43850</v>
      </c>
      <c r="B1058" s="30">
        <v>6.23</v>
      </c>
      <c r="C1058" s="29">
        <f t="shared" si="82"/>
        <v>4.5586000000000002</v>
      </c>
      <c r="D1058" s="29">
        <f t="shared" si="84"/>
        <v>3.6124000000000014</v>
      </c>
      <c r="E1058" s="29">
        <f t="shared" si="86"/>
        <v>1683783.7837837834</v>
      </c>
      <c r="H1058" s="3">
        <v>113.57</v>
      </c>
      <c r="I1058" s="29">
        <f t="shared" si="83"/>
        <v>97.91879999999999</v>
      </c>
      <c r="J1058" s="29">
        <f t="shared" si="85"/>
        <v>76.927999999999969</v>
      </c>
      <c r="K1058" s="29">
        <f t="shared" si="87"/>
        <v>392839.84780352871</v>
      </c>
    </row>
    <row r="1059" spans="1:11" ht="18" x14ac:dyDescent="0.2">
      <c r="A1059" s="31">
        <v>43857</v>
      </c>
      <c r="B1059" s="30">
        <v>5.88</v>
      </c>
      <c r="C1059" s="29">
        <f t="shared" si="82"/>
        <v>4.5982000000000003</v>
      </c>
      <c r="D1059" s="29">
        <f t="shared" si="84"/>
        <v>3.6383500000000013</v>
      </c>
      <c r="E1059" s="29">
        <f t="shared" si="86"/>
        <v>1589189.1891891886</v>
      </c>
      <c r="H1059" s="3">
        <v>112.89</v>
      </c>
      <c r="I1059" s="29">
        <f t="shared" si="83"/>
        <v>98.510599999999997</v>
      </c>
      <c r="J1059" s="29">
        <f t="shared" si="85"/>
        <v>77.247349999999969</v>
      </c>
      <c r="K1059" s="29">
        <f t="shared" si="87"/>
        <v>390487.72051193414</v>
      </c>
    </row>
    <row r="1060" spans="1:11" ht="18" x14ac:dyDescent="0.2">
      <c r="A1060" s="31">
        <v>43864</v>
      </c>
      <c r="B1060" s="30">
        <v>6.26</v>
      </c>
      <c r="C1060" s="29">
        <f t="shared" si="82"/>
        <v>4.6443999999999992</v>
      </c>
      <c r="D1060" s="29">
        <f t="shared" si="84"/>
        <v>3.6658000000000017</v>
      </c>
      <c r="E1060" s="29">
        <f t="shared" si="86"/>
        <v>1691891.8918918914</v>
      </c>
      <c r="H1060" s="3">
        <v>117</v>
      </c>
      <c r="I1060" s="29">
        <f t="shared" si="83"/>
        <v>99.019400000000005</v>
      </c>
      <c r="J1060" s="29">
        <f t="shared" si="85"/>
        <v>77.571149999999975</v>
      </c>
      <c r="K1060" s="29">
        <f t="shared" si="87"/>
        <v>404704.25458318979</v>
      </c>
    </row>
    <row r="1061" spans="1:11" ht="18" x14ac:dyDescent="0.2">
      <c r="A1061" s="31">
        <v>43871</v>
      </c>
      <c r="B1061" s="30">
        <v>7.21</v>
      </c>
      <c r="C1061" s="29">
        <f t="shared" si="82"/>
        <v>4.7109999999999994</v>
      </c>
      <c r="D1061" s="29">
        <f t="shared" si="84"/>
        <v>3.6982500000000016</v>
      </c>
      <c r="E1061" s="29">
        <f t="shared" si="86"/>
        <v>1948648.6486486481</v>
      </c>
      <c r="H1061" s="3">
        <v>117.24</v>
      </c>
      <c r="I1061" s="29">
        <f t="shared" si="83"/>
        <v>99.619599999999991</v>
      </c>
      <c r="J1061" s="29">
        <f t="shared" si="85"/>
        <v>77.907249999999962</v>
      </c>
      <c r="K1061" s="29">
        <f t="shared" si="87"/>
        <v>405534.41715669376</v>
      </c>
    </row>
    <row r="1062" spans="1:11" ht="18" x14ac:dyDescent="0.2">
      <c r="A1062" s="31">
        <v>43878</v>
      </c>
      <c r="B1062" s="30">
        <v>7.32</v>
      </c>
      <c r="C1062" s="29">
        <f t="shared" si="82"/>
        <v>4.7825999999999995</v>
      </c>
      <c r="D1062" s="29">
        <f t="shared" si="84"/>
        <v>3.731050000000002</v>
      </c>
      <c r="E1062" s="29">
        <f t="shared" si="86"/>
        <v>1978378.378378378</v>
      </c>
      <c r="H1062" s="3">
        <v>115.84</v>
      </c>
      <c r="I1062" s="29">
        <f t="shared" si="83"/>
        <v>100.23399999999998</v>
      </c>
      <c r="J1062" s="29">
        <f t="shared" si="85"/>
        <v>78.228799999999978</v>
      </c>
      <c r="K1062" s="29">
        <f t="shared" si="87"/>
        <v>400691.80214458721</v>
      </c>
    </row>
    <row r="1063" spans="1:11" ht="18" x14ac:dyDescent="0.2">
      <c r="A1063" s="31">
        <v>43885</v>
      </c>
      <c r="B1063" s="30">
        <v>6.72</v>
      </c>
      <c r="C1063" s="29">
        <f t="shared" si="82"/>
        <v>4.8327999999999989</v>
      </c>
      <c r="D1063" s="29">
        <f t="shared" si="84"/>
        <v>3.7608000000000019</v>
      </c>
      <c r="E1063" s="29">
        <f t="shared" si="86"/>
        <v>1816216.2162162156</v>
      </c>
      <c r="H1063" s="3">
        <v>99.03</v>
      </c>
      <c r="I1063" s="29">
        <f t="shared" si="83"/>
        <v>100.84379999999999</v>
      </c>
      <c r="J1063" s="29">
        <f t="shared" si="85"/>
        <v>78.467699999999979</v>
      </c>
      <c r="K1063" s="29">
        <f t="shared" si="87"/>
        <v>342545.83189207938</v>
      </c>
    </row>
    <row r="1064" spans="1:11" ht="18" x14ac:dyDescent="0.2">
      <c r="A1064" s="31">
        <v>43892</v>
      </c>
      <c r="B1064" s="30">
        <v>6.63</v>
      </c>
      <c r="C1064" s="29">
        <f t="shared" si="82"/>
        <v>4.8771999999999984</v>
      </c>
      <c r="D1064" s="29">
        <f t="shared" si="84"/>
        <v>3.7898500000000017</v>
      </c>
      <c r="E1064" s="29">
        <f t="shared" si="86"/>
        <v>1791891.8918918914</v>
      </c>
      <c r="H1064" s="3">
        <v>92.19</v>
      </c>
      <c r="I1064" s="29">
        <f t="shared" si="83"/>
        <v>101.05879999999999</v>
      </c>
      <c r="J1064" s="29">
        <f t="shared" si="85"/>
        <v>78.66964999999999</v>
      </c>
      <c r="K1064" s="29">
        <f t="shared" si="87"/>
        <v>318886.19854721596</v>
      </c>
    </row>
    <row r="1065" spans="1:11" ht="18" x14ac:dyDescent="0.2">
      <c r="A1065" s="31">
        <v>43899</v>
      </c>
      <c r="B1065" s="30">
        <v>6</v>
      </c>
      <c r="C1065" s="29">
        <f t="shared" si="82"/>
        <v>4.9079999999999986</v>
      </c>
      <c r="D1065" s="29">
        <f t="shared" si="84"/>
        <v>3.8159000000000018</v>
      </c>
      <c r="E1065" s="29">
        <f t="shared" si="86"/>
        <v>1621621.6216216213</v>
      </c>
      <c r="H1065" s="3">
        <v>88.63</v>
      </c>
      <c r="I1065" s="29">
        <f t="shared" si="83"/>
        <v>101.24959999999997</v>
      </c>
      <c r="J1065" s="29">
        <f t="shared" si="85"/>
        <v>78.868349999999978</v>
      </c>
      <c r="K1065" s="29">
        <f t="shared" si="87"/>
        <v>306572.12037357356</v>
      </c>
    </row>
    <row r="1066" spans="1:11" ht="18" x14ac:dyDescent="0.2">
      <c r="A1066" s="31">
        <v>43906</v>
      </c>
      <c r="B1066" s="30">
        <v>5.12</v>
      </c>
      <c r="C1066" s="29">
        <f t="shared" si="82"/>
        <v>4.9155999999999995</v>
      </c>
      <c r="D1066" s="29">
        <f t="shared" si="84"/>
        <v>3.8376000000000023</v>
      </c>
      <c r="E1066" s="29">
        <f t="shared" si="86"/>
        <v>1383783.7837837834</v>
      </c>
      <c r="H1066" s="3">
        <v>71.22</v>
      </c>
      <c r="I1066" s="29">
        <f t="shared" si="83"/>
        <v>101.34479999999996</v>
      </c>
      <c r="J1066" s="29">
        <f t="shared" si="85"/>
        <v>78.978749999999977</v>
      </c>
      <c r="K1066" s="29">
        <f t="shared" si="87"/>
        <v>246350.74368730574</v>
      </c>
    </row>
    <row r="1067" spans="1:11" ht="18" x14ac:dyDescent="0.2">
      <c r="A1067" s="31">
        <v>43913</v>
      </c>
      <c r="B1067" s="30">
        <v>6.29</v>
      </c>
      <c r="C1067" s="29">
        <f t="shared" si="82"/>
        <v>4.9469999999999992</v>
      </c>
      <c r="D1067" s="29">
        <f t="shared" si="84"/>
        <v>3.8650000000000015</v>
      </c>
      <c r="E1067" s="29">
        <f t="shared" si="86"/>
        <v>1699999.9999999995</v>
      </c>
      <c r="H1067" s="3">
        <v>77.73</v>
      </c>
      <c r="I1067" s="29">
        <f t="shared" si="83"/>
        <v>101.02419999999998</v>
      </c>
      <c r="J1067" s="29">
        <f t="shared" si="85"/>
        <v>79.113299999999981</v>
      </c>
      <c r="K1067" s="29">
        <f t="shared" si="87"/>
        <v>268868.90349360119</v>
      </c>
    </row>
    <row r="1068" spans="1:11" ht="18" x14ac:dyDescent="0.2">
      <c r="A1068" s="31">
        <v>43920</v>
      </c>
      <c r="B1068" s="30">
        <v>6.07</v>
      </c>
      <c r="C1068" s="29">
        <f t="shared" si="82"/>
        <v>4.9759999999999991</v>
      </c>
      <c r="D1068" s="29">
        <f t="shared" si="84"/>
        <v>3.8913500000000023</v>
      </c>
      <c r="E1068" s="29">
        <f t="shared" si="86"/>
        <v>1640540.5405405401</v>
      </c>
      <c r="H1068" s="3">
        <v>71.69</v>
      </c>
      <c r="I1068" s="29">
        <f t="shared" si="83"/>
        <v>100.72199999999999</v>
      </c>
      <c r="J1068" s="29">
        <f t="shared" si="85"/>
        <v>79.21984999999998</v>
      </c>
      <c r="K1068" s="29">
        <f t="shared" si="87"/>
        <v>247976.47872708438</v>
      </c>
    </row>
    <row r="1069" spans="1:11" ht="18" x14ac:dyDescent="0.2">
      <c r="A1069" s="31">
        <v>43927</v>
      </c>
      <c r="B1069" s="30">
        <v>6.55</v>
      </c>
      <c r="C1069" s="29">
        <f t="shared" si="82"/>
        <v>5.0185999999999993</v>
      </c>
      <c r="D1069" s="29">
        <f t="shared" si="84"/>
        <v>3.9205000000000019</v>
      </c>
      <c r="E1069" s="29">
        <f t="shared" si="86"/>
        <v>1770270.2702702696</v>
      </c>
      <c r="H1069" s="3">
        <v>88.56</v>
      </c>
      <c r="I1069" s="29">
        <f t="shared" si="83"/>
        <v>100.26139999999998</v>
      </c>
      <c r="J1069" s="29">
        <f t="shared" si="85"/>
        <v>79.437849999999983</v>
      </c>
      <c r="K1069" s="29">
        <f t="shared" si="87"/>
        <v>306329.98962296825</v>
      </c>
    </row>
    <row r="1070" spans="1:11" ht="18" x14ac:dyDescent="0.2">
      <c r="A1070" s="31">
        <v>43934</v>
      </c>
      <c r="B1070" s="30">
        <v>7.28</v>
      </c>
      <c r="C1070" s="29">
        <f t="shared" si="82"/>
        <v>5.0733999999999995</v>
      </c>
      <c r="D1070" s="29">
        <f t="shared" si="84"/>
        <v>3.953600000000002</v>
      </c>
      <c r="E1070" s="29">
        <f t="shared" si="86"/>
        <v>1967567.5675675669</v>
      </c>
      <c r="H1070" s="3">
        <v>82.03</v>
      </c>
      <c r="I1070" s="29">
        <f t="shared" si="83"/>
        <v>100.12119999999999</v>
      </c>
      <c r="J1070" s="29">
        <f t="shared" si="85"/>
        <v>79.628949999999975</v>
      </c>
      <c r="K1070" s="29">
        <f t="shared" si="87"/>
        <v>283742.64960221417</v>
      </c>
    </row>
    <row r="1071" spans="1:11" ht="18" x14ac:dyDescent="0.2">
      <c r="A1071" s="31">
        <v>43941</v>
      </c>
      <c r="B1071" s="30">
        <v>7.21</v>
      </c>
      <c r="C1071" s="29">
        <f t="shared" si="82"/>
        <v>5.1337999999999999</v>
      </c>
      <c r="D1071" s="29">
        <f t="shared" si="84"/>
        <v>3.986200000000002</v>
      </c>
      <c r="E1071" s="29">
        <f t="shared" si="86"/>
        <v>1948648.6486486478</v>
      </c>
      <c r="H1071" s="3">
        <v>78.17</v>
      </c>
      <c r="I1071" s="29">
        <f t="shared" si="83"/>
        <v>99.822999999999993</v>
      </c>
      <c r="J1071" s="29">
        <f t="shared" si="85"/>
        <v>79.801099999999977</v>
      </c>
      <c r="K1071" s="29">
        <f t="shared" si="87"/>
        <v>270390.86821169185</v>
      </c>
    </row>
    <row r="1072" spans="1:11" ht="18" x14ac:dyDescent="0.2">
      <c r="A1072" s="31">
        <v>43948</v>
      </c>
      <c r="B1072" s="30">
        <v>7.04</v>
      </c>
      <c r="C1072" s="29">
        <f t="shared" si="82"/>
        <v>5.1970000000000001</v>
      </c>
      <c r="D1072" s="29">
        <f t="shared" si="84"/>
        <v>4.017850000000001</v>
      </c>
      <c r="E1072" s="29">
        <f t="shared" si="86"/>
        <v>1902702.702702702</v>
      </c>
      <c r="H1072" s="3">
        <v>80.36</v>
      </c>
      <c r="I1072" s="29">
        <f t="shared" si="83"/>
        <v>99.507799999999989</v>
      </c>
      <c r="J1072" s="29">
        <f t="shared" si="85"/>
        <v>79.974399999999974</v>
      </c>
      <c r="K1072" s="29">
        <f t="shared" si="87"/>
        <v>277966.10169491562</v>
      </c>
    </row>
    <row r="1073" spans="1:11" ht="18" x14ac:dyDescent="0.2">
      <c r="A1073" s="31">
        <v>43955</v>
      </c>
      <c r="B1073" s="30">
        <v>7.78</v>
      </c>
      <c r="C1073" s="29">
        <f t="shared" si="82"/>
        <v>5.2805999999999997</v>
      </c>
      <c r="D1073" s="29">
        <f t="shared" si="84"/>
        <v>4.0535500000000013</v>
      </c>
      <c r="E1073" s="29">
        <f t="shared" si="86"/>
        <v>2102702.702702702</v>
      </c>
      <c r="H1073" s="3">
        <v>79.89</v>
      </c>
      <c r="I1073" s="29">
        <f t="shared" si="83"/>
        <v>99.265399999999971</v>
      </c>
      <c r="J1073" s="29">
        <f t="shared" si="85"/>
        <v>80.152049999999974</v>
      </c>
      <c r="K1073" s="29">
        <f t="shared" si="87"/>
        <v>276340.36665513698</v>
      </c>
    </row>
    <row r="1074" spans="1:11" ht="18" x14ac:dyDescent="0.2">
      <c r="A1074" s="31">
        <v>43962</v>
      </c>
      <c r="B1074" s="30">
        <v>8.4600000000000009</v>
      </c>
      <c r="C1074" s="29">
        <f t="shared" si="82"/>
        <v>5.3825999999999992</v>
      </c>
      <c r="D1074" s="29">
        <f t="shared" si="84"/>
        <v>4.0927000000000016</v>
      </c>
      <c r="E1074" s="29">
        <f t="shared" si="86"/>
        <v>2286486.4864864857</v>
      </c>
      <c r="H1074" s="3">
        <v>74.03</v>
      </c>
      <c r="I1074" s="29">
        <f t="shared" si="83"/>
        <v>99.031399999999991</v>
      </c>
      <c r="J1074" s="29">
        <f t="shared" si="85"/>
        <v>80.301399999999973</v>
      </c>
      <c r="K1074" s="29">
        <f t="shared" si="87"/>
        <v>256070.56381874814</v>
      </c>
    </row>
    <row r="1075" spans="1:11" ht="18" x14ac:dyDescent="0.2">
      <c r="A1075" s="31">
        <v>43969</v>
      </c>
      <c r="B1075" s="30">
        <v>8.99</v>
      </c>
      <c r="C1075" s="29">
        <f t="shared" ref="C1075:C1138" si="88">AVERAGE(B1026:B1075)</f>
        <v>5.4899999999999984</v>
      </c>
      <c r="D1075" s="29">
        <f t="shared" si="84"/>
        <v>4.1339500000000013</v>
      </c>
      <c r="E1075" s="29">
        <f t="shared" si="86"/>
        <v>2429729.7297297283</v>
      </c>
      <c r="H1075" s="3">
        <v>77.11</v>
      </c>
      <c r="I1075" s="29">
        <f t="shared" si="83"/>
        <v>98.742800000000003</v>
      </c>
      <c r="J1075" s="29">
        <f t="shared" si="85"/>
        <v>80.464899999999986</v>
      </c>
      <c r="K1075" s="29">
        <f t="shared" si="87"/>
        <v>266724.31684538251</v>
      </c>
    </row>
    <row r="1076" spans="1:11" ht="18" x14ac:dyDescent="0.2">
      <c r="A1076" s="31">
        <v>43976</v>
      </c>
      <c r="B1076" s="30">
        <v>8.84</v>
      </c>
      <c r="C1076" s="29">
        <f t="shared" si="88"/>
        <v>5.5949999999999989</v>
      </c>
      <c r="D1076" s="29">
        <f t="shared" si="84"/>
        <v>4.1743000000000015</v>
      </c>
      <c r="E1076" s="29">
        <f t="shared" si="86"/>
        <v>2389189.1891891877</v>
      </c>
      <c r="H1076" s="3">
        <v>83.86</v>
      </c>
      <c r="I1076" s="29">
        <f t="shared" ref="I1076:I1139" si="89">AVERAGE(H1026:H1075)</f>
        <v>98.462399999999974</v>
      </c>
      <c r="J1076" s="29">
        <f t="shared" si="85"/>
        <v>80.663199999999975</v>
      </c>
      <c r="K1076" s="29">
        <f t="shared" si="87"/>
        <v>290072.63922518195</v>
      </c>
    </row>
    <row r="1077" spans="1:11" ht="18" x14ac:dyDescent="0.2">
      <c r="A1077" s="31">
        <v>43983</v>
      </c>
      <c r="B1077" s="30">
        <v>8.89</v>
      </c>
      <c r="C1077" s="29">
        <f t="shared" si="88"/>
        <v>5.6973999999999991</v>
      </c>
      <c r="D1077" s="29">
        <f t="shared" si="84"/>
        <v>4.2148000000000021</v>
      </c>
      <c r="E1077" s="29">
        <f t="shared" si="86"/>
        <v>2402702.7027027016</v>
      </c>
      <c r="H1077" s="3">
        <v>95.86</v>
      </c>
      <c r="I1077" s="29">
        <f t="shared" si="89"/>
        <v>98.305999999999969</v>
      </c>
      <c r="J1077" s="29">
        <f t="shared" si="85"/>
        <v>80.911849999999987</v>
      </c>
      <c r="K1077" s="29">
        <f t="shared" si="87"/>
        <v>331580.76790038089</v>
      </c>
    </row>
    <row r="1078" spans="1:11" ht="18" x14ac:dyDescent="0.2">
      <c r="A1078" s="31">
        <v>43990</v>
      </c>
      <c r="B1078" s="30">
        <v>8.9</v>
      </c>
      <c r="C1078" s="29">
        <f t="shared" si="88"/>
        <v>5.7937999999999974</v>
      </c>
      <c r="D1078" s="29">
        <f t="shared" si="84"/>
        <v>4.2553500000000017</v>
      </c>
      <c r="E1078" s="29">
        <f t="shared" si="86"/>
        <v>2405405.405405404</v>
      </c>
      <c r="H1078" s="3">
        <v>86.07</v>
      </c>
      <c r="I1078" s="29">
        <f t="shared" si="89"/>
        <v>98.395799999999966</v>
      </c>
      <c r="J1078" s="29">
        <f t="shared" si="85"/>
        <v>81.114299999999986</v>
      </c>
      <c r="K1078" s="29">
        <f t="shared" si="87"/>
        <v>297717.05292286439</v>
      </c>
    </row>
    <row r="1079" spans="1:11" ht="18" x14ac:dyDescent="0.2">
      <c r="A1079" s="31">
        <v>43997</v>
      </c>
      <c r="B1079" s="30">
        <v>9.23</v>
      </c>
      <c r="C1079" s="29">
        <f t="shared" si="88"/>
        <v>5.8987999999999987</v>
      </c>
      <c r="D1079" s="29">
        <f t="shared" si="84"/>
        <v>4.2973500000000016</v>
      </c>
      <c r="E1079" s="29">
        <f t="shared" si="86"/>
        <v>2494594.5945945932</v>
      </c>
      <c r="H1079" s="3">
        <v>84.29</v>
      </c>
      <c r="I1079" s="29">
        <f t="shared" si="89"/>
        <v>98.250399999999971</v>
      </c>
      <c r="J1079" s="29">
        <f t="shared" si="85"/>
        <v>81.303449999999998</v>
      </c>
      <c r="K1079" s="29">
        <f t="shared" si="87"/>
        <v>291560.0138360433</v>
      </c>
    </row>
    <row r="1080" spans="1:11" ht="18" x14ac:dyDescent="0.2">
      <c r="A1080" s="31">
        <v>44004</v>
      </c>
      <c r="B1080" s="30">
        <v>9.1199999999999992</v>
      </c>
      <c r="C1080" s="29">
        <f t="shared" si="88"/>
        <v>5.9979999999999993</v>
      </c>
      <c r="D1080" s="29">
        <f t="shared" si="84"/>
        <v>4.3385000000000016</v>
      </c>
      <c r="E1080" s="29">
        <f t="shared" si="86"/>
        <v>2464864.864864863</v>
      </c>
      <c r="H1080" s="3">
        <v>79.790000000000006</v>
      </c>
      <c r="I1080" s="29">
        <f t="shared" si="89"/>
        <v>98.041199999999947</v>
      </c>
      <c r="J1080" s="29">
        <f t="shared" si="85"/>
        <v>81.472449999999995</v>
      </c>
      <c r="K1080" s="29">
        <f t="shared" si="87"/>
        <v>275994.4655828437</v>
      </c>
    </row>
    <row r="1081" spans="1:11" ht="18" x14ac:dyDescent="0.2">
      <c r="A1081" s="31">
        <v>44011</v>
      </c>
      <c r="B1081" s="30">
        <v>9.58</v>
      </c>
      <c r="C1081" s="29">
        <f t="shared" si="88"/>
        <v>6.1057999999999995</v>
      </c>
      <c r="D1081" s="29">
        <f t="shared" si="84"/>
        <v>4.3820500000000022</v>
      </c>
      <c r="E1081" s="29">
        <f t="shared" si="86"/>
        <v>2589189.1891891873</v>
      </c>
      <c r="H1081" s="3">
        <v>79.849999999999994</v>
      </c>
      <c r="I1081" s="29">
        <f t="shared" si="89"/>
        <v>97.698199999999957</v>
      </c>
      <c r="J1081" s="29">
        <f t="shared" si="85"/>
        <v>81.64994999999999</v>
      </c>
      <c r="K1081" s="29">
        <f t="shared" si="87"/>
        <v>276202.00622621964</v>
      </c>
    </row>
    <row r="1082" spans="1:11" ht="18" x14ac:dyDescent="0.2">
      <c r="A1082" s="31">
        <v>44018</v>
      </c>
      <c r="B1082" s="30">
        <v>10.44</v>
      </c>
      <c r="C1082" s="29">
        <f t="shared" si="88"/>
        <v>6.2275999999999998</v>
      </c>
      <c r="D1082" s="29">
        <f t="shared" si="84"/>
        <v>4.4297000000000022</v>
      </c>
      <c r="E1082" s="29">
        <f t="shared" si="86"/>
        <v>2821621.6216216194</v>
      </c>
      <c r="H1082" s="3">
        <v>83.77</v>
      </c>
      <c r="I1082" s="29">
        <f t="shared" si="89"/>
        <v>97.385999999999981</v>
      </c>
      <c r="J1082" s="29">
        <f t="shared" si="85"/>
        <v>81.829399999999993</v>
      </c>
      <c r="K1082" s="29">
        <f t="shared" si="87"/>
        <v>289761.32826011797</v>
      </c>
    </row>
    <row r="1083" spans="1:11" ht="18" x14ac:dyDescent="0.2">
      <c r="A1083" s="31">
        <v>44025</v>
      </c>
      <c r="B1083" s="30">
        <v>10.17</v>
      </c>
      <c r="C1083" s="29">
        <f t="shared" si="88"/>
        <v>6.3508000000000004</v>
      </c>
      <c r="D1083" s="29">
        <f t="shared" si="84"/>
        <v>4.4761000000000015</v>
      </c>
      <c r="E1083" s="29">
        <f t="shared" si="86"/>
        <v>2748648.6486486467</v>
      </c>
      <c r="H1083" s="3">
        <v>85.42</v>
      </c>
      <c r="I1083" s="29">
        <f t="shared" si="89"/>
        <v>97.107199999999992</v>
      </c>
      <c r="J1083" s="29">
        <f t="shared" si="85"/>
        <v>82.009</v>
      </c>
      <c r="K1083" s="29">
        <f t="shared" si="87"/>
        <v>295468.69595295785</v>
      </c>
    </row>
    <row r="1084" spans="1:11" ht="18" x14ac:dyDescent="0.2">
      <c r="A1084" s="31">
        <v>44032</v>
      </c>
      <c r="B1084" s="30">
        <v>10.16</v>
      </c>
      <c r="C1084" s="29">
        <f t="shared" si="88"/>
        <v>6.4774000000000012</v>
      </c>
      <c r="D1084" s="29">
        <f t="shared" si="84"/>
        <v>4.5225500000000016</v>
      </c>
      <c r="E1084" s="29">
        <f t="shared" si="86"/>
        <v>2745945.9459459442</v>
      </c>
      <c r="H1084" s="3">
        <v>85.52</v>
      </c>
      <c r="I1084" s="29">
        <f t="shared" si="89"/>
        <v>96.916600000000017</v>
      </c>
      <c r="J1084" s="29">
        <f t="shared" si="85"/>
        <v>82.192049999999995</v>
      </c>
      <c r="K1084" s="29">
        <f t="shared" si="87"/>
        <v>295814.59702525113</v>
      </c>
    </row>
    <row r="1085" spans="1:11" ht="18" x14ac:dyDescent="0.2">
      <c r="A1085" s="31">
        <v>44039</v>
      </c>
      <c r="B1085" s="30">
        <v>10.58</v>
      </c>
      <c r="C1085" s="29">
        <f t="shared" si="88"/>
        <v>6.6097999999999999</v>
      </c>
      <c r="D1085" s="29">
        <f t="shared" si="84"/>
        <v>4.571150000000002</v>
      </c>
      <c r="E1085" s="29">
        <f t="shared" si="86"/>
        <v>2859459.4594594575</v>
      </c>
      <c r="H1085" s="3">
        <v>84.1</v>
      </c>
      <c r="I1085" s="29">
        <f t="shared" si="89"/>
        <v>96.781600000000012</v>
      </c>
      <c r="J1085" s="29">
        <f t="shared" si="85"/>
        <v>82.374200000000002</v>
      </c>
      <c r="K1085" s="29">
        <f t="shared" si="87"/>
        <v>290902.80179868592</v>
      </c>
    </row>
    <row r="1086" spans="1:11" ht="18" x14ac:dyDescent="0.2">
      <c r="A1086" s="31">
        <v>44046</v>
      </c>
      <c r="B1086" s="30">
        <v>11.16</v>
      </c>
      <c r="C1086" s="29">
        <f t="shared" si="88"/>
        <v>6.7522000000000002</v>
      </c>
      <c r="D1086" s="29">
        <f t="shared" si="84"/>
        <v>4.6219500000000018</v>
      </c>
      <c r="E1086" s="29">
        <f t="shared" si="86"/>
        <v>3016216.216216214</v>
      </c>
      <c r="H1086" s="3">
        <v>86.48</v>
      </c>
      <c r="I1086" s="29">
        <f t="shared" si="89"/>
        <v>96.65220000000005</v>
      </c>
      <c r="J1086" s="29">
        <f t="shared" si="85"/>
        <v>82.569800000000015</v>
      </c>
      <c r="K1086" s="29">
        <f t="shared" si="87"/>
        <v>299135.24731926707</v>
      </c>
    </row>
    <row r="1087" spans="1:11" ht="18" x14ac:dyDescent="0.2">
      <c r="A1087" s="31">
        <v>44053</v>
      </c>
      <c r="B1087" s="30">
        <v>11.53</v>
      </c>
      <c r="C1087" s="29">
        <f t="shared" si="88"/>
        <v>6.8996000000000004</v>
      </c>
      <c r="D1087" s="29">
        <f t="shared" si="84"/>
        <v>4.6741500000000018</v>
      </c>
      <c r="E1087" s="29">
        <f t="shared" si="86"/>
        <v>3116216.2162162135</v>
      </c>
      <c r="H1087" s="3">
        <v>89.12</v>
      </c>
      <c r="I1087" s="29">
        <f t="shared" si="89"/>
        <v>96.599000000000046</v>
      </c>
      <c r="J1087" s="29">
        <f t="shared" si="85"/>
        <v>82.769700000000014</v>
      </c>
      <c r="K1087" s="29">
        <f t="shared" si="87"/>
        <v>308267.03562781087</v>
      </c>
    </row>
    <row r="1088" spans="1:11" ht="18" x14ac:dyDescent="0.2">
      <c r="A1088" s="31">
        <v>44060</v>
      </c>
      <c r="B1088" s="30">
        <v>12.64</v>
      </c>
      <c r="C1088" s="29">
        <f t="shared" si="88"/>
        <v>7.0636000000000001</v>
      </c>
      <c r="D1088" s="29">
        <f t="shared" si="84"/>
        <v>4.7317500000000017</v>
      </c>
      <c r="E1088" s="29">
        <f t="shared" si="86"/>
        <v>3416216.216216214</v>
      </c>
      <c r="H1088" s="3">
        <v>84.69</v>
      </c>
      <c r="I1088" s="29">
        <f t="shared" si="89"/>
        <v>96.534000000000049</v>
      </c>
      <c r="J1088" s="29">
        <f t="shared" si="85"/>
        <v>82.94</v>
      </c>
      <c r="K1088" s="29">
        <f t="shared" si="87"/>
        <v>292943.61812521657</v>
      </c>
    </row>
    <row r="1089" spans="1:11" ht="18" x14ac:dyDescent="0.2">
      <c r="A1089" s="31">
        <v>44067</v>
      </c>
      <c r="B1089" s="30">
        <v>13.1</v>
      </c>
      <c r="C1089" s="29">
        <f t="shared" si="88"/>
        <v>7.2350000000000012</v>
      </c>
      <c r="D1089" s="29">
        <f t="shared" si="84"/>
        <v>4.7915500000000018</v>
      </c>
      <c r="E1089" s="29">
        <f t="shared" si="86"/>
        <v>3540540.5405405383</v>
      </c>
      <c r="H1089" s="3">
        <v>89.43</v>
      </c>
      <c r="I1089" s="29">
        <f t="shared" si="89"/>
        <v>96.334200000000038</v>
      </c>
      <c r="J1089" s="29">
        <f t="shared" si="85"/>
        <v>83.137050000000002</v>
      </c>
      <c r="K1089" s="29">
        <f t="shared" si="87"/>
        <v>309339.32895192021</v>
      </c>
    </row>
    <row r="1090" spans="1:11" ht="18" x14ac:dyDescent="0.2">
      <c r="A1090" s="31">
        <v>44074</v>
      </c>
      <c r="B1090" s="30">
        <v>12.58</v>
      </c>
      <c r="C1090" s="29">
        <f t="shared" si="88"/>
        <v>7.4006000000000007</v>
      </c>
      <c r="D1090" s="29">
        <f t="shared" si="84"/>
        <v>4.8488000000000024</v>
      </c>
      <c r="E1090" s="29">
        <f t="shared" si="86"/>
        <v>3399999.9999999977</v>
      </c>
      <c r="H1090" s="3">
        <v>90.08</v>
      </c>
      <c r="I1090" s="29">
        <f t="shared" si="89"/>
        <v>96.101200000000048</v>
      </c>
      <c r="J1090" s="29">
        <f t="shared" si="85"/>
        <v>83.340450000000018</v>
      </c>
      <c r="K1090" s="29">
        <f t="shared" si="87"/>
        <v>311587.68592182681</v>
      </c>
    </row>
    <row r="1091" spans="1:11" ht="18" x14ac:dyDescent="0.2">
      <c r="A1091" s="31">
        <v>44081</v>
      </c>
      <c r="B1091" s="30">
        <v>12.13</v>
      </c>
      <c r="C1091" s="29">
        <f t="shared" si="88"/>
        <v>7.5577999999999994</v>
      </c>
      <c r="D1091" s="29">
        <f t="shared" si="84"/>
        <v>4.9037000000000024</v>
      </c>
      <c r="E1091" s="29">
        <f t="shared" si="86"/>
        <v>3278378.3783783764</v>
      </c>
      <c r="H1091" s="3">
        <v>87.95</v>
      </c>
      <c r="I1091" s="29">
        <f t="shared" si="89"/>
        <v>95.903400000000019</v>
      </c>
      <c r="J1091" s="29">
        <f t="shared" si="85"/>
        <v>83.539250000000024</v>
      </c>
      <c r="K1091" s="29">
        <f t="shared" si="87"/>
        <v>304219.99308197899</v>
      </c>
    </row>
    <row r="1092" spans="1:11" ht="18" x14ac:dyDescent="0.2">
      <c r="A1092" s="31">
        <v>44088</v>
      </c>
      <c r="B1092" s="30">
        <v>12.15</v>
      </c>
      <c r="C1092" s="29">
        <f t="shared" si="88"/>
        <v>7.7101999999999995</v>
      </c>
      <c r="D1092" s="29">
        <f t="shared" si="84"/>
        <v>4.9588500000000018</v>
      </c>
      <c r="E1092" s="29">
        <f t="shared" si="86"/>
        <v>3283783.7837837818</v>
      </c>
      <c r="H1092" s="3">
        <v>85.58</v>
      </c>
      <c r="I1092" s="29">
        <f t="shared" si="89"/>
        <v>95.683000000000007</v>
      </c>
      <c r="J1092" s="29">
        <f t="shared" si="85"/>
        <v>83.736550000000037</v>
      </c>
      <c r="K1092" s="29">
        <f t="shared" si="87"/>
        <v>296022.13766862714</v>
      </c>
    </row>
    <row r="1093" spans="1:11" ht="18" x14ac:dyDescent="0.2">
      <c r="A1093" s="31">
        <v>44095</v>
      </c>
      <c r="B1093" s="30">
        <v>12.83</v>
      </c>
      <c r="C1093" s="29">
        <f t="shared" si="88"/>
        <v>7.874200000000001</v>
      </c>
      <c r="D1093" s="29">
        <f t="shared" si="84"/>
        <v>5.0167500000000027</v>
      </c>
      <c r="E1093" s="29">
        <f t="shared" si="86"/>
        <v>3467567.567567565</v>
      </c>
      <c r="H1093" s="3">
        <v>81.34</v>
      </c>
      <c r="I1093" s="29">
        <f t="shared" si="89"/>
        <v>95.467200000000005</v>
      </c>
      <c r="J1093" s="29">
        <f t="shared" si="85"/>
        <v>83.902150000000034</v>
      </c>
      <c r="K1093" s="29">
        <f t="shared" si="87"/>
        <v>281355.93220339023</v>
      </c>
    </row>
    <row r="1094" spans="1:11" ht="18" x14ac:dyDescent="0.2">
      <c r="A1094" s="31">
        <v>44102</v>
      </c>
      <c r="B1094" s="30">
        <v>13.02</v>
      </c>
      <c r="C1094" s="29">
        <f t="shared" si="88"/>
        <v>8.0397999999999996</v>
      </c>
      <c r="D1094" s="29">
        <f t="shared" si="84"/>
        <v>5.0754000000000028</v>
      </c>
      <c r="E1094" s="29">
        <f t="shared" si="86"/>
        <v>3518918.9189189165</v>
      </c>
      <c r="H1094" s="3">
        <v>85.18</v>
      </c>
      <c r="I1094" s="29">
        <f t="shared" si="89"/>
        <v>95.125400000000013</v>
      </c>
      <c r="J1094" s="29">
        <f t="shared" si="85"/>
        <v>84.077800000000039</v>
      </c>
      <c r="K1094" s="29">
        <f t="shared" si="87"/>
        <v>294638.53337945387</v>
      </c>
    </row>
    <row r="1095" spans="1:11" ht="18" x14ac:dyDescent="0.2">
      <c r="A1095" s="31">
        <v>44109</v>
      </c>
      <c r="B1095" s="30">
        <v>13.72</v>
      </c>
      <c r="C1095" s="29">
        <f t="shared" si="88"/>
        <v>8.2124000000000006</v>
      </c>
      <c r="D1095" s="29">
        <f t="shared" si="84"/>
        <v>5.1373000000000024</v>
      </c>
      <c r="E1095" s="29">
        <f t="shared" si="86"/>
        <v>3708108.1081081056</v>
      </c>
      <c r="H1095" s="3">
        <v>88.06</v>
      </c>
      <c r="I1095" s="29">
        <f t="shared" si="89"/>
        <v>94.785600000000031</v>
      </c>
      <c r="J1095" s="29">
        <f t="shared" si="85"/>
        <v>84.268400000000057</v>
      </c>
      <c r="K1095" s="29">
        <f t="shared" si="87"/>
        <v>304600.48426150158</v>
      </c>
    </row>
    <row r="1096" spans="1:11" ht="18" x14ac:dyDescent="0.2">
      <c r="A1096" s="31">
        <v>44116</v>
      </c>
      <c r="B1096" s="30">
        <v>13.77</v>
      </c>
      <c r="C1096" s="29">
        <f t="shared" si="88"/>
        <v>8.3869999999999987</v>
      </c>
      <c r="D1096" s="29">
        <f t="shared" si="84"/>
        <v>5.1991500000000022</v>
      </c>
      <c r="E1096" s="29">
        <f t="shared" si="86"/>
        <v>3721621.621621619</v>
      </c>
      <c r="H1096" s="3">
        <v>89.15</v>
      </c>
      <c r="I1096" s="29">
        <f t="shared" si="89"/>
        <v>94.410600000000017</v>
      </c>
      <c r="J1096" s="29">
        <f t="shared" si="85"/>
        <v>84.46470000000005</v>
      </c>
      <c r="K1096" s="29">
        <f t="shared" si="87"/>
        <v>308370.80594949884</v>
      </c>
    </row>
    <row r="1097" spans="1:11" ht="18" x14ac:dyDescent="0.2">
      <c r="A1097" s="31">
        <v>44123</v>
      </c>
      <c r="B1097" s="30">
        <v>13.55</v>
      </c>
      <c r="C1097" s="29">
        <f t="shared" si="88"/>
        <v>8.5546000000000006</v>
      </c>
      <c r="D1097" s="29">
        <f t="shared" ref="D1097:D1160" si="90">AVERAGE(B898:B1097)</f>
        <v>5.2597500000000013</v>
      </c>
      <c r="E1097" s="29">
        <f t="shared" si="86"/>
        <v>3662162.1621621596</v>
      </c>
      <c r="H1097" s="3">
        <v>91.17</v>
      </c>
      <c r="I1097" s="29">
        <f t="shared" si="89"/>
        <v>94.027400000000014</v>
      </c>
      <c r="J1097" s="29">
        <f t="shared" ref="J1097:J1160" si="91">AVERAGE(H898:H1097)</f>
        <v>84.662050000000036</v>
      </c>
      <c r="K1097" s="29">
        <f t="shared" si="87"/>
        <v>315358.00760982395</v>
      </c>
    </row>
    <row r="1098" spans="1:11" ht="18" x14ac:dyDescent="0.2">
      <c r="A1098" s="31">
        <v>44130</v>
      </c>
      <c r="B1098" s="30">
        <v>12.5</v>
      </c>
      <c r="C1098" s="29">
        <f t="shared" si="88"/>
        <v>8.7029999999999994</v>
      </c>
      <c r="D1098" s="29">
        <f t="shared" si="90"/>
        <v>5.3145000000000024</v>
      </c>
      <c r="E1098" s="29">
        <f t="shared" ref="E1098:E1161" si="92">IF( C1098&gt;D1098,E1097*B1098/B1097,100000)</f>
        <v>3378378.3783783759</v>
      </c>
      <c r="H1098" s="3">
        <v>86.11</v>
      </c>
      <c r="I1098" s="29">
        <f t="shared" si="89"/>
        <v>93.640800000000013</v>
      </c>
      <c r="J1098" s="29">
        <f t="shared" si="91"/>
        <v>84.837900000000047</v>
      </c>
      <c r="K1098" s="29">
        <f t="shared" ref="K1098:K1161" si="93">IF(I1098&gt;J1098,K1097*H1098/H1097,100000)</f>
        <v>297855.41335178172</v>
      </c>
    </row>
    <row r="1099" spans="1:11" ht="18" x14ac:dyDescent="0.2">
      <c r="A1099" s="31">
        <v>44137</v>
      </c>
      <c r="B1099" s="30">
        <v>14.52</v>
      </c>
      <c r="C1099" s="29">
        <f t="shared" si="88"/>
        <v>8.888399999999999</v>
      </c>
      <c r="D1099" s="29">
        <f t="shared" si="90"/>
        <v>5.3794500000000021</v>
      </c>
      <c r="E1099" s="29">
        <f t="shared" si="92"/>
        <v>3924324.324324321</v>
      </c>
      <c r="H1099" s="3">
        <v>90.43</v>
      </c>
      <c r="I1099" s="29">
        <f t="shared" si="89"/>
        <v>93.167400000000015</v>
      </c>
      <c r="J1099" s="29">
        <f t="shared" si="91"/>
        <v>85.033250000000038</v>
      </c>
      <c r="K1099" s="29">
        <f t="shared" si="93"/>
        <v>312798.33967485337</v>
      </c>
    </row>
    <row r="1100" spans="1:11" ht="18" x14ac:dyDescent="0.2">
      <c r="A1100" s="31">
        <v>44144</v>
      </c>
      <c r="B1100" s="30">
        <v>13.26</v>
      </c>
      <c r="C1100" s="29">
        <f t="shared" si="88"/>
        <v>9.0457999999999998</v>
      </c>
      <c r="D1100" s="29">
        <f t="shared" si="90"/>
        <v>5.438150000000002</v>
      </c>
      <c r="E1100" s="29">
        <f t="shared" si="92"/>
        <v>3583783.7837837809</v>
      </c>
      <c r="H1100" s="3">
        <v>100.19</v>
      </c>
      <c r="I1100" s="29">
        <f t="shared" si="89"/>
        <v>92.759200000000021</v>
      </c>
      <c r="J1100" s="29">
        <f t="shared" si="91"/>
        <v>85.276000000000025</v>
      </c>
      <c r="K1100" s="29">
        <f t="shared" si="93"/>
        <v>346558.28433068178</v>
      </c>
    </row>
    <row r="1101" spans="1:11" ht="18" x14ac:dyDescent="0.2">
      <c r="A1101" s="31">
        <v>44151</v>
      </c>
      <c r="B1101" s="30">
        <v>13.05</v>
      </c>
      <c r="C1101" s="29">
        <f t="shared" si="88"/>
        <v>9.2011999999999983</v>
      </c>
      <c r="D1101" s="29">
        <f t="shared" si="90"/>
        <v>5.495700000000002</v>
      </c>
      <c r="E1101" s="29">
        <f t="shared" si="92"/>
        <v>3527027.0270270249</v>
      </c>
      <c r="H1101" s="3">
        <v>100.62</v>
      </c>
      <c r="I1101" s="29">
        <f t="shared" si="89"/>
        <v>92.529599999999988</v>
      </c>
      <c r="J1101" s="29">
        <f t="shared" si="91"/>
        <v>85.515950000000032</v>
      </c>
      <c r="K1101" s="29">
        <f t="shared" si="93"/>
        <v>348045.65894154308</v>
      </c>
    </row>
    <row r="1102" spans="1:11" ht="18" x14ac:dyDescent="0.2">
      <c r="A1102" s="31">
        <v>44158</v>
      </c>
      <c r="B1102" s="30">
        <v>13.22</v>
      </c>
      <c r="C1102" s="29">
        <f t="shared" si="88"/>
        <v>9.3539999999999992</v>
      </c>
      <c r="D1102" s="29">
        <f t="shared" si="90"/>
        <v>5.5545000000000018</v>
      </c>
      <c r="E1102" s="29">
        <f t="shared" si="92"/>
        <v>3572972.9729729705</v>
      </c>
      <c r="H1102" s="3">
        <v>106.46</v>
      </c>
      <c r="I1102" s="29">
        <f t="shared" si="89"/>
        <v>92.252999999999986</v>
      </c>
      <c r="J1102" s="29">
        <f t="shared" si="91"/>
        <v>85.788350000000023</v>
      </c>
      <c r="K1102" s="29">
        <f t="shared" si="93"/>
        <v>368246.28156347323</v>
      </c>
    </row>
    <row r="1103" spans="1:11" ht="18" x14ac:dyDescent="0.2">
      <c r="A1103" s="31">
        <v>44165</v>
      </c>
      <c r="B1103" s="30">
        <v>13.52</v>
      </c>
      <c r="C1103" s="29">
        <f t="shared" si="88"/>
        <v>9.5052000000000003</v>
      </c>
      <c r="D1103" s="29">
        <f t="shared" si="90"/>
        <v>5.6143500000000017</v>
      </c>
      <c r="E1103" s="29">
        <f t="shared" si="92"/>
        <v>3654054.0540540512</v>
      </c>
      <c r="H1103" s="3">
        <v>107.45</v>
      </c>
      <c r="I1103" s="29">
        <f t="shared" si="89"/>
        <v>92.063199999999981</v>
      </c>
      <c r="J1103" s="29">
        <f t="shared" si="91"/>
        <v>86.068950000000029</v>
      </c>
      <c r="K1103" s="29">
        <f t="shared" si="93"/>
        <v>371670.70217917714</v>
      </c>
    </row>
    <row r="1104" spans="1:11" ht="18" x14ac:dyDescent="0.2">
      <c r="A1104" s="31">
        <v>44172</v>
      </c>
      <c r="B1104" s="30">
        <v>12.98</v>
      </c>
      <c r="C1104" s="29">
        <f t="shared" si="88"/>
        <v>9.6467999999999989</v>
      </c>
      <c r="D1104" s="29">
        <f t="shared" si="90"/>
        <v>5.6712500000000015</v>
      </c>
      <c r="E1104" s="29">
        <f t="shared" si="92"/>
        <v>3508108.1081081056</v>
      </c>
      <c r="H1104" s="3">
        <v>105.01</v>
      </c>
      <c r="I1104" s="29">
        <f t="shared" si="89"/>
        <v>91.885999999999981</v>
      </c>
      <c r="J1104" s="29">
        <f t="shared" si="91"/>
        <v>86.331800000000015</v>
      </c>
      <c r="K1104" s="29">
        <f t="shared" si="93"/>
        <v>363230.71601522004</v>
      </c>
    </row>
    <row r="1105" spans="1:11" ht="18" x14ac:dyDescent="0.2">
      <c r="A1105" s="31">
        <v>44179</v>
      </c>
      <c r="B1105" s="30">
        <v>13.24</v>
      </c>
      <c r="C1105" s="29">
        <f t="shared" si="88"/>
        <v>9.7940000000000005</v>
      </c>
      <c r="D1105" s="29">
        <f t="shared" si="90"/>
        <v>5.7290000000000019</v>
      </c>
      <c r="E1105" s="29">
        <f t="shared" si="92"/>
        <v>3578378.3783783759</v>
      </c>
      <c r="H1105" s="3">
        <v>104.58</v>
      </c>
      <c r="I1105" s="29">
        <f t="shared" si="89"/>
        <v>91.627799999999993</v>
      </c>
      <c r="J1105" s="29">
        <f t="shared" si="91"/>
        <v>86.595050000000015</v>
      </c>
      <c r="K1105" s="29">
        <f t="shared" si="93"/>
        <v>361743.34140435874</v>
      </c>
    </row>
    <row r="1106" spans="1:11" ht="18" x14ac:dyDescent="0.2">
      <c r="A1106" s="31">
        <v>44186</v>
      </c>
      <c r="B1106" s="30">
        <v>12.96</v>
      </c>
      <c r="C1106" s="29">
        <f t="shared" si="88"/>
        <v>9.9315999999999995</v>
      </c>
      <c r="D1106" s="29">
        <f t="shared" si="90"/>
        <v>5.7857000000000021</v>
      </c>
      <c r="E1106" s="29">
        <f t="shared" si="92"/>
        <v>3502702.7027027006</v>
      </c>
      <c r="H1106" s="3">
        <v>109.36</v>
      </c>
      <c r="I1106" s="29">
        <f t="shared" si="89"/>
        <v>91.374599999999987</v>
      </c>
      <c r="J1106" s="29">
        <f t="shared" si="91"/>
        <v>86.876650000000012</v>
      </c>
      <c r="K1106" s="29">
        <f t="shared" si="93"/>
        <v>378277.41265997966</v>
      </c>
    </row>
    <row r="1107" spans="1:11" ht="18" x14ac:dyDescent="0.2">
      <c r="A1107" s="31">
        <v>44193</v>
      </c>
      <c r="B1107" s="30">
        <v>13.02</v>
      </c>
      <c r="C1107" s="29">
        <f t="shared" si="88"/>
        <v>10.067999999999998</v>
      </c>
      <c r="D1107" s="29">
        <f t="shared" si="90"/>
        <v>5.842500000000002</v>
      </c>
      <c r="E1107" s="29">
        <f t="shared" si="92"/>
        <v>3518918.9189189165</v>
      </c>
      <c r="H1107" s="3">
        <v>111.6</v>
      </c>
      <c r="I1107" s="29">
        <f t="shared" si="89"/>
        <v>91.240599999999958</v>
      </c>
      <c r="J1107" s="29">
        <f t="shared" si="91"/>
        <v>87.165649999999999</v>
      </c>
      <c r="K1107" s="29">
        <f t="shared" si="93"/>
        <v>386025.59667935013</v>
      </c>
    </row>
    <row r="1108" spans="1:11" ht="18" x14ac:dyDescent="0.2">
      <c r="A1108" s="31">
        <v>44200</v>
      </c>
      <c r="B1108" s="30">
        <v>13.24</v>
      </c>
      <c r="C1108" s="29">
        <f t="shared" si="88"/>
        <v>10.2082</v>
      </c>
      <c r="D1108" s="29">
        <f t="shared" si="90"/>
        <v>5.9000000000000021</v>
      </c>
      <c r="E1108" s="29">
        <f t="shared" si="92"/>
        <v>3578378.3783783764</v>
      </c>
      <c r="H1108" s="3">
        <v>119.46</v>
      </c>
      <c r="I1108" s="29">
        <f t="shared" si="89"/>
        <v>91.114999999999981</v>
      </c>
      <c r="J1108" s="29">
        <f t="shared" si="91"/>
        <v>87.491500000000002</v>
      </c>
      <c r="K1108" s="29">
        <f t="shared" si="93"/>
        <v>413213.42096160544</v>
      </c>
    </row>
    <row r="1109" spans="1:11" ht="18" x14ac:dyDescent="0.2">
      <c r="A1109" s="31">
        <v>44207</v>
      </c>
      <c r="B1109" s="30">
        <v>12.82</v>
      </c>
      <c r="C1109" s="29">
        <f t="shared" si="88"/>
        <v>10.347000000000001</v>
      </c>
      <c r="D1109" s="29">
        <f t="shared" si="90"/>
        <v>5.9558000000000018</v>
      </c>
      <c r="E1109" s="29">
        <f t="shared" si="92"/>
        <v>3464864.864864863</v>
      </c>
      <c r="H1109" s="3">
        <v>122.64</v>
      </c>
      <c r="I1109" s="29">
        <f t="shared" si="89"/>
        <v>91.232799999999969</v>
      </c>
      <c r="J1109" s="29">
        <f t="shared" si="91"/>
        <v>87.838549999999998</v>
      </c>
      <c r="K1109" s="29">
        <f t="shared" si="93"/>
        <v>424213.07506053319</v>
      </c>
    </row>
    <row r="1110" spans="1:11" ht="18" x14ac:dyDescent="0.2">
      <c r="A1110" s="31">
        <v>44214</v>
      </c>
      <c r="B1110" s="30">
        <v>13.67</v>
      </c>
      <c r="C1110" s="29">
        <f t="shared" si="88"/>
        <v>10.495199999999997</v>
      </c>
      <c r="D1110" s="29">
        <f t="shared" si="90"/>
        <v>6.0133500000000017</v>
      </c>
      <c r="E1110" s="29">
        <f t="shared" si="92"/>
        <v>3694594.5945945927</v>
      </c>
      <c r="H1110" s="3">
        <v>118.35</v>
      </c>
      <c r="I1110" s="29">
        <f t="shared" si="89"/>
        <v>91.427799999999991</v>
      </c>
      <c r="J1110" s="29">
        <f t="shared" si="91"/>
        <v>88.12909999999998</v>
      </c>
      <c r="K1110" s="29">
        <f t="shared" si="93"/>
        <v>409373.91905914957</v>
      </c>
    </row>
    <row r="1111" spans="1:11" ht="18" x14ac:dyDescent="0.2">
      <c r="A1111" s="31">
        <v>44221</v>
      </c>
      <c r="B1111" s="30">
        <v>12.95</v>
      </c>
      <c r="C1111" s="29">
        <f t="shared" si="88"/>
        <v>10.61</v>
      </c>
      <c r="D1111" s="29">
        <f t="shared" si="90"/>
        <v>6.066600000000002</v>
      </c>
      <c r="E1111" s="29">
        <f t="shared" si="92"/>
        <v>3499999.9999999977</v>
      </c>
      <c r="H1111" s="3">
        <v>113.82</v>
      </c>
      <c r="I1111" s="29">
        <f t="shared" si="89"/>
        <v>91.454799999999992</v>
      </c>
      <c r="J1111" s="29">
        <f t="shared" si="91"/>
        <v>88.392999999999986</v>
      </c>
      <c r="K1111" s="29">
        <f t="shared" si="93"/>
        <v>393704.60048426199</v>
      </c>
    </row>
    <row r="1112" spans="1:11" ht="18" x14ac:dyDescent="0.2">
      <c r="A1112" s="31">
        <v>44228</v>
      </c>
      <c r="B1112" s="30">
        <v>13.55</v>
      </c>
      <c r="C1112" s="29">
        <f t="shared" si="88"/>
        <v>10.734599999999999</v>
      </c>
      <c r="D1112" s="29">
        <f t="shared" si="90"/>
        <v>6.1234500000000018</v>
      </c>
      <c r="E1112" s="29">
        <f t="shared" si="92"/>
        <v>3662162.16216216</v>
      </c>
      <c r="H1112" s="3">
        <v>122.06</v>
      </c>
      <c r="I1112" s="29">
        <f t="shared" si="89"/>
        <v>91.386399999999981</v>
      </c>
      <c r="J1112" s="29">
        <f t="shared" si="91"/>
        <v>88.6828</v>
      </c>
      <c r="K1112" s="29">
        <f t="shared" si="93"/>
        <v>422206.84884123196</v>
      </c>
    </row>
    <row r="1113" spans="1:11" ht="18" x14ac:dyDescent="0.2">
      <c r="A1113" s="31">
        <v>44235</v>
      </c>
      <c r="B1113" s="30">
        <v>14.92</v>
      </c>
      <c r="C1113" s="29">
        <f t="shared" si="88"/>
        <v>10.898599999999998</v>
      </c>
      <c r="D1113" s="29">
        <f t="shared" si="90"/>
        <v>6.1867500000000017</v>
      </c>
      <c r="E1113" s="29">
        <f t="shared" si="92"/>
        <v>4032432.4324324294</v>
      </c>
      <c r="H1113" s="3">
        <v>124.95</v>
      </c>
      <c r="I1113" s="29">
        <f t="shared" si="89"/>
        <v>91.510800000000003</v>
      </c>
      <c r="J1113" s="29">
        <f t="shared" si="91"/>
        <v>88.971800000000016</v>
      </c>
      <c r="K1113" s="29">
        <f t="shared" si="93"/>
        <v>432203.38983050903</v>
      </c>
    </row>
    <row r="1114" spans="1:11" ht="18" x14ac:dyDescent="0.2">
      <c r="A1114" s="31">
        <v>44242</v>
      </c>
      <c r="B1114" s="30">
        <v>14.89</v>
      </c>
      <c r="C1114" s="29">
        <f t="shared" si="88"/>
        <v>11.063799999999999</v>
      </c>
      <c r="D1114" s="29">
        <f t="shared" si="90"/>
        <v>6.2488500000000009</v>
      </c>
      <c r="E1114" s="29">
        <f t="shared" si="92"/>
        <v>4024324.3243243215</v>
      </c>
      <c r="H1114" s="3">
        <v>130.94</v>
      </c>
      <c r="I1114" s="29">
        <f t="shared" si="89"/>
        <v>92.029199999999989</v>
      </c>
      <c r="J1114" s="29">
        <f t="shared" si="91"/>
        <v>89.292900000000003</v>
      </c>
      <c r="K1114" s="29">
        <f t="shared" si="93"/>
        <v>452922.86406087916</v>
      </c>
    </row>
    <row r="1115" spans="1:11" ht="18" x14ac:dyDescent="0.2">
      <c r="A1115" s="31">
        <v>44249</v>
      </c>
      <c r="B1115" s="30">
        <v>13.68</v>
      </c>
      <c r="C1115" s="29">
        <f t="shared" si="88"/>
        <v>11.217399999999998</v>
      </c>
      <c r="D1115" s="29">
        <f t="shared" si="90"/>
        <v>6.3037500000000026</v>
      </c>
      <c r="E1115" s="29">
        <f t="shared" si="92"/>
        <v>3697297.2972972943</v>
      </c>
      <c r="H1115" s="3">
        <v>130.19</v>
      </c>
      <c r="I1115" s="29">
        <f t="shared" si="89"/>
        <v>92.80419999999998</v>
      </c>
      <c r="J1115" s="29">
        <f t="shared" si="91"/>
        <v>89.601950000000002</v>
      </c>
      <c r="K1115" s="29">
        <f t="shared" si="93"/>
        <v>450328.60601867922</v>
      </c>
    </row>
    <row r="1116" spans="1:11" ht="18" x14ac:dyDescent="0.2">
      <c r="A1116" s="31">
        <v>44256</v>
      </c>
      <c r="B1116" s="30">
        <v>12.43</v>
      </c>
      <c r="C1116" s="29">
        <f t="shared" si="88"/>
        <v>11.363599999999996</v>
      </c>
      <c r="D1116" s="29">
        <f t="shared" si="90"/>
        <v>6.3527500000000021</v>
      </c>
      <c r="E1116" s="29">
        <f t="shared" si="92"/>
        <v>3359459.4594594566</v>
      </c>
      <c r="H1116" s="3">
        <v>133.49</v>
      </c>
      <c r="I1116" s="29">
        <f t="shared" si="89"/>
        <v>93.635399999999976</v>
      </c>
      <c r="J1116" s="29">
        <f t="shared" si="91"/>
        <v>89.930499999999995</v>
      </c>
      <c r="K1116" s="29">
        <f t="shared" si="93"/>
        <v>461743.34140435897</v>
      </c>
    </row>
    <row r="1117" spans="1:11" ht="18" x14ac:dyDescent="0.2">
      <c r="A1117" s="31">
        <v>44263</v>
      </c>
      <c r="B1117" s="30">
        <v>12.82</v>
      </c>
      <c r="C1117" s="29">
        <f t="shared" si="88"/>
        <v>11.494199999999999</v>
      </c>
      <c r="D1117" s="29">
        <f t="shared" si="90"/>
        <v>6.4041500000000022</v>
      </c>
      <c r="E1117" s="29">
        <f t="shared" si="92"/>
        <v>3464864.8648648621</v>
      </c>
      <c r="H1117" s="3">
        <v>138.13</v>
      </c>
      <c r="I1117" s="29">
        <f t="shared" si="89"/>
        <v>94.880799999999979</v>
      </c>
      <c r="J1117" s="29">
        <f t="shared" si="91"/>
        <v>90.282900000000012</v>
      </c>
      <c r="K1117" s="29">
        <f t="shared" si="93"/>
        <v>477793.15115876915</v>
      </c>
    </row>
    <row r="1118" spans="1:11" ht="18" x14ac:dyDescent="0.2">
      <c r="A1118" s="31">
        <v>44270</v>
      </c>
      <c r="B1118" s="30">
        <v>12.81</v>
      </c>
      <c r="C1118" s="29">
        <f t="shared" si="88"/>
        <v>11.628999999999998</v>
      </c>
      <c r="D1118" s="29">
        <f t="shared" si="90"/>
        <v>6.4554000000000018</v>
      </c>
      <c r="E1118" s="29">
        <f t="shared" si="92"/>
        <v>3462162.1621621596</v>
      </c>
      <c r="H1118" s="3">
        <v>137.24</v>
      </c>
      <c r="I1118" s="29">
        <f t="shared" si="89"/>
        <v>96.088799999999978</v>
      </c>
      <c r="J1118" s="29">
        <f t="shared" si="91"/>
        <v>90.638650000000041</v>
      </c>
      <c r="K1118" s="29">
        <f t="shared" si="93"/>
        <v>474714.63161535858</v>
      </c>
    </row>
    <row r="1119" spans="1:11" ht="18" x14ac:dyDescent="0.2">
      <c r="A1119" s="31">
        <v>44277</v>
      </c>
      <c r="B1119" s="30">
        <v>12.81</v>
      </c>
      <c r="C1119" s="29">
        <f t="shared" si="88"/>
        <v>11.754199999999999</v>
      </c>
      <c r="D1119" s="29">
        <f t="shared" si="90"/>
        <v>6.5057000000000018</v>
      </c>
      <c r="E1119" s="29">
        <f t="shared" si="92"/>
        <v>3462162.16216216</v>
      </c>
      <c r="H1119" s="3">
        <v>137.19</v>
      </c>
      <c r="I1119" s="29">
        <f t="shared" si="89"/>
        <v>97.399799999999971</v>
      </c>
      <c r="J1119" s="29">
        <f t="shared" si="91"/>
        <v>90.981300000000033</v>
      </c>
      <c r="K1119" s="29">
        <f t="shared" si="93"/>
        <v>474541.68107921188</v>
      </c>
    </row>
    <row r="1120" spans="1:11" ht="18" x14ac:dyDescent="0.2">
      <c r="A1120" s="31">
        <v>44284</v>
      </c>
      <c r="B1120" s="30">
        <v>13.78</v>
      </c>
      <c r="C1120" s="29">
        <f t="shared" si="88"/>
        <v>11.884199999999998</v>
      </c>
      <c r="D1120" s="29">
        <f t="shared" si="90"/>
        <v>6.560500000000002</v>
      </c>
      <c r="E1120" s="29">
        <f t="shared" si="92"/>
        <v>3724324.3243243215</v>
      </c>
      <c r="H1120" s="3">
        <v>135.97</v>
      </c>
      <c r="I1120" s="29">
        <f t="shared" si="89"/>
        <v>98.372399999999985</v>
      </c>
      <c r="J1120" s="29">
        <f t="shared" si="91"/>
        <v>91.316850000000017</v>
      </c>
      <c r="K1120" s="29">
        <f t="shared" si="93"/>
        <v>470321.68799723336</v>
      </c>
    </row>
    <row r="1121" spans="1:11" ht="18" x14ac:dyDescent="0.2">
      <c r="A1121" s="31">
        <v>44291</v>
      </c>
      <c r="B1121" s="30">
        <v>14.37</v>
      </c>
      <c r="C1121" s="29">
        <f t="shared" si="88"/>
        <v>12.027399999999998</v>
      </c>
      <c r="D1121" s="29">
        <f t="shared" si="90"/>
        <v>6.6183500000000013</v>
      </c>
      <c r="E1121" s="29">
        <f t="shared" si="92"/>
        <v>3883783.7837837804</v>
      </c>
      <c r="H1121" s="3">
        <v>138.25</v>
      </c>
      <c r="I1121" s="29">
        <f t="shared" si="89"/>
        <v>99.451199999999972</v>
      </c>
      <c r="J1121" s="29">
        <f t="shared" si="91"/>
        <v>91.664500000000032</v>
      </c>
      <c r="K1121" s="29">
        <f t="shared" si="93"/>
        <v>478208.23244552116</v>
      </c>
    </row>
    <row r="1122" spans="1:11" ht="18" x14ac:dyDescent="0.2">
      <c r="A1122" s="31">
        <v>44298</v>
      </c>
      <c r="B1122" s="30">
        <v>15.87</v>
      </c>
      <c r="C1122" s="29">
        <f t="shared" si="88"/>
        <v>12.203999999999999</v>
      </c>
      <c r="D1122" s="29">
        <f t="shared" si="90"/>
        <v>6.6845000000000008</v>
      </c>
      <c r="E1122" s="29">
        <f t="shared" si="92"/>
        <v>4289189.1891891854</v>
      </c>
      <c r="H1122" s="3">
        <v>136.41</v>
      </c>
      <c r="I1122" s="29">
        <f t="shared" si="89"/>
        <v>100.65279999999998</v>
      </c>
      <c r="J1122" s="29">
        <f t="shared" si="91"/>
        <v>91.990200000000016</v>
      </c>
      <c r="K1122" s="29">
        <f t="shared" si="93"/>
        <v>471843.65271532396</v>
      </c>
    </row>
    <row r="1123" spans="1:11" ht="18" x14ac:dyDescent="0.2">
      <c r="A1123" s="31">
        <v>44305</v>
      </c>
      <c r="B1123" s="30">
        <v>15.23</v>
      </c>
      <c r="C1123" s="29">
        <f t="shared" si="88"/>
        <v>12.353</v>
      </c>
      <c r="D1123" s="29">
        <f t="shared" si="90"/>
        <v>6.7481500000000008</v>
      </c>
      <c r="E1123" s="29">
        <f t="shared" si="92"/>
        <v>4116216.2162162131</v>
      </c>
      <c r="H1123" s="3">
        <v>133.63999999999999</v>
      </c>
      <c r="I1123" s="29">
        <f t="shared" si="89"/>
        <v>101.77379999999998</v>
      </c>
      <c r="J1123" s="29">
        <f t="shared" si="91"/>
        <v>92.301650000000024</v>
      </c>
      <c r="K1123" s="29">
        <f t="shared" si="93"/>
        <v>462262.19301279885</v>
      </c>
    </row>
    <row r="1124" spans="1:11" ht="18" x14ac:dyDescent="0.2">
      <c r="A1124" s="31">
        <v>44312</v>
      </c>
      <c r="B1124" s="30">
        <v>14.97</v>
      </c>
      <c r="C1124" s="29">
        <f t="shared" si="88"/>
        <v>12.4832</v>
      </c>
      <c r="D1124" s="29">
        <f t="shared" si="90"/>
        <v>6.8108000000000004</v>
      </c>
      <c r="E1124" s="29">
        <f t="shared" si="92"/>
        <v>4045945.9459459432</v>
      </c>
      <c r="H1124" s="3">
        <v>136.86000000000001</v>
      </c>
      <c r="I1124" s="29">
        <f t="shared" si="89"/>
        <v>102.8488</v>
      </c>
      <c r="J1124" s="29">
        <f t="shared" si="91"/>
        <v>92.625450000000043</v>
      </c>
      <c r="K1124" s="29">
        <f t="shared" si="93"/>
        <v>473400.20754064398</v>
      </c>
    </row>
    <row r="1125" spans="1:11" ht="18" x14ac:dyDescent="0.2">
      <c r="A1125" s="31">
        <v>44319</v>
      </c>
      <c r="B1125" s="30">
        <v>14.78</v>
      </c>
      <c r="C1125" s="29">
        <f t="shared" si="88"/>
        <v>12.598999999999998</v>
      </c>
      <c r="D1125" s="29">
        <f t="shared" si="90"/>
        <v>6.8716000000000008</v>
      </c>
      <c r="E1125" s="29">
        <f t="shared" si="92"/>
        <v>3994594.5945945918</v>
      </c>
      <c r="H1125" s="3">
        <v>143.47</v>
      </c>
      <c r="I1125" s="29">
        <f t="shared" si="89"/>
        <v>104.10539999999999</v>
      </c>
      <c r="J1125" s="29">
        <f t="shared" si="91"/>
        <v>92.984700000000046</v>
      </c>
      <c r="K1125" s="29">
        <f t="shared" si="93"/>
        <v>496264.26841923274</v>
      </c>
    </row>
    <row r="1126" spans="1:11" ht="18" x14ac:dyDescent="0.2">
      <c r="A1126" s="31">
        <v>44326</v>
      </c>
      <c r="B1126" s="30">
        <v>14.21</v>
      </c>
      <c r="C1126" s="29">
        <f t="shared" si="88"/>
        <v>12.7064</v>
      </c>
      <c r="D1126" s="29">
        <f t="shared" si="90"/>
        <v>6.9294000000000002</v>
      </c>
      <c r="E1126" s="29">
        <f t="shared" si="92"/>
        <v>3840540.5405405383</v>
      </c>
      <c r="H1126" s="3">
        <v>145.94</v>
      </c>
      <c r="I1126" s="29">
        <f t="shared" si="89"/>
        <v>105.43260000000001</v>
      </c>
      <c r="J1126" s="29">
        <f t="shared" si="91"/>
        <v>93.369650000000036</v>
      </c>
      <c r="K1126" s="29">
        <f t="shared" si="93"/>
        <v>504808.02490487782</v>
      </c>
    </row>
    <row r="1127" spans="1:11" ht="18" x14ac:dyDescent="0.2">
      <c r="A1127" s="31">
        <v>44333</v>
      </c>
      <c r="B1127" s="30">
        <v>14.96</v>
      </c>
      <c r="C1127" s="29">
        <f t="shared" si="88"/>
        <v>12.827800000000002</v>
      </c>
      <c r="D1127" s="29">
        <f t="shared" si="90"/>
        <v>6.990750000000002</v>
      </c>
      <c r="E1127" s="29">
        <f t="shared" si="92"/>
        <v>4043243.2432432408</v>
      </c>
      <c r="H1127" s="3">
        <v>144.74</v>
      </c>
      <c r="I1127" s="29">
        <f t="shared" si="89"/>
        <v>106.67419999999998</v>
      </c>
      <c r="J1127" s="29">
        <f t="shared" si="91"/>
        <v>93.746450000000053</v>
      </c>
      <c r="K1127" s="29">
        <f t="shared" si="93"/>
        <v>500657.21203735797</v>
      </c>
    </row>
    <row r="1128" spans="1:11" ht="18" x14ac:dyDescent="0.2">
      <c r="A1128" s="31">
        <v>44340</v>
      </c>
      <c r="B1128" s="30">
        <v>16.21</v>
      </c>
      <c r="C1128" s="29">
        <f t="shared" si="88"/>
        <v>12.974000000000004</v>
      </c>
      <c r="D1128" s="29">
        <f t="shared" si="90"/>
        <v>7.0594500000000018</v>
      </c>
      <c r="E1128" s="29">
        <f t="shared" si="92"/>
        <v>4381081.0810810784</v>
      </c>
      <c r="H1128" s="3">
        <v>146.13999999999999</v>
      </c>
      <c r="I1128" s="29">
        <f t="shared" si="89"/>
        <v>107.65179999999998</v>
      </c>
      <c r="J1128" s="29">
        <f t="shared" si="91"/>
        <v>94.136800000000051</v>
      </c>
      <c r="K1128" s="29">
        <f t="shared" si="93"/>
        <v>505499.82704946439</v>
      </c>
    </row>
    <row r="1129" spans="1:11" ht="18" x14ac:dyDescent="0.2">
      <c r="A1129" s="31">
        <v>44347</v>
      </c>
      <c r="B1129" s="30">
        <v>17.54</v>
      </c>
      <c r="C1129" s="29">
        <f t="shared" si="88"/>
        <v>13.140200000000004</v>
      </c>
      <c r="D1129" s="29">
        <f t="shared" si="90"/>
        <v>7.1346000000000016</v>
      </c>
      <c r="E1129" s="29">
        <f t="shared" si="92"/>
        <v>4740540.5405405369</v>
      </c>
      <c r="H1129" s="3">
        <v>148.1</v>
      </c>
      <c r="I1129" s="29">
        <f t="shared" si="89"/>
        <v>108.8532</v>
      </c>
      <c r="J1129" s="29">
        <f t="shared" si="91"/>
        <v>94.541600000000059</v>
      </c>
      <c r="K1129" s="29">
        <f t="shared" si="93"/>
        <v>512279.48806641356</v>
      </c>
    </row>
    <row r="1130" spans="1:11" ht="18" x14ac:dyDescent="0.2">
      <c r="A1130" s="31">
        <v>44354</v>
      </c>
      <c r="B1130" s="30">
        <v>17.78</v>
      </c>
      <c r="C1130" s="29">
        <f t="shared" si="88"/>
        <v>13.313400000000001</v>
      </c>
      <c r="D1130" s="29">
        <f t="shared" si="90"/>
        <v>7.2106500000000002</v>
      </c>
      <c r="E1130" s="29">
        <f t="shared" si="92"/>
        <v>4805405.4054054022</v>
      </c>
      <c r="H1130" s="3">
        <v>142.63</v>
      </c>
      <c r="I1130" s="29">
        <f t="shared" si="89"/>
        <v>110.1294</v>
      </c>
      <c r="J1130" s="29">
        <f t="shared" si="91"/>
        <v>94.909200000000041</v>
      </c>
      <c r="K1130" s="29">
        <f t="shared" si="93"/>
        <v>493358.6994119687</v>
      </c>
    </row>
    <row r="1131" spans="1:11" ht="18" x14ac:dyDescent="0.2">
      <c r="A1131" s="31">
        <v>44361</v>
      </c>
      <c r="B1131" s="30">
        <v>18.600000000000001</v>
      </c>
      <c r="C1131" s="29">
        <f t="shared" si="88"/>
        <v>13.4938</v>
      </c>
      <c r="D1131" s="29">
        <f t="shared" si="90"/>
        <v>7.2908500000000007</v>
      </c>
      <c r="E1131" s="29">
        <f t="shared" si="92"/>
        <v>5027027.027027024</v>
      </c>
      <c r="H1131" s="3">
        <v>131.62</v>
      </c>
      <c r="I1131" s="29">
        <f t="shared" si="89"/>
        <v>111.3862</v>
      </c>
      <c r="J1131" s="29">
        <f t="shared" si="91"/>
        <v>95.221750000000029</v>
      </c>
      <c r="K1131" s="29">
        <f t="shared" si="93"/>
        <v>455274.99135247368</v>
      </c>
    </row>
    <row r="1132" spans="1:11" ht="18" x14ac:dyDescent="0.2">
      <c r="A1132" s="31">
        <v>44368</v>
      </c>
      <c r="B1132" s="30">
        <v>18.989999999999998</v>
      </c>
      <c r="C1132" s="29">
        <f t="shared" si="88"/>
        <v>13.664800000000003</v>
      </c>
      <c r="D1132" s="29">
        <f t="shared" si="90"/>
        <v>7.3700500000000009</v>
      </c>
      <c r="E1132" s="29">
        <f t="shared" si="92"/>
        <v>5132432.432432428</v>
      </c>
      <c r="H1132" s="3">
        <v>137.08000000000001</v>
      </c>
      <c r="I1132" s="29">
        <f t="shared" si="89"/>
        <v>112.4216</v>
      </c>
      <c r="J1132" s="29">
        <f t="shared" si="91"/>
        <v>95.561900000000037</v>
      </c>
      <c r="K1132" s="29">
        <f t="shared" si="93"/>
        <v>474161.18989968923</v>
      </c>
    </row>
    <row r="1133" spans="1:11" ht="18" x14ac:dyDescent="0.2">
      <c r="A1133" s="31">
        <v>44375</v>
      </c>
      <c r="B1133" s="30">
        <v>20.440000000000001</v>
      </c>
      <c r="C1133" s="29">
        <f t="shared" si="88"/>
        <v>13.870200000000002</v>
      </c>
      <c r="D1133" s="29">
        <f t="shared" si="90"/>
        <v>7.4555000000000007</v>
      </c>
      <c r="E1133" s="29">
        <f t="shared" si="92"/>
        <v>5524324.3243243201</v>
      </c>
      <c r="H1133" s="3">
        <v>138.84</v>
      </c>
      <c r="I1133" s="29">
        <f t="shared" si="89"/>
        <v>113.48780000000001</v>
      </c>
      <c r="J1133" s="29">
        <f t="shared" si="91"/>
        <v>95.919350000000037</v>
      </c>
      <c r="K1133" s="29">
        <f t="shared" si="93"/>
        <v>480249.0487720517</v>
      </c>
    </row>
    <row r="1134" spans="1:11" ht="18" x14ac:dyDescent="0.2">
      <c r="A1134" s="31">
        <v>44382</v>
      </c>
      <c r="B1134" s="30">
        <v>20.010000000000002</v>
      </c>
      <c r="C1134" s="29">
        <f t="shared" si="88"/>
        <v>14.067200000000003</v>
      </c>
      <c r="D1134" s="29">
        <f t="shared" si="90"/>
        <v>7.538050000000001</v>
      </c>
      <c r="E1134" s="29">
        <f t="shared" si="92"/>
        <v>5408108.1081081042</v>
      </c>
      <c r="H1134" s="3">
        <v>139.4</v>
      </c>
      <c r="I1134" s="29">
        <f t="shared" si="89"/>
        <v>114.5562</v>
      </c>
      <c r="J1134" s="29">
        <f t="shared" si="91"/>
        <v>96.277300000000054</v>
      </c>
      <c r="K1134" s="29">
        <f t="shared" si="93"/>
        <v>482186.09477689432</v>
      </c>
    </row>
    <row r="1135" spans="1:11" ht="18" x14ac:dyDescent="0.2">
      <c r="A1135" s="31">
        <v>44389</v>
      </c>
      <c r="B1135" s="30">
        <v>18.12</v>
      </c>
      <c r="C1135" s="29">
        <f t="shared" si="88"/>
        <v>14.218000000000002</v>
      </c>
      <c r="D1135" s="29">
        <f t="shared" si="90"/>
        <v>7.6109</v>
      </c>
      <c r="E1135" s="29">
        <f t="shared" si="92"/>
        <v>4897297.2972972933</v>
      </c>
      <c r="H1135" s="3">
        <v>135.94999999999999</v>
      </c>
      <c r="I1135" s="29">
        <f t="shared" si="89"/>
        <v>115.63379999999999</v>
      </c>
      <c r="J1135" s="29">
        <f t="shared" si="91"/>
        <v>96.628800000000069</v>
      </c>
      <c r="K1135" s="29">
        <f t="shared" si="93"/>
        <v>470252.50778277457</v>
      </c>
    </row>
    <row r="1136" spans="1:11" ht="18" x14ac:dyDescent="0.2">
      <c r="A1136" s="31">
        <v>44396</v>
      </c>
      <c r="B1136" s="30">
        <v>19.52</v>
      </c>
      <c r="C1136" s="29">
        <f t="shared" si="88"/>
        <v>14.385200000000005</v>
      </c>
      <c r="D1136" s="29">
        <f t="shared" si="90"/>
        <v>7.6900500000000003</v>
      </c>
      <c r="E1136" s="29">
        <f t="shared" si="92"/>
        <v>5275675.6756756706</v>
      </c>
      <c r="H1136" s="3">
        <v>134.81</v>
      </c>
      <c r="I1136" s="29">
        <f t="shared" si="89"/>
        <v>116.67079999999999</v>
      </c>
      <c r="J1136" s="29">
        <f t="shared" si="91"/>
        <v>96.95745000000008</v>
      </c>
      <c r="K1136" s="29">
        <f t="shared" si="93"/>
        <v>466309.23555863072</v>
      </c>
    </row>
    <row r="1137" spans="1:11" ht="18" x14ac:dyDescent="0.2">
      <c r="A1137" s="31">
        <v>44403</v>
      </c>
      <c r="B1137" s="30">
        <v>19.46</v>
      </c>
      <c r="C1137" s="29">
        <f t="shared" si="88"/>
        <v>14.543800000000003</v>
      </c>
      <c r="D1137" s="29">
        <f t="shared" si="90"/>
        <v>7.7686500000000001</v>
      </c>
      <c r="E1137" s="29">
        <f t="shared" si="92"/>
        <v>5259459.4594594548</v>
      </c>
      <c r="H1137" s="3">
        <v>135.83000000000001</v>
      </c>
      <c r="I1137" s="29">
        <f t="shared" si="89"/>
        <v>117.63739999999999</v>
      </c>
      <c r="J1137" s="29">
        <f t="shared" si="91"/>
        <v>97.294300000000092</v>
      </c>
      <c r="K1137" s="29">
        <f t="shared" si="93"/>
        <v>469837.42649602267</v>
      </c>
    </row>
    <row r="1138" spans="1:11" ht="18" x14ac:dyDescent="0.2">
      <c r="A1138" s="31">
        <v>44410</v>
      </c>
      <c r="B1138" s="30">
        <v>20.32</v>
      </c>
      <c r="C1138" s="29">
        <f t="shared" si="88"/>
        <v>14.697400000000005</v>
      </c>
      <c r="D1138" s="29">
        <f t="shared" si="90"/>
        <v>7.8524000000000003</v>
      </c>
      <c r="E1138" s="29">
        <f t="shared" si="92"/>
        <v>5491891.8918918865</v>
      </c>
      <c r="H1138" s="3">
        <v>140.94999999999999</v>
      </c>
      <c r="I1138" s="29">
        <f t="shared" si="89"/>
        <v>118.5716</v>
      </c>
      <c r="J1138" s="29">
        <f t="shared" si="91"/>
        <v>97.636000000000095</v>
      </c>
      <c r="K1138" s="29">
        <f t="shared" si="93"/>
        <v>487547.56139744079</v>
      </c>
    </row>
    <row r="1139" spans="1:11" ht="18" x14ac:dyDescent="0.2">
      <c r="A1139" s="31">
        <v>44417</v>
      </c>
      <c r="B1139" s="30">
        <v>20.14</v>
      </c>
      <c r="C1139" s="29">
        <f t="shared" ref="C1139:C1202" si="94">AVERAGE(B1090:B1139)</f>
        <v>14.838200000000004</v>
      </c>
      <c r="D1139" s="29">
        <f t="shared" si="90"/>
        <v>7.9349999999999996</v>
      </c>
      <c r="E1139" s="29">
        <f t="shared" si="92"/>
        <v>5443243.243243238</v>
      </c>
      <c r="H1139" s="3">
        <v>143.16999999999999</v>
      </c>
      <c r="I1139" s="29">
        <f t="shared" si="89"/>
        <v>119.69679999999998</v>
      </c>
      <c r="J1139" s="29">
        <f t="shared" si="91"/>
        <v>97.979100000000088</v>
      </c>
      <c r="K1139" s="29">
        <f t="shared" si="93"/>
        <v>495226.56520235265</v>
      </c>
    </row>
    <row r="1140" spans="1:11" ht="18" x14ac:dyDescent="0.2">
      <c r="A1140" s="31">
        <v>44424</v>
      </c>
      <c r="B1140" s="30">
        <v>20.77</v>
      </c>
      <c r="C1140" s="29">
        <f t="shared" si="94"/>
        <v>15.002000000000001</v>
      </c>
      <c r="D1140" s="29">
        <f t="shared" si="90"/>
        <v>8.0184999999999995</v>
      </c>
      <c r="E1140" s="29">
        <f t="shared" si="92"/>
        <v>5613513.5135135083</v>
      </c>
      <c r="H1140" s="3">
        <v>138.46</v>
      </c>
      <c r="I1140" s="29">
        <f t="shared" ref="I1140:I1203" si="95">AVERAGE(H1090:H1139)</f>
        <v>120.77159999999999</v>
      </c>
      <c r="J1140" s="29">
        <f t="shared" si="91"/>
        <v>98.302950000000067</v>
      </c>
      <c r="K1140" s="29">
        <f t="shared" si="93"/>
        <v>478934.62469733716</v>
      </c>
    </row>
    <row r="1141" spans="1:11" ht="18" x14ac:dyDescent="0.2">
      <c r="A1141" s="31">
        <v>44431</v>
      </c>
      <c r="B1141" s="30">
        <v>22.59</v>
      </c>
      <c r="C1141" s="29">
        <f t="shared" si="94"/>
        <v>15.211200000000002</v>
      </c>
      <c r="D1141" s="29">
        <f t="shared" si="90"/>
        <v>8.1106999999999996</v>
      </c>
      <c r="E1141" s="29">
        <f t="shared" si="92"/>
        <v>6105405.4054054003</v>
      </c>
      <c r="H1141" s="3">
        <v>145.91999999999999</v>
      </c>
      <c r="I1141" s="29">
        <f t="shared" si="95"/>
        <v>121.73919999999998</v>
      </c>
      <c r="J1141" s="29">
        <f t="shared" si="91"/>
        <v>98.669550000000058</v>
      </c>
      <c r="K1141" s="29">
        <f t="shared" si="93"/>
        <v>504738.84469041915</v>
      </c>
    </row>
    <row r="1142" spans="1:11" ht="18" x14ac:dyDescent="0.2">
      <c r="A1142" s="31">
        <v>44438</v>
      </c>
      <c r="B1142" s="30">
        <v>22.79</v>
      </c>
      <c r="C1142" s="29">
        <f t="shared" si="94"/>
        <v>15.424000000000001</v>
      </c>
      <c r="D1142" s="29">
        <f t="shared" si="90"/>
        <v>8.2040000000000006</v>
      </c>
      <c r="E1142" s="29">
        <f t="shared" si="92"/>
        <v>6159459.4594594548</v>
      </c>
      <c r="H1142" s="3">
        <v>142.72999999999999</v>
      </c>
      <c r="I1142" s="29">
        <f t="shared" si="95"/>
        <v>122.89859999999999</v>
      </c>
      <c r="J1142" s="29">
        <f t="shared" si="91"/>
        <v>99.009150000000048</v>
      </c>
      <c r="K1142" s="29">
        <f t="shared" si="93"/>
        <v>493704.6004842621</v>
      </c>
    </row>
    <row r="1143" spans="1:11" ht="18" x14ac:dyDescent="0.2">
      <c r="A1143" s="31">
        <v>44445</v>
      </c>
      <c r="B1143" s="30">
        <v>22.43</v>
      </c>
      <c r="C1143" s="29">
        <f t="shared" si="94"/>
        <v>15.616000000000001</v>
      </c>
      <c r="D1143" s="29">
        <f t="shared" si="90"/>
        <v>8.2968999999999991</v>
      </c>
      <c r="E1143" s="29">
        <f t="shared" si="92"/>
        <v>6062162.1621621577</v>
      </c>
      <c r="H1143" s="3">
        <v>140.83000000000001</v>
      </c>
      <c r="I1143" s="29">
        <f t="shared" si="95"/>
        <v>124.04159999999997</v>
      </c>
      <c r="J1143" s="29">
        <f t="shared" si="91"/>
        <v>99.348200000000048</v>
      </c>
      <c r="K1143" s="29">
        <f t="shared" si="93"/>
        <v>487132.48011068901</v>
      </c>
    </row>
    <row r="1144" spans="1:11" ht="18" x14ac:dyDescent="0.2">
      <c r="A1144" s="31">
        <v>44452</v>
      </c>
      <c r="B1144" s="30">
        <v>21.86</v>
      </c>
      <c r="C1144" s="29">
        <f t="shared" si="94"/>
        <v>15.792800000000002</v>
      </c>
      <c r="D1144" s="29">
        <f t="shared" si="90"/>
        <v>8.3862499999999986</v>
      </c>
      <c r="E1144" s="29">
        <f t="shared" si="92"/>
        <v>5908108.1081081042</v>
      </c>
      <c r="H1144" s="3">
        <v>141.11000000000001</v>
      </c>
      <c r="I1144" s="29">
        <f t="shared" si="95"/>
        <v>125.23139999999998</v>
      </c>
      <c r="J1144" s="29">
        <f t="shared" si="91"/>
        <v>99.691350000000057</v>
      </c>
      <c r="K1144" s="29">
        <f t="shared" si="93"/>
        <v>488101.00311311026</v>
      </c>
    </row>
    <row r="1145" spans="1:11" ht="18" x14ac:dyDescent="0.2">
      <c r="A1145" s="31">
        <v>44459</v>
      </c>
      <c r="B1145" s="30">
        <v>22.04</v>
      </c>
      <c r="C1145" s="29">
        <f t="shared" si="94"/>
        <v>15.959200000000001</v>
      </c>
      <c r="D1145" s="29">
        <f t="shared" si="90"/>
        <v>8.4762499999999985</v>
      </c>
      <c r="E1145" s="29">
        <f t="shared" si="92"/>
        <v>5956756.7567567527</v>
      </c>
      <c r="H1145" s="3">
        <v>145.91</v>
      </c>
      <c r="I1145" s="29">
        <f t="shared" si="95"/>
        <v>126.34999999999997</v>
      </c>
      <c r="J1145" s="29">
        <f t="shared" si="91"/>
        <v>100.05390000000007</v>
      </c>
      <c r="K1145" s="29">
        <f t="shared" si="93"/>
        <v>504704.25458318973</v>
      </c>
    </row>
    <row r="1146" spans="1:11" ht="18" x14ac:dyDescent="0.2">
      <c r="A1146" s="31">
        <v>44466</v>
      </c>
      <c r="B1146" s="30">
        <v>20.7</v>
      </c>
      <c r="C1146" s="29">
        <f t="shared" si="94"/>
        <v>16.097799999999999</v>
      </c>
      <c r="D1146" s="29">
        <f t="shared" si="90"/>
        <v>8.5586999999999982</v>
      </c>
      <c r="E1146" s="29">
        <f t="shared" si="92"/>
        <v>5594594.5945945913</v>
      </c>
      <c r="H1146" s="3">
        <v>149.57</v>
      </c>
      <c r="I1146" s="29">
        <f t="shared" si="95"/>
        <v>127.50699999999995</v>
      </c>
      <c r="J1146" s="29">
        <f t="shared" si="91"/>
        <v>100.43550000000006</v>
      </c>
      <c r="K1146" s="29">
        <f t="shared" si="93"/>
        <v>517364.23382912541</v>
      </c>
    </row>
    <row r="1147" spans="1:11" ht="18" x14ac:dyDescent="0.2">
      <c r="A1147" s="31">
        <v>44473</v>
      </c>
      <c r="B1147" s="30">
        <v>20.79</v>
      </c>
      <c r="C1147" s="29">
        <f t="shared" si="94"/>
        <v>16.242599999999999</v>
      </c>
      <c r="D1147" s="29">
        <f t="shared" si="90"/>
        <v>8.6403999999999979</v>
      </c>
      <c r="E1147" s="29">
        <f t="shared" si="92"/>
        <v>5618918.918918916</v>
      </c>
      <c r="H1147" s="3">
        <v>152.34</v>
      </c>
      <c r="I1147" s="29">
        <f t="shared" si="95"/>
        <v>128.71539999999996</v>
      </c>
      <c r="J1147" s="29">
        <f t="shared" si="91"/>
        <v>100.83130000000004</v>
      </c>
      <c r="K1147" s="29">
        <f t="shared" si="93"/>
        <v>526945.69353165058</v>
      </c>
    </row>
    <row r="1148" spans="1:11" ht="18" x14ac:dyDescent="0.2">
      <c r="A1148" s="31">
        <v>44480</v>
      </c>
      <c r="B1148" s="30">
        <v>21.82</v>
      </c>
      <c r="C1148" s="29">
        <f t="shared" si="94"/>
        <v>16.429000000000002</v>
      </c>
      <c r="D1148" s="29">
        <f t="shared" si="90"/>
        <v>8.7273999999999976</v>
      </c>
      <c r="E1148" s="29">
        <f t="shared" si="92"/>
        <v>5897297.2972972943</v>
      </c>
      <c r="H1148" s="3">
        <v>150</v>
      </c>
      <c r="I1148" s="29">
        <f t="shared" si="95"/>
        <v>129.93879999999996</v>
      </c>
      <c r="J1148" s="29">
        <f t="shared" si="91"/>
        <v>101.20255000000004</v>
      </c>
      <c r="K1148" s="29">
        <f t="shared" si="93"/>
        <v>518851.60843998677</v>
      </c>
    </row>
    <row r="1149" spans="1:11" ht="18" x14ac:dyDescent="0.2">
      <c r="A1149" s="31">
        <v>44487</v>
      </c>
      <c r="B1149" s="30">
        <v>22.68</v>
      </c>
      <c r="C1149" s="29">
        <f t="shared" si="94"/>
        <v>16.592200000000002</v>
      </c>
      <c r="D1149" s="29">
        <f t="shared" si="90"/>
        <v>8.8186999999999998</v>
      </c>
      <c r="E1149" s="29">
        <f t="shared" si="92"/>
        <v>6129729.729729726</v>
      </c>
      <c r="H1149" s="3">
        <v>154.66</v>
      </c>
      <c r="I1149" s="29">
        <f t="shared" si="95"/>
        <v>131.21659999999997</v>
      </c>
      <c r="J1149" s="29">
        <f t="shared" si="91"/>
        <v>101.59440000000006</v>
      </c>
      <c r="K1149" s="29">
        <f t="shared" si="93"/>
        <v>534970.59840885573</v>
      </c>
    </row>
    <row r="1150" spans="1:11" ht="18" x14ac:dyDescent="0.2">
      <c r="A1150" s="31">
        <v>44494</v>
      </c>
      <c r="B1150" s="30">
        <v>25.52</v>
      </c>
      <c r="C1150" s="29">
        <f t="shared" si="94"/>
        <v>16.837399999999999</v>
      </c>
      <c r="D1150" s="29">
        <f t="shared" si="90"/>
        <v>8.9222499999999982</v>
      </c>
      <c r="E1150" s="29">
        <f t="shared" si="92"/>
        <v>6897297.2972972933</v>
      </c>
      <c r="H1150" s="3">
        <v>152.96</v>
      </c>
      <c r="I1150" s="29">
        <f t="shared" si="95"/>
        <v>132.50119999999995</v>
      </c>
      <c r="J1150" s="29">
        <f t="shared" si="91"/>
        <v>101.97410000000005</v>
      </c>
      <c r="K1150" s="29">
        <f t="shared" si="93"/>
        <v>529090.28017986927</v>
      </c>
    </row>
    <row r="1151" spans="1:11" ht="18" x14ac:dyDescent="0.2">
      <c r="A1151" s="31">
        <v>44501</v>
      </c>
      <c r="B1151" s="30">
        <v>29.69</v>
      </c>
      <c r="C1151" s="29">
        <f t="shared" si="94"/>
        <v>17.170200000000001</v>
      </c>
      <c r="D1151" s="29">
        <f t="shared" si="90"/>
        <v>9.0464000000000002</v>
      </c>
      <c r="E1151" s="29">
        <f t="shared" si="92"/>
        <v>8024324.3243243201</v>
      </c>
      <c r="H1151" s="3">
        <v>151.30000000000001</v>
      </c>
      <c r="I1151" s="29">
        <f t="shared" si="95"/>
        <v>133.55659999999997</v>
      </c>
      <c r="J1151" s="29">
        <f t="shared" si="91"/>
        <v>102.33085000000004</v>
      </c>
      <c r="K1151" s="29">
        <f t="shared" si="93"/>
        <v>523348.32237980008</v>
      </c>
    </row>
    <row r="1152" spans="1:11" ht="18" x14ac:dyDescent="0.2">
      <c r="A1152" s="31">
        <v>44508</v>
      </c>
      <c r="B1152" s="30">
        <v>30.33</v>
      </c>
      <c r="C1152" s="29">
        <f t="shared" si="94"/>
        <v>17.5124</v>
      </c>
      <c r="D1152" s="29">
        <f t="shared" si="90"/>
        <v>9.173099999999998</v>
      </c>
      <c r="E1152" s="29">
        <f t="shared" si="92"/>
        <v>8197297.2972972915</v>
      </c>
      <c r="H1152" s="3">
        <v>150.22999999999999</v>
      </c>
      <c r="I1152" s="29">
        <f t="shared" si="95"/>
        <v>134.57019999999997</v>
      </c>
      <c r="J1152" s="29">
        <f t="shared" si="91"/>
        <v>102.67315000000004</v>
      </c>
      <c r="K1152" s="29">
        <f t="shared" si="93"/>
        <v>519647.18090626143</v>
      </c>
    </row>
    <row r="1153" spans="1:11" ht="18" x14ac:dyDescent="0.2">
      <c r="A1153" s="31">
        <v>44515</v>
      </c>
      <c r="B1153" s="30">
        <v>32.92</v>
      </c>
      <c r="C1153" s="29">
        <f t="shared" si="94"/>
        <v>17.900400000000001</v>
      </c>
      <c r="D1153" s="29">
        <f t="shared" si="90"/>
        <v>9.3109999999999982</v>
      </c>
      <c r="E1153" s="29">
        <f t="shared" si="92"/>
        <v>8897297.2972972915</v>
      </c>
      <c r="H1153" s="3">
        <v>144.88</v>
      </c>
      <c r="I1153" s="29">
        <f t="shared" si="95"/>
        <v>135.44559999999996</v>
      </c>
      <c r="J1153" s="29">
        <f t="shared" si="91"/>
        <v>103.00585000000005</v>
      </c>
      <c r="K1153" s="29">
        <f t="shared" si="93"/>
        <v>501141.47353856859</v>
      </c>
    </row>
    <row r="1154" spans="1:11" ht="18" x14ac:dyDescent="0.2">
      <c r="A1154" s="31">
        <v>44522</v>
      </c>
      <c r="B1154" s="30">
        <v>31.44</v>
      </c>
      <c r="C1154" s="29">
        <f t="shared" si="94"/>
        <v>18.269600000000001</v>
      </c>
      <c r="D1154" s="29">
        <f t="shared" si="90"/>
        <v>9.4420999999999982</v>
      </c>
      <c r="E1154" s="29">
        <f t="shared" si="92"/>
        <v>8497297.2972972915</v>
      </c>
      <c r="H1154" s="3">
        <v>145.79</v>
      </c>
      <c r="I1154" s="29">
        <f t="shared" si="95"/>
        <v>136.1942</v>
      </c>
      <c r="J1154" s="29">
        <f t="shared" si="91"/>
        <v>103.34055000000006</v>
      </c>
      <c r="K1154" s="29">
        <f t="shared" si="93"/>
        <v>504289.17329643777</v>
      </c>
    </row>
    <row r="1155" spans="1:11" ht="18" x14ac:dyDescent="0.2">
      <c r="A1155" s="31">
        <v>44529</v>
      </c>
      <c r="B1155" s="30">
        <v>30.63</v>
      </c>
      <c r="C1155" s="29">
        <f t="shared" si="94"/>
        <v>18.6174</v>
      </c>
      <c r="D1155" s="29">
        <f t="shared" si="90"/>
        <v>9.5684500000000003</v>
      </c>
      <c r="E1155" s="29">
        <f t="shared" si="92"/>
        <v>8278378.3783783717</v>
      </c>
      <c r="H1155" s="3">
        <v>142.51</v>
      </c>
      <c r="I1155" s="29">
        <f t="shared" si="95"/>
        <v>137.00979999999996</v>
      </c>
      <c r="J1155" s="29">
        <f t="shared" si="91"/>
        <v>103.65815000000003</v>
      </c>
      <c r="K1155" s="29">
        <f t="shared" si="93"/>
        <v>492943.61812521674</v>
      </c>
    </row>
    <row r="1156" spans="1:11" ht="18" x14ac:dyDescent="0.2">
      <c r="A1156" s="31">
        <v>44536</v>
      </c>
      <c r="B1156" s="30">
        <v>30.14</v>
      </c>
      <c r="C1156" s="29">
        <f t="shared" si="94"/>
        <v>18.960999999999999</v>
      </c>
      <c r="D1156" s="29">
        <f t="shared" si="90"/>
        <v>9.694700000000001</v>
      </c>
      <c r="E1156" s="29">
        <f t="shared" si="92"/>
        <v>8145945.94594594</v>
      </c>
      <c r="H1156" s="3">
        <v>143.88999999999999</v>
      </c>
      <c r="I1156" s="29">
        <f t="shared" si="95"/>
        <v>137.76839999999996</v>
      </c>
      <c r="J1156" s="29">
        <f t="shared" si="91"/>
        <v>103.95665000000004</v>
      </c>
      <c r="K1156" s="29">
        <f t="shared" si="93"/>
        <v>497717.05292286462</v>
      </c>
    </row>
    <row r="1157" spans="1:11" ht="18" x14ac:dyDescent="0.2">
      <c r="A1157" s="31">
        <v>44543</v>
      </c>
      <c r="B1157" s="30">
        <v>27.75</v>
      </c>
      <c r="C1157" s="29">
        <f t="shared" si="94"/>
        <v>19.255600000000001</v>
      </c>
      <c r="D1157" s="29">
        <f t="shared" si="90"/>
        <v>9.809800000000001</v>
      </c>
      <c r="E1157" s="29">
        <f t="shared" si="92"/>
        <v>7499999.9999999935</v>
      </c>
      <c r="H1157" s="3">
        <v>141.13999999999999</v>
      </c>
      <c r="I1157" s="29">
        <f t="shared" si="95"/>
        <v>138.45899999999997</v>
      </c>
      <c r="J1157" s="29">
        <f t="shared" si="91"/>
        <v>104.23680000000004</v>
      </c>
      <c r="K1157" s="29">
        <f t="shared" si="93"/>
        <v>488204.77343479823</v>
      </c>
    </row>
    <row r="1158" spans="1:11" ht="18" x14ac:dyDescent="0.2">
      <c r="A1158" s="31">
        <v>44550</v>
      </c>
      <c r="B1158" s="30">
        <v>29.58</v>
      </c>
      <c r="C1158" s="29">
        <f t="shared" si="94"/>
        <v>19.5824</v>
      </c>
      <c r="D1158" s="29">
        <f t="shared" si="90"/>
        <v>9.9339999999999993</v>
      </c>
      <c r="E1158" s="29">
        <f t="shared" si="92"/>
        <v>7994594.5945945866</v>
      </c>
      <c r="H1158" s="3">
        <v>141.59</v>
      </c>
      <c r="I1158" s="29">
        <f t="shared" si="95"/>
        <v>139.0498</v>
      </c>
      <c r="J1158" s="29">
        <f t="shared" si="91"/>
        <v>104.51835000000004</v>
      </c>
      <c r="K1158" s="29">
        <f t="shared" si="93"/>
        <v>489761.32826011826</v>
      </c>
    </row>
    <row r="1159" spans="1:11" ht="18" x14ac:dyDescent="0.2">
      <c r="A1159" s="31">
        <v>44557</v>
      </c>
      <c r="B1159" s="30">
        <v>29.36</v>
      </c>
      <c r="C1159" s="29">
        <f t="shared" si="94"/>
        <v>19.9132</v>
      </c>
      <c r="D1159" s="29">
        <f t="shared" si="90"/>
        <v>10.056649999999998</v>
      </c>
      <c r="E1159" s="29">
        <f t="shared" si="92"/>
        <v>7935135.1351351272</v>
      </c>
      <c r="H1159" s="3">
        <v>142.57</v>
      </c>
      <c r="I1159" s="29">
        <f t="shared" si="95"/>
        <v>139.4924</v>
      </c>
      <c r="J1159" s="29">
        <f t="shared" si="91"/>
        <v>104.79955000000004</v>
      </c>
      <c r="K1159" s="29">
        <f t="shared" si="93"/>
        <v>493151.15876859281</v>
      </c>
    </row>
    <row r="1160" spans="1:11" ht="18" x14ac:dyDescent="0.2">
      <c r="A1160" s="31">
        <v>44564</v>
      </c>
      <c r="B1160" s="30">
        <v>27.2</v>
      </c>
      <c r="C1160" s="29">
        <f t="shared" si="94"/>
        <v>20.183800000000002</v>
      </c>
      <c r="D1160" s="29">
        <f t="shared" si="90"/>
        <v>10.165999999999999</v>
      </c>
      <c r="E1160" s="29">
        <f t="shared" si="92"/>
        <v>7351351.351351344</v>
      </c>
      <c r="H1160" s="3">
        <v>150.5</v>
      </c>
      <c r="I1160" s="29">
        <f t="shared" si="95"/>
        <v>139.89099999999999</v>
      </c>
      <c r="J1160" s="29">
        <f t="shared" si="91"/>
        <v>105.11685000000003</v>
      </c>
      <c r="K1160" s="29">
        <f t="shared" si="93"/>
        <v>520581.11380145344</v>
      </c>
    </row>
    <row r="1161" spans="1:11" ht="18" x14ac:dyDescent="0.2">
      <c r="A1161" s="31">
        <v>44571</v>
      </c>
      <c r="B1161" s="30">
        <v>26.89</v>
      </c>
      <c r="C1161" s="29">
        <f t="shared" si="94"/>
        <v>20.462599999999998</v>
      </c>
      <c r="D1161" s="29">
        <f t="shared" ref="D1161:D1224" si="96">AVERAGE(B962:B1161)</f>
        <v>10.272899999999998</v>
      </c>
      <c r="E1161" s="29">
        <f t="shared" si="92"/>
        <v>7267567.5675675599</v>
      </c>
      <c r="H1161" s="3">
        <v>143.01</v>
      </c>
      <c r="I1161" s="29">
        <f t="shared" si="95"/>
        <v>140.53399999999999</v>
      </c>
      <c r="J1161" s="29">
        <f t="shared" ref="J1161:J1224" si="97">AVERAGE(H962:H1161)</f>
        <v>105.37695000000004</v>
      </c>
      <c r="K1161" s="29">
        <f t="shared" si="93"/>
        <v>494673.12348668341</v>
      </c>
    </row>
    <row r="1162" spans="1:11" ht="18" x14ac:dyDescent="0.2">
      <c r="A1162" s="31">
        <v>44578</v>
      </c>
      <c r="B1162" s="30">
        <v>23.33</v>
      </c>
      <c r="C1162" s="29">
        <f t="shared" si="94"/>
        <v>20.658200000000001</v>
      </c>
      <c r="D1162" s="29">
        <f t="shared" si="96"/>
        <v>10.359449999999997</v>
      </c>
      <c r="E1162" s="29">
        <f t="shared" ref="E1162:E1225" si="98">IF( C1162&gt;D1162,E1161*B1162/B1161,100000)</f>
        <v>6305405.4054053985</v>
      </c>
      <c r="H1162" s="3">
        <v>131.4</v>
      </c>
      <c r="I1162" s="29">
        <f t="shared" si="95"/>
        <v>141.11779999999999</v>
      </c>
      <c r="J1162" s="29">
        <f t="shared" si="97"/>
        <v>105.56425000000004</v>
      </c>
      <c r="K1162" s="29">
        <f t="shared" ref="K1162:K1225" si="99">IF(I1162&gt;J1162,K1161*H1162/H1161,100000)</f>
        <v>454514.00899342849</v>
      </c>
    </row>
    <row r="1163" spans="1:11" ht="18" x14ac:dyDescent="0.2">
      <c r="A1163" s="31">
        <v>44585</v>
      </c>
      <c r="B1163" s="30">
        <v>22.8</v>
      </c>
      <c r="C1163" s="29">
        <f t="shared" si="94"/>
        <v>20.815800000000003</v>
      </c>
      <c r="D1163" s="29">
        <f t="shared" si="96"/>
        <v>10.444600000000001</v>
      </c>
      <c r="E1163" s="29">
        <f t="shared" si="98"/>
        <v>6162162.1621621568</v>
      </c>
      <c r="H1163" s="3">
        <v>132.79</v>
      </c>
      <c r="I1163" s="29">
        <f t="shared" si="95"/>
        <v>141.30459999999999</v>
      </c>
      <c r="J1163" s="29">
        <f t="shared" si="97"/>
        <v>105.76675000000004</v>
      </c>
      <c r="K1163" s="29">
        <f t="shared" si="99"/>
        <v>459322.03389830567</v>
      </c>
    </row>
    <row r="1164" spans="1:11" ht="18" x14ac:dyDescent="0.2">
      <c r="A1164" s="31">
        <v>44592</v>
      </c>
      <c r="B1164" s="30">
        <v>24.27</v>
      </c>
      <c r="C1164" s="29">
        <f t="shared" si="94"/>
        <v>21.003400000000003</v>
      </c>
      <c r="D1164" s="29">
        <f t="shared" si="96"/>
        <v>10.5358</v>
      </c>
      <c r="E1164" s="29">
        <f t="shared" si="98"/>
        <v>6559459.4594594529</v>
      </c>
      <c r="H1164" s="3">
        <v>138.18</v>
      </c>
      <c r="I1164" s="29">
        <f t="shared" si="95"/>
        <v>141.4614</v>
      </c>
      <c r="J1164" s="29">
        <f t="shared" si="97"/>
        <v>105.99455000000003</v>
      </c>
      <c r="K1164" s="29">
        <f t="shared" si="99"/>
        <v>477966.10169491591</v>
      </c>
    </row>
    <row r="1165" spans="1:11" ht="18" x14ac:dyDescent="0.2">
      <c r="A1165" s="31">
        <v>44599</v>
      </c>
      <c r="B1165" s="30">
        <v>23.9</v>
      </c>
      <c r="C1165" s="29">
        <f t="shared" si="94"/>
        <v>21.207800000000006</v>
      </c>
      <c r="D1165" s="29">
        <f t="shared" si="96"/>
        <v>10.6249</v>
      </c>
      <c r="E1165" s="29">
        <f t="shared" si="98"/>
        <v>6459459.4594594529</v>
      </c>
      <c r="H1165" s="3">
        <v>139.41</v>
      </c>
      <c r="I1165" s="29">
        <f t="shared" si="95"/>
        <v>141.6062</v>
      </c>
      <c r="J1165" s="29">
        <f t="shared" si="97"/>
        <v>106.21790000000003</v>
      </c>
      <c r="K1165" s="29">
        <f t="shared" si="99"/>
        <v>482220.68488412374</v>
      </c>
    </row>
    <row r="1166" spans="1:11" ht="18" x14ac:dyDescent="0.2">
      <c r="A1166" s="31">
        <v>44606</v>
      </c>
      <c r="B1166" s="30">
        <v>23.6</v>
      </c>
      <c r="C1166" s="29">
        <f t="shared" si="94"/>
        <v>21.431200000000004</v>
      </c>
      <c r="D1166" s="29">
        <f t="shared" si="96"/>
        <v>10.713649999999999</v>
      </c>
      <c r="E1166" s="29">
        <f t="shared" si="98"/>
        <v>6378378.3783783726</v>
      </c>
      <c r="H1166" s="3">
        <v>137.80000000000001</v>
      </c>
      <c r="I1166" s="29">
        <f t="shared" si="95"/>
        <v>141.79059999999998</v>
      </c>
      <c r="J1166" s="29">
        <f t="shared" si="97"/>
        <v>106.44930000000004</v>
      </c>
      <c r="K1166" s="29">
        <f t="shared" si="99"/>
        <v>476651.67762020126</v>
      </c>
    </row>
    <row r="1167" spans="1:11" ht="18" x14ac:dyDescent="0.2">
      <c r="A1167" s="31">
        <v>44613</v>
      </c>
      <c r="B1167" s="30">
        <v>24.11</v>
      </c>
      <c r="C1167" s="29">
        <f t="shared" si="94"/>
        <v>21.656999999999996</v>
      </c>
      <c r="D1167" s="29">
        <f t="shared" si="96"/>
        <v>10.803850000000001</v>
      </c>
      <c r="E1167" s="29">
        <f t="shared" si="98"/>
        <v>6516216.2162162093</v>
      </c>
      <c r="H1167" s="3">
        <v>134.02000000000001</v>
      </c>
      <c r="I1167" s="29">
        <f t="shared" si="95"/>
        <v>141.8768</v>
      </c>
      <c r="J1167" s="29">
        <f t="shared" si="97"/>
        <v>106.64275000000004</v>
      </c>
      <c r="K1167" s="29">
        <f t="shared" si="99"/>
        <v>463576.61708751356</v>
      </c>
    </row>
    <row r="1168" spans="1:11" ht="18" x14ac:dyDescent="0.2">
      <c r="A1168" s="31">
        <v>44620</v>
      </c>
      <c r="B1168" s="30">
        <v>22.89</v>
      </c>
      <c r="C1168" s="29">
        <f t="shared" si="94"/>
        <v>21.858600000000003</v>
      </c>
      <c r="D1168" s="29">
        <f t="shared" si="96"/>
        <v>10.887299999999998</v>
      </c>
      <c r="E1168" s="29">
        <f t="shared" si="98"/>
        <v>6186486.4864864806</v>
      </c>
      <c r="H1168" s="3">
        <v>121.73</v>
      </c>
      <c r="I1168" s="29">
        <f t="shared" si="95"/>
        <v>141.7946</v>
      </c>
      <c r="J1168" s="29">
        <f t="shared" si="97"/>
        <v>106.78525000000003</v>
      </c>
      <c r="K1168" s="29">
        <f t="shared" si="99"/>
        <v>421065.37530266395</v>
      </c>
    </row>
    <row r="1169" spans="1:11" ht="18" x14ac:dyDescent="0.2">
      <c r="A1169" s="31">
        <v>44627</v>
      </c>
      <c r="B1169" s="30">
        <v>22.06</v>
      </c>
      <c r="C1169" s="29">
        <f t="shared" si="94"/>
        <v>22.043600000000001</v>
      </c>
      <c r="D1169" s="29">
        <f t="shared" si="96"/>
        <v>10.968799999999998</v>
      </c>
      <c r="E1169" s="29">
        <f t="shared" si="98"/>
        <v>5962162.1621621558</v>
      </c>
      <c r="H1169" s="3">
        <v>116.74</v>
      </c>
      <c r="I1169" s="29">
        <f t="shared" si="95"/>
        <v>141.48440000000002</v>
      </c>
      <c r="J1169" s="29">
        <f t="shared" si="97"/>
        <v>106.93685000000005</v>
      </c>
      <c r="K1169" s="29">
        <f t="shared" si="99"/>
        <v>403804.91179522703</v>
      </c>
    </row>
    <row r="1170" spans="1:11" ht="18" x14ac:dyDescent="0.2">
      <c r="A1170" s="31">
        <v>44634</v>
      </c>
      <c r="B1170" s="30">
        <v>26.41</v>
      </c>
      <c r="C1170" s="29">
        <f t="shared" si="94"/>
        <v>22.296200000000002</v>
      </c>
      <c r="D1170" s="29">
        <f t="shared" si="96"/>
        <v>11.072199999999995</v>
      </c>
      <c r="E1170" s="29">
        <f t="shared" si="98"/>
        <v>7137837.8378378302</v>
      </c>
      <c r="H1170" s="3">
        <v>126.89</v>
      </c>
      <c r="I1170" s="29">
        <f t="shared" si="95"/>
        <v>141.0754</v>
      </c>
      <c r="J1170" s="29">
        <f t="shared" si="97"/>
        <v>107.12725000000005</v>
      </c>
      <c r="K1170" s="29">
        <f t="shared" si="99"/>
        <v>438913.87063299952</v>
      </c>
    </row>
    <row r="1171" spans="1:11" ht="18" x14ac:dyDescent="0.2">
      <c r="A1171" s="31">
        <v>44641</v>
      </c>
      <c r="B1171" s="30">
        <v>27.64</v>
      </c>
      <c r="C1171" s="29">
        <f t="shared" si="94"/>
        <v>22.561600000000009</v>
      </c>
      <c r="D1171" s="29">
        <f t="shared" si="96"/>
        <v>11.183899999999996</v>
      </c>
      <c r="E1171" s="29">
        <f t="shared" si="98"/>
        <v>7470270.2702702628</v>
      </c>
      <c r="H1171" s="3">
        <v>128.54</v>
      </c>
      <c r="I1171" s="29">
        <f t="shared" si="95"/>
        <v>140.8938</v>
      </c>
      <c r="J1171" s="29">
        <f t="shared" si="97"/>
        <v>107.32945000000005</v>
      </c>
      <c r="K1171" s="29">
        <f t="shared" si="99"/>
        <v>444621.23832583934</v>
      </c>
    </row>
    <row r="1172" spans="1:11" ht="18" x14ac:dyDescent="0.2">
      <c r="A1172" s="31">
        <v>44648</v>
      </c>
      <c r="B1172" s="30">
        <v>26.67</v>
      </c>
      <c r="C1172" s="29">
        <f t="shared" si="94"/>
        <v>22.777600000000007</v>
      </c>
      <c r="D1172" s="29">
        <f t="shared" si="96"/>
        <v>11.288599999999995</v>
      </c>
      <c r="E1172" s="29">
        <f t="shared" si="98"/>
        <v>7208108.1081081014</v>
      </c>
      <c r="H1172" s="3">
        <v>122.55</v>
      </c>
      <c r="I1172" s="29">
        <f t="shared" si="95"/>
        <v>140.6996</v>
      </c>
      <c r="J1172" s="29">
        <f t="shared" si="97"/>
        <v>107.49455000000003</v>
      </c>
      <c r="K1172" s="29">
        <f t="shared" si="99"/>
        <v>423901.7640954692</v>
      </c>
    </row>
    <row r="1173" spans="1:11" ht="18" x14ac:dyDescent="0.2">
      <c r="A1173" s="31">
        <v>44655</v>
      </c>
      <c r="B1173" s="30">
        <v>23.08</v>
      </c>
      <c r="C1173" s="29">
        <f t="shared" si="94"/>
        <v>22.93460000000001</v>
      </c>
      <c r="D1173" s="29">
        <f t="shared" si="96"/>
        <v>11.375999999999994</v>
      </c>
      <c r="E1173" s="29">
        <f t="shared" si="98"/>
        <v>6237837.8378378311</v>
      </c>
      <c r="H1173" s="3">
        <v>120.91</v>
      </c>
      <c r="I1173" s="29">
        <f t="shared" si="95"/>
        <v>140.42240000000001</v>
      </c>
      <c r="J1173" s="29">
        <f t="shared" si="97"/>
        <v>107.65510000000003</v>
      </c>
      <c r="K1173" s="29">
        <f t="shared" si="99"/>
        <v>418228.98650985869</v>
      </c>
    </row>
    <row r="1174" spans="1:11" ht="18" x14ac:dyDescent="0.2">
      <c r="A1174" s="31">
        <v>44662</v>
      </c>
      <c r="B1174" s="30">
        <v>21.22</v>
      </c>
      <c r="C1174" s="29">
        <f t="shared" si="94"/>
        <v>23.05960000000001</v>
      </c>
      <c r="D1174" s="29">
        <f t="shared" si="96"/>
        <v>11.450599999999994</v>
      </c>
      <c r="E1174" s="29">
        <f t="shared" si="98"/>
        <v>5735135.1351351291</v>
      </c>
      <c r="H1174" s="3">
        <v>115.08</v>
      </c>
      <c r="I1174" s="29">
        <f t="shared" si="95"/>
        <v>140.16780000000003</v>
      </c>
      <c r="J1174" s="29">
        <f t="shared" si="97"/>
        <v>107.76840000000004</v>
      </c>
      <c r="K1174" s="29">
        <f t="shared" si="99"/>
        <v>398062.95399515785</v>
      </c>
    </row>
    <row r="1175" spans="1:11" ht="18" x14ac:dyDescent="0.2">
      <c r="A1175" s="31">
        <v>44669</v>
      </c>
      <c r="B1175" s="30">
        <v>19.48</v>
      </c>
      <c r="C1175" s="29">
        <f t="shared" si="94"/>
        <v>23.153600000000004</v>
      </c>
      <c r="D1175" s="29">
        <f t="shared" si="96"/>
        <v>11.517149999999992</v>
      </c>
      <c r="E1175" s="29">
        <f t="shared" si="98"/>
        <v>5264864.8648648597</v>
      </c>
      <c r="H1175" s="3">
        <v>115.71</v>
      </c>
      <c r="I1175" s="29">
        <f t="shared" si="95"/>
        <v>139.73220000000003</v>
      </c>
      <c r="J1175" s="29">
        <f t="shared" si="97"/>
        <v>107.89785000000003</v>
      </c>
      <c r="K1175" s="29">
        <f t="shared" si="99"/>
        <v>400242.13075060578</v>
      </c>
    </row>
    <row r="1176" spans="1:11" ht="18" x14ac:dyDescent="0.2">
      <c r="A1176" s="31">
        <v>44676</v>
      </c>
      <c r="B1176" s="30">
        <v>18.52</v>
      </c>
      <c r="C1176" s="29">
        <f t="shared" si="94"/>
        <v>23.239800000000006</v>
      </c>
      <c r="D1176" s="29">
        <f t="shared" si="96"/>
        <v>11.577849999999991</v>
      </c>
      <c r="E1176" s="29">
        <f t="shared" si="98"/>
        <v>5005405.4054054003</v>
      </c>
      <c r="H1176" s="3">
        <v>108.91</v>
      </c>
      <c r="I1176" s="29">
        <f t="shared" si="95"/>
        <v>139.17700000000002</v>
      </c>
      <c r="J1176" s="29">
        <f t="shared" si="97"/>
        <v>108.00245000000002</v>
      </c>
      <c r="K1176" s="29">
        <f t="shared" si="99"/>
        <v>376720.85783465975</v>
      </c>
    </row>
    <row r="1177" spans="1:11" ht="18" x14ac:dyDescent="0.2">
      <c r="A1177" s="31">
        <v>44683</v>
      </c>
      <c r="B1177" s="30">
        <v>18.64</v>
      </c>
      <c r="C1177" s="29">
        <f t="shared" si="94"/>
        <v>23.313400000000005</v>
      </c>
      <c r="D1177" s="29">
        <f t="shared" si="96"/>
        <v>11.638599999999991</v>
      </c>
      <c r="E1177" s="29">
        <f t="shared" si="98"/>
        <v>5037837.837837833</v>
      </c>
      <c r="H1177" s="3">
        <v>112.89</v>
      </c>
      <c r="I1177" s="29">
        <f t="shared" si="95"/>
        <v>138.43640000000002</v>
      </c>
      <c r="J1177" s="29">
        <f t="shared" si="97"/>
        <v>108.11595000000003</v>
      </c>
      <c r="K1177" s="29">
        <f t="shared" si="99"/>
        <v>390487.72051193408</v>
      </c>
    </row>
    <row r="1178" spans="1:11" ht="18" x14ac:dyDescent="0.2">
      <c r="A1178" s="31">
        <v>44690</v>
      </c>
      <c r="B1178" s="30">
        <v>17.68</v>
      </c>
      <c r="C1178" s="29">
        <f t="shared" si="94"/>
        <v>23.3428</v>
      </c>
      <c r="D1178" s="29">
        <f t="shared" si="96"/>
        <v>11.694149999999993</v>
      </c>
      <c r="E1178" s="29">
        <f t="shared" si="98"/>
        <v>4778378.3783783736</v>
      </c>
      <c r="H1178" s="3">
        <v>108.66</v>
      </c>
      <c r="I1178" s="29">
        <f t="shared" si="95"/>
        <v>137.79940000000002</v>
      </c>
      <c r="J1178" s="29">
        <f t="shared" si="97"/>
        <v>108.22135000000004</v>
      </c>
      <c r="K1178" s="29">
        <f t="shared" si="99"/>
        <v>375856.10515392642</v>
      </c>
    </row>
    <row r="1179" spans="1:11" ht="18" x14ac:dyDescent="0.2">
      <c r="A1179" s="31">
        <v>44697</v>
      </c>
      <c r="B1179" s="30">
        <v>16.670000000000002</v>
      </c>
      <c r="C1179" s="29">
        <f t="shared" si="94"/>
        <v>23.325400000000005</v>
      </c>
      <c r="D1179" s="29">
        <f t="shared" si="96"/>
        <v>11.746449999999992</v>
      </c>
      <c r="E1179" s="29">
        <f t="shared" si="98"/>
        <v>4505405.4054054013</v>
      </c>
      <c r="H1179" s="3">
        <v>107.07</v>
      </c>
      <c r="I1179" s="29">
        <f t="shared" si="95"/>
        <v>137.0498</v>
      </c>
      <c r="J1179" s="29">
        <f t="shared" si="97"/>
        <v>108.32750000000004</v>
      </c>
      <c r="K1179" s="29">
        <f t="shared" si="99"/>
        <v>370356.27810446254</v>
      </c>
    </row>
    <row r="1180" spans="1:11" ht="18" x14ac:dyDescent="0.2">
      <c r="A1180" s="31">
        <v>44704</v>
      </c>
      <c r="B1180" s="30">
        <v>18.78</v>
      </c>
      <c r="C1180" s="29">
        <f t="shared" si="94"/>
        <v>23.345400000000005</v>
      </c>
      <c r="D1180" s="29">
        <f t="shared" si="96"/>
        <v>11.811049999999993</v>
      </c>
      <c r="E1180" s="29">
        <f t="shared" si="98"/>
        <v>5075675.6756756715</v>
      </c>
      <c r="H1180" s="3">
        <v>119.78</v>
      </c>
      <c r="I1180" s="29">
        <f t="shared" si="95"/>
        <v>136.22919999999999</v>
      </c>
      <c r="J1180" s="29">
        <f t="shared" si="97"/>
        <v>108.50350000000005</v>
      </c>
      <c r="K1180" s="29">
        <f t="shared" si="99"/>
        <v>414320.30439294409</v>
      </c>
    </row>
    <row r="1181" spans="1:11" ht="18" x14ac:dyDescent="0.2">
      <c r="A1181" s="31">
        <v>44711</v>
      </c>
      <c r="B1181" s="30">
        <v>18.690000000000001</v>
      </c>
      <c r="C1181" s="29">
        <f t="shared" si="94"/>
        <v>23.347200000000001</v>
      </c>
      <c r="D1181" s="29">
        <f t="shared" si="96"/>
        <v>11.873899999999994</v>
      </c>
      <c r="E1181" s="29">
        <f t="shared" si="98"/>
        <v>5051351.3513513468</v>
      </c>
      <c r="H1181" s="3">
        <v>118.76</v>
      </c>
      <c r="I1181" s="29">
        <f t="shared" si="95"/>
        <v>135.7722</v>
      </c>
      <c r="J1181" s="29">
        <f t="shared" si="97"/>
        <v>108.67495000000004</v>
      </c>
      <c r="K1181" s="29">
        <f t="shared" si="99"/>
        <v>410792.11345555214</v>
      </c>
    </row>
    <row r="1182" spans="1:11" ht="18" x14ac:dyDescent="0.2">
      <c r="A1182" s="31">
        <v>44718</v>
      </c>
      <c r="B1182" s="30">
        <v>16.95</v>
      </c>
      <c r="C1182" s="29">
        <f t="shared" si="94"/>
        <v>23.306400000000004</v>
      </c>
      <c r="D1182" s="29">
        <f t="shared" si="96"/>
        <v>11.927799999999992</v>
      </c>
      <c r="E1182" s="29">
        <f t="shared" si="98"/>
        <v>4581081.0810810765</v>
      </c>
      <c r="H1182" s="3">
        <v>109.08</v>
      </c>
      <c r="I1182" s="29">
        <f t="shared" si="95"/>
        <v>135.51499999999999</v>
      </c>
      <c r="J1182" s="29">
        <f t="shared" si="97"/>
        <v>108.78635000000004</v>
      </c>
      <c r="K1182" s="29">
        <f t="shared" si="99"/>
        <v>377308.88965755829</v>
      </c>
    </row>
    <row r="1183" spans="1:11" ht="18" x14ac:dyDescent="0.2">
      <c r="A1183" s="31">
        <v>44725</v>
      </c>
      <c r="B1183" s="30">
        <v>15.86</v>
      </c>
      <c r="C1183" s="29">
        <f t="shared" si="94"/>
        <v>23.214800000000004</v>
      </c>
      <c r="D1183" s="29">
        <f t="shared" si="96"/>
        <v>11.976049999999994</v>
      </c>
      <c r="E1183" s="29">
        <f t="shared" si="98"/>
        <v>4286486.4864864824</v>
      </c>
      <c r="H1183" s="3">
        <v>103.13</v>
      </c>
      <c r="I1183" s="29">
        <f t="shared" si="95"/>
        <v>134.95500000000001</v>
      </c>
      <c r="J1183" s="29">
        <f t="shared" si="97"/>
        <v>108.84790000000004</v>
      </c>
      <c r="K1183" s="29">
        <f t="shared" si="99"/>
        <v>356727.77585610549</v>
      </c>
    </row>
    <row r="1184" spans="1:11" ht="18" x14ac:dyDescent="0.2">
      <c r="A1184" s="31">
        <v>44732</v>
      </c>
      <c r="B1184" s="30">
        <v>17.100000000000001</v>
      </c>
      <c r="C1184" s="29">
        <f t="shared" si="94"/>
        <v>23.156599999999997</v>
      </c>
      <c r="D1184" s="29">
        <f t="shared" si="96"/>
        <v>12.030349999999991</v>
      </c>
      <c r="E1184" s="29">
        <f t="shared" si="98"/>
        <v>4621621.621621618</v>
      </c>
      <c r="H1184" s="3">
        <v>107.05</v>
      </c>
      <c r="I1184" s="29">
        <f t="shared" si="95"/>
        <v>134.24079999999998</v>
      </c>
      <c r="J1184" s="29">
        <f t="shared" si="97"/>
        <v>108.90970000000003</v>
      </c>
      <c r="K1184" s="29">
        <f t="shared" si="99"/>
        <v>370287.09789000376</v>
      </c>
    </row>
    <row r="1185" spans="1:11" ht="18" x14ac:dyDescent="0.2">
      <c r="A1185" s="31">
        <v>44739</v>
      </c>
      <c r="B1185" s="30">
        <v>14.5</v>
      </c>
      <c r="C1185" s="29">
        <f t="shared" si="94"/>
        <v>23.084199999999996</v>
      </c>
      <c r="D1185" s="29">
        <f t="shared" si="96"/>
        <v>12.071649999999993</v>
      </c>
      <c r="E1185" s="29">
        <f t="shared" si="98"/>
        <v>3918918.9189189156</v>
      </c>
      <c r="H1185" s="3">
        <v>104.06</v>
      </c>
      <c r="I1185" s="29">
        <f t="shared" si="95"/>
        <v>133.59380000000002</v>
      </c>
      <c r="J1185" s="29">
        <f t="shared" si="97"/>
        <v>108.95220000000003</v>
      </c>
      <c r="K1185" s="29">
        <f t="shared" si="99"/>
        <v>359944.65582843334</v>
      </c>
    </row>
    <row r="1186" spans="1:11" ht="18" x14ac:dyDescent="0.2">
      <c r="A1186" s="31">
        <v>44746</v>
      </c>
      <c r="B1186" s="30">
        <v>15.81</v>
      </c>
      <c r="C1186" s="29">
        <f t="shared" si="94"/>
        <v>23.009999999999994</v>
      </c>
      <c r="D1186" s="29">
        <f t="shared" si="96"/>
        <v>12.117049999999992</v>
      </c>
      <c r="E1186" s="29">
        <f t="shared" si="98"/>
        <v>4272972.9729729695</v>
      </c>
      <c r="H1186" s="3">
        <v>104.35</v>
      </c>
      <c r="I1186" s="29">
        <f t="shared" si="95"/>
        <v>132.95600000000002</v>
      </c>
      <c r="J1186" s="29">
        <f t="shared" si="97"/>
        <v>109.00745000000002</v>
      </c>
      <c r="K1186" s="29">
        <f t="shared" si="99"/>
        <v>360947.76893808396</v>
      </c>
    </row>
    <row r="1187" spans="1:11" ht="18" x14ac:dyDescent="0.2">
      <c r="A1187" s="31">
        <v>44753</v>
      </c>
      <c r="B1187" s="30">
        <v>15.74</v>
      </c>
      <c r="C1187" s="29">
        <f t="shared" si="94"/>
        <v>22.935599999999994</v>
      </c>
      <c r="D1187" s="29">
        <f t="shared" si="96"/>
        <v>12.161499999999991</v>
      </c>
      <c r="E1187" s="29">
        <f t="shared" si="98"/>
        <v>4254054.0540540507</v>
      </c>
      <c r="H1187" s="3">
        <v>103.97</v>
      </c>
      <c r="I1187" s="29">
        <f t="shared" si="95"/>
        <v>132.34680000000003</v>
      </c>
      <c r="J1187" s="29">
        <f t="shared" si="97"/>
        <v>109.06415000000004</v>
      </c>
      <c r="K1187" s="29">
        <f t="shared" si="99"/>
        <v>359633.3448633693</v>
      </c>
    </row>
    <row r="1188" spans="1:11" ht="18" x14ac:dyDescent="0.2">
      <c r="A1188" s="31">
        <v>44760</v>
      </c>
      <c r="B1188" s="30">
        <v>17.29</v>
      </c>
      <c r="C1188" s="29">
        <f t="shared" si="94"/>
        <v>22.874999999999989</v>
      </c>
      <c r="D1188" s="29">
        <f t="shared" si="96"/>
        <v>12.21529999999999</v>
      </c>
      <c r="E1188" s="29">
        <f t="shared" si="98"/>
        <v>4672972.9729729695</v>
      </c>
      <c r="H1188" s="3">
        <v>105.64</v>
      </c>
      <c r="I1188" s="29">
        <f t="shared" si="95"/>
        <v>131.70960000000002</v>
      </c>
      <c r="J1188" s="29">
        <f t="shared" si="97"/>
        <v>109.11145000000002</v>
      </c>
      <c r="K1188" s="29">
        <f t="shared" si="99"/>
        <v>365409.89277066785</v>
      </c>
    </row>
    <row r="1189" spans="1:11" ht="18" x14ac:dyDescent="0.2">
      <c r="A1189" s="31">
        <v>44767</v>
      </c>
      <c r="B1189" s="30">
        <v>18.14</v>
      </c>
      <c r="C1189" s="29">
        <f t="shared" si="94"/>
        <v>22.83499999999999</v>
      </c>
      <c r="D1189" s="29">
        <f t="shared" si="96"/>
        <v>12.271199999999991</v>
      </c>
      <c r="E1189" s="29">
        <f t="shared" si="98"/>
        <v>4902702.7027026992</v>
      </c>
      <c r="H1189" s="3">
        <v>106.19</v>
      </c>
      <c r="I1189" s="29">
        <f t="shared" si="95"/>
        <v>131.00340000000003</v>
      </c>
      <c r="J1189" s="29">
        <f t="shared" si="97"/>
        <v>109.18195</v>
      </c>
      <c r="K1189" s="29">
        <f t="shared" si="99"/>
        <v>367312.34866828116</v>
      </c>
    </row>
    <row r="1190" spans="1:11" ht="18" x14ac:dyDescent="0.2">
      <c r="A1190" s="31">
        <v>44774</v>
      </c>
      <c r="B1190" s="30">
        <v>18.96</v>
      </c>
      <c r="C1190" s="29">
        <f t="shared" si="94"/>
        <v>22.798799999999996</v>
      </c>
      <c r="D1190" s="29">
        <f t="shared" si="96"/>
        <v>12.332599999999992</v>
      </c>
      <c r="E1190" s="29">
        <f t="shared" si="98"/>
        <v>5124324.324324321</v>
      </c>
      <c r="H1190" s="3">
        <v>106.56</v>
      </c>
      <c r="I1190" s="29">
        <f t="shared" si="95"/>
        <v>130.2638</v>
      </c>
      <c r="J1190" s="29">
        <f t="shared" si="97"/>
        <v>109.24705000000002</v>
      </c>
      <c r="K1190" s="29">
        <f t="shared" si="99"/>
        <v>368592.18263576651</v>
      </c>
    </row>
    <row r="1191" spans="1:11" ht="18" x14ac:dyDescent="0.2">
      <c r="A1191" s="31">
        <v>44781</v>
      </c>
      <c r="B1191" s="30">
        <v>18.68</v>
      </c>
      <c r="C1191" s="29">
        <f t="shared" si="94"/>
        <v>22.720600000000001</v>
      </c>
      <c r="D1191" s="29">
        <f t="shared" si="96"/>
        <v>12.395449999999991</v>
      </c>
      <c r="E1191" s="29">
        <f t="shared" si="98"/>
        <v>5048648.6486486448</v>
      </c>
      <c r="H1191" s="3">
        <v>112.42</v>
      </c>
      <c r="I1191" s="29">
        <f t="shared" si="95"/>
        <v>129.62580000000003</v>
      </c>
      <c r="J1191" s="29">
        <f t="shared" si="97"/>
        <v>109.36965000000001</v>
      </c>
      <c r="K1191" s="29">
        <f t="shared" si="99"/>
        <v>388861.98547215533</v>
      </c>
    </row>
    <row r="1192" spans="1:11" ht="18" x14ac:dyDescent="0.2">
      <c r="A1192" s="31">
        <v>44788</v>
      </c>
      <c r="B1192" s="30">
        <v>17.82</v>
      </c>
      <c r="C1192" s="29">
        <f t="shared" si="94"/>
        <v>22.621199999999998</v>
      </c>
      <c r="D1192" s="29">
        <f t="shared" si="96"/>
        <v>12.456149999999994</v>
      </c>
      <c r="E1192" s="29">
        <f t="shared" si="98"/>
        <v>4816216.2162162121</v>
      </c>
      <c r="H1192" s="3">
        <v>109.2</v>
      </c>
      <c r="I1192" s="29">
        <f t="shared" si="95"/>
        <v>128.95580000000001</v>
      </c>
      <c r="J1192" s="29">
        <f t="shared" si="97"/>
        <v>109.47225</v>
      </c>
      <c r="K1192" s="29">
        <f t="shared" si="99"/>
        <v>377723.97094431025</v>
      </c>
    </row>
    <row r="1193" spans="1:11" ht="18" x14ac:dyDescent="0.2">
      <c r="A1193" s="31">
        <v>44795</v>
      </c>
      <c r="B1193" s="30">
        <v>16.239999999999998</v>
      </c>
      <c r="C1193" s="29">
        <f t="shared" si="94"/>
        <v>22.497399999999999</v>
      </c>
      <c r="D1193" s="29">
        <f t="shared" si="96"/>
        <v>12.512799999999993</v>
      </c>
      <c r="E1193" s="29">
        <f t="shared" si="98"/>
        <v>4389189.1891891845</v>
      </c>
      <c r="H1193" s="3">
        <v>105.55</v>
      </c>
      <c r="I1193" s="29">
        <f t="shared" si="95"/>
        <v>128.2852</v>
      </c>
      <c r="J1193" s="29">
        <f t="shared" si="97"/>
        <v>109.57504999999999</v>
      </c>
      <c r="K1193" s="29">
        <f t="shared" si="99"/>
        <v>365098.58180560387</v>
      </c>
    </row>
    <row r="1194" spans="1:11" ht="18" x14ac:dyDescent="0.2">
      <c r="A1194" s="31">
        <v>44802</v>
      </c>
      <c r="B1194" s="30">
        <v>13.63</v>
      </c>
      <c r="C1194" s="29">
        <f t="shared" si="94"/>
        <v>22.332800000000002</v>
      </c>
      <c r="D1194" s="29">
        <f t="shared" si="96"/>
        <v>12.554349999999992</v>
      </c>
      <c r="E1194" s="29">
        <f t="shared" si="98"/>
        <v>3683783.7837837804</v>
      </c>
      <c r="H1194" s="3">
        <v>104.67</v>
      </c>
      <c r="I1194" s="29">
        <f t="shared" si="95"/>
        <v>127.57960000000003</v>
      </c>
      <c r="J1194" s="29">
        <f t="shared" si="97"/>
        <v>109.65304999999998</v>
      </c>
      <c r="K1194" s="29">
        <f t="shared" si="99"/>
        <v>362054.65236942261</v>
      </c>
    </row>
    <row r="1195" spans="1:11" ht="18" x14ac:dyDescent="0.2">
      <c r="A1195" s="31">
        <v>44809</v>
      </c>
      <c r="B1195" s="30">
        <v>14.37</v>
      </c>
      <c r="C1195" s="29">
        <f t="shared" si="94"/>
        <v>22.179399999999998</v>
      </c>
      <c r="D1195" s="29">
        <f t="shared" si="96"/>
        <v>12.600749999999991</v>
      </c>
      <c r="E1195" s="29">
        <f t="shared" si="98"/>
        <v>3883783.7837837799</v>
      </c>
      <c r="H1195" s="3">
        <v>109.7</v>
      </c>
      <c r="I1195" s="29">
        <f t="shared" si="95"/>
        <v>126.85080000000004</v>
      </c>
      <c r="J1195" s="29">
        <f t="shared" si="97"/>
        <v>109.74424999999999</v>
      </c>
      <c r="K1195" s="29">
        <f t="shared" si="99"/>
        <v>379453.4763057768</v>
      </c>
    </row>
    <row r="1196" spans="1:11" ht="18" x14ac:dyDescent="0.2">
      <c r="A1196" s="31">
        <v>44816</v>
      </c>
      <c r="B1196" s="30">
        <v>13.18</v>
      </c>
      <c r="C1196" s="29">
        <f t="shared" si="94"/>
        <v>22.028999999999996</v>
      </c>
      <c r="D1196" s="29">
        <f t="shared" si="96"/>
        <v>12.646299999999991</v>
      </c>
      <c r="E1196" s="29">
        <f t="shared" si="98"/>
        <v>3562162.1621621591</v>
      </c>
      <c r="H1196" s="3">
        <v>107.77</v>
      </c>
      <c r="I1196" s="29">
        <f t="shared" si="95"/>
        <v>126.1266</v>
      </c>
      <c r="J1196" s="29">
        <f t="shared" si="97"/>
        <v>109.83114999999998</v>
      </c>
      <c r="K1196" s="29">
        <f t="shared" si="99"/>
        <v>372777.58561051561</v>
      </c>
    </row>
    <row r="1197" spans="1:11" ht="18" x14ac:dyDescent="0.2">
      <c r="A1197" s="31">
        <v>44823</v>
      </c>
      <c r="B1197" s="30">
        <v>12.5</v>
      </c>
      <c r="C1197" s="29">
        <f t="shared" si="94"/>
        <v>21.863199999999996</v>
      </c>
      <c r="D1197" s="29">
        <f t="shared" si="96"/>
        <v>12.69084999999999</v>
      </c>
      <c r="E1197" s="29">
        <f t="shared" si="98"/>
        <v>3378378.3783783754</v>
      </c>
      <c r="H1197" s="3">
        <v>100.46</v>
      </c>
      <c r="I1197" s="29">
        <f t="shared" si="95"/>
        <v>125.29060000000003</v>
      </c>
      <c r="J1197" s="29">
        <f t="shared" si="97"/>
        <v>109.89519999999999</v>
      </c>
      <c r="K1197" s="29">
        <f t="shared" si="99"/>
        <v>347492.21722587361</v>
      </c>
    </row>
    <row r="1198" spans="1:11" ht="18" x14ac:dyDescent="0.2">
      <c r="A1198" s="31">
        <v>44830</v>
      </c>
      <c r="B1198" s="30">
        <v>12.12</v>
      </c>
      <c r="C1198" s="29">
        <f t="shared" si="94"/>
        <v>21.669199999999993</v>
      </c>
      <c r="D1198" s="29">
        <f t="shared" si="96"/>
        <v>12.731199999999991</v>
      </c>
      <c r="E1198" s="29">
        <f t="shared" si="98"/>
        <v>3275675.6756756729</v>
      </c>
      <c r="H1198" s="3">
        <v>96.19</v>
      </c>
      <c r="I1198" s="29">
        <f t="shared" si="95"/>
        <v>124.25300000000001</v>
      </c>
      <c r="J1198" s="29">
        <f t="shared" si="97"/>
        <v>109.91924999999998</v>
      </c>
      <c r="K1198" s="29">
        <f t="shared" si="99"/>
        <v>332722.24143894867</v>
      </c>
    </row>
    <row r="1199" spans="1:11" ht="18" x14ac:dyDescent="0.2">
      <c r="A1199" s="31">
        <v>44837</v>
      </c>
      <c r="B1199" s="30">
        <v>12.06</v>
      </c>
      <c r="C1199" s="29">
        <f t="shared" si="94"/>
        <v>21.456799999999994</v>
      </c>
      <c r="D1199" s="29">
        <f t="shared" si="96"/>
        <v>12.773199999999992</v>
      </c>
      <c r="E1199" s="29">
        <f t="shared" si="98"/>
        <v>3259459.4594594571</v>
      </c>
      <c r="H1199" s="3">
        <v>97.56</v>
      </c>
      <c r="I1199" s="29">
        <f t="shared" si="95"/>
        <v>123.1768</v>
      </c>
      <c r="J1199" s="29">
        <f t="shared" si="97"/>
        <v>109.98259999999996</v>
      </c>
      <c r="K1199" s="29">
        <f t="shared" si="99"/>
        <v>337461.08612936724</v>
      </c>
    </row>
    <row r="1200" spans="1:11" ht="18" x14ac:dyDescent="0.2">
      <c r="A1200" s="31">
        <v>44844</v>
      </c>
      <c r="B1200" s="30">
        <v>11.21</v>
      </c>
      <c r="C1200" s="29">
        <f t="shared" si="94"/>
        <v>21.170599999999993</v>
      </c>
      <c r="D1200" s="29">
        <f t="shared" si="96"/>
        <v>12.811099999999993</v>
      </c>
      <c r="E1200" s="29">
        <f t="shared" si="98"/>
        <v>3029729.7297297274</v>
      </c>
      <c r="H1200" s="3">
        <v>103.27</v>
      </c>
      <c r="I1200" s="29">
        <f t="shared" si="95"/>
        <v>122.03480000000003</v>
      </c>
      <c r="J1200" s="29">
        <f t="shared" si="97"/>
        <v>110.08684999999996</v>
      </c>
      <c r="K1200" s="29">
        <f t="shared" si="99"/>
        <v>357212.037357316</v>
      </c>
    </row>
    <row r="1201" spans="1:11" ht="18" x14ac:dyDescent="0.2">
      <c r="A1201" s="31">
        <v>44851</v>
      </c>
      <c r="B1201" s="30">
        <v>12.45</v>
      </c>
      <c r="C1201" s="29">
        <f t="shared" si="94"/>
        <v>20.825800000000001</v>
      </c>
      <c r="D1201" s="29">
        <f t="shared" si="96"/>
        <v>12.857299999999992</v>
      </c>
      <c r="E1201" s="29">
        <f t="shared" si="98"/>
        <v>3364864.8648648621</v>
      </c>
      <c r="H1201" s="3">
        <v>113.52</v>
      </c>
      <c r="I1201" s="29">
        <f t="shared" si="95"/>
        <v>121.04100000000005</v>
      </c>
      <c r="J1201" s="29">
        <f t="shared" si="97"/>
        <v>110.26749999999994</v>
      </c>
      <c r="K1201" s="29">
        <f t="shared" si="99"/>
        <v>392666.89726738178</v>
      </c>
    </row>
    <row r="1202" spans="1:11" ht="18" x14ac:dyDescent="0.2">
      <c r="A1202" s="31">
        <v>44858</v>
      </c>
      <c r="B1202" s="30">
        <v>13.82</v>
      </c>
      <c r="C1202" s="29">
        <f t="shared" si="94"/>
        <v>20.4956</v>
      </c>
      <c r="D1202" s="29">
        <f t="shared" si="96"/>
        <v>12.909849999999992</v>
      </c>
      <c r="E1202" s="29">
        <f t="shared" si="98"/>
        <v>3735135.1351351328</v>
      </c>
      <c r="H1202" s="3">
        <v>117.1</v>
      </c>
      <c r="I1202" s="29">
        <f t="shared" si="95"/>
        <v>120.28540000000004</v>
      </c>
      <c r="J1202" s="29">
        <f t="shared" si="97"/>
        <v>110.45509999999994</v>
      </c>
      <c r="K1202" s="29">
        <f t="shared" si="99"/>
        <v>405050.15565548278</v>
      </c>
    </row>
    <row r="1203" spans="1:11" ht="18" x14ac:dyDescent="0.2">
      <c r="A1203" s="31">
        <v>44865</v>
      </c>
      <c r="B1203" s="30">
        <v>14.14</v>
      </c>
      <c r="C1203" s="29">
        <f t="shared" ref="C1203:C1266" si="100">AVERAGE(B1154:B1203)</f>
        <v>20.12</v>
      </c>
      <c r="D1203" s="29">
        <f t="shared" si="96"/>
        <v>12.963649999999991</v>
      </c>
      <c r="E1203" s="29">
        <f t="shared" si="98"/>
        <v>3821621.6216216194</v>
      </c>
      <c r="H1203" s="3">
        <v>121.37</v>
      </c>
      <c r="I1203" s="29">
        <f t="shared" si="95"/>
        <v>119.62280000000005</v>
      </c>
      <c r="J1203" s="29">
        <f t="shared" si="97"/>
        <v>110.64819999999995</v>
      </c>
      <c r="K1203" s="29">
        <f t="shared" si="99"/>
        <v>419820.13144240779</v>
      </c>
    </row>
    <row r="1204" spans="1:11" ht="18" x14ac:dyDescent="0.2">
      <c r="A1204" s="31">
        <v>44872</v>
      </c>
      <c r="B1204" s="30">
        <v>16.309999999999999</v>
      </c>
      <c r="C1204" s="29">
        <f t="shared" si="100"/>
        <v>19.817399999999999</v>
      </c>
      <c r="D1204" s="29">
        <f t="shared" si="96"/>
        <v>13.026749999999991</v>
      </c>
      <c r="E1204" s="29">
        <f t="shared" si="98"/>
        <v>4408108.1081081051</v>
      </c>
      <c r="H1204" s="3">
        <v>125.66</v>
      </c>
      <c r="I1204" s="29">
        <f t="shared" ref="I1204:I1267" si="101">AVERAGE(H1154:H1203)</f>
        <v>119.15260000000004</v>
      </c>
      <c r="J1204" s="29">
        <f t="shared" si="97"/>
        <v>110.86259999999997</v>
      </c>
      <c r="K1204" s="29">
        <f t="shared" si="99"/>
        <v>434659.28744379134</v>
      </c>
    </row>
    <row r="1205" spans="1:11" ht="18" x14ac:dyDescent="0.2">
      <c r="A1205" s="31">
        <v>44879</v>
      </c>
      <c r="B1205" s="30">
        <v>15.39</v>
      </c>
      <c r="C1205" s="29">
        <f t="shared" si="100"/>
        <v>19.512599999999999</v>
      </c>
      <c r="D1205" s="29">
        <f t="shared" si="96"/>
        <v>13.08424999999999</v>
      </c>
      <c r="E1205" s="29">
        <f t="shared" si="98"/>
        <v>4159459.4594594566</v>
      </c>
      <c r="H1205" s="3">
        <v>124.3</v>
      </c>
      <c r="I1205" s="29">
        <f t="shared" si="101"/>
        <v>118.75000000000004</v>
      </c>
      <c r="J1205" s="29">
        <f t="shared" si="97"/>
        <v>111.05084999999995</v>
      </c>
      <c r="K1205" s="29">
        <f t="shared" si="99"/>
        <v>429955.03286060214</v>
      </c>
    </row>
    <row r="1206" spans="1:11" ht="18" x14ac:dyDescent="0.2">
      <c r="A1206" s="31">
        <v>44886</v>
      </c>
      <c r="B1206" s="30">
        <v>16.25</v>
      </c>
      <c r="C1206" s="29">
        <f t="shared" si="100"/>
        <v>19.2348</v>
      </c>
      <c r="D1206" s="29">
        <f t="shared" si="96"/>
        <v>13.145649999999989</v>
      </c>
      <c r="E1206" s="29">
        <f t="shared" si="98"/>
        <v>4391891.8918918893</v>
      </c>
      <c r="H1206" s="3">
        <v>127</v>
      </c>
      <c r="I1206" s="29">
        <f t="shared" si="101"/>
        <v>118.38580000000003</v>
      </c>
      <c r="J1206" s="29">
        <f t="shared" si="97"/>
        <v>111.25754999999995</v>
      </c>
      <c r="K1206" s="29">
        <f t="shared" si="99"/>
        <v>439294.36181252194</v>
      </c>
    </row>
    <row r="1207" spans="1:11" ht="18" x14ac:dyDescent="0.2">
      <c r="A1207" s="31">
        <v>44893</v>
      </c>
      <c r="B1207" s="30">
        <v>16.86</v>
      </c>
      <c r="C1207" s="29">
        <f t="shared" si="100"/>
        <v>19.016999999999999</v>
      </c>
      <c r="D1207" s="29">
        <f t="shared" si="96"/>
        <v>13.211999999999991</v>
      </c>
      <c r="E1207" s="29">
        <f t="shared" si="98"/>
        <v>4556756.7567567537</v>
      </c>
      <c r="H1207" s="3">
        <v>125.53</v>
      </c>
      <c r="I1207" s="29">
        <f t="shared" si="101"/>
        <v>118.04800000000003</v>
      </c>
      <c r="J1207" s="29">
        <f t="shared" si="97"/>
        <v>111.45484999999995</v>
      </c>
      <c r="K1207" s="29">
        <f t="shared" si="99"/>
        <v>434209.61604981008</v>
      </c>
    </row>
    <row r="1208" spans="1:11" ht="18" x14ac:dyDescent="0.2">
      <c r="A1208" s="31">
        <v>44900</v>
      </c>
      <c r="B1208" s="30">
        <v>16.98</v>
      </c>
      <c r="C1208" s="29">
        <f t="shared" si="100"/>
        <v>18.765000000000001</v>
      </c>
      <c r="D1208" s="29">
        <f t="shared" si="96"/>
        <v>13.27854999999999</v>
      </c>
      <c r="E1208" s="29">
        <f t="shared" si="98"/>
        <v>4589189.1891891863</v>
      </c>
      <c r="H1208" s="3">
        <v>122.74</v>
      </c>
      <c r="I1208" s="29">
        <f t="shared" si="101"/>
        <v>117.73580000000001</v>
      </c>
      <c r="J1208" s="29">
        <f t="shared" si="97"/>
        <v>111.64864999999996</v>
      </c>
      <c r="K1208" s="29">
        <f t="shared" si="99"/>
        <v>424558.9761328263</v>
      </c>
    </row>
    <row r="1209" spans="1:11" ht="18" x14ac:dyDescent="0.2">
      <c r="A1209" s="31">
        <v>44907</v>
      </c>
      <c r="B1209" s="30">
        <v>16.559999999999999</v>
      </c>
      <c r="C1209" s="29">
        <f t="shared" si="100"/>
        <v>18.508999999999997</v>
      </c>
      <c r="D1209" s="29">
        <f t="shared" si="96"/>
        <v>13.34184999999999</v>
      </c>
      <c r="E1209" s="29">
        <f t="shared" si="98"/>
        <v>4475675.6756756725</v>
      </c>
      <c r="H1209" s="3">
        <v>120.08</v>
      </c>
      <c r="I1209" s="29">
        <f t="shared" si="101"/>
        <v>117.35880000000003</v>
      </c>
      <c r="J1209" s="29">
        <f t="shared" si="97"/>
        <v>111.81179999999996</v>
      </c>
      <c r="K1209" s="29">
        <f t="shared" si="99"/>
        <v>415358.00760982389</v>
      </c>
    </row>
    <row r="1210" spans="1:11" ht="18" x14ac:dyDescent="0.2">
      <c r="A1210" s="31">
        <v>44914</v>
      </c>
      <c r="B1210" s="30">
        <v>15.19</v>
      </c>
      <c r="C1210" s="29">
        <f t="shared" si="100"/>
        <v>18.268799999999999</v>
      </c>
      <c r="D1210" s="29">
        <f t="shared" si="96"/>
        <v>13.398049999999991</v>
      </c>
      <c r="E1210" s="29">
        <f t="shared" si="98"/>
        <v>4105405.4054054026</v>
      </c>
      <c r="H1210" s="3">
        <v>121.93</v>
      </c>
      <c r="I1210" s="29">
        <f t="shared" si="101"/>
        <v>116.90900000000002</v>
      </c>
      <c r="J1210" s="29">
        <f t="shared" si="97"/>
        <v>111.98649999999996</v>
      </c>
      <c r="K1210" s="29">
        <f t="shared" si="99"/>
        <v>421757.1774472504</v>
      </c>
    </row>
    <row r="1211" spans="1:11" ht="18" x14ac:dyDescent="0.2">
      <c r="A1211" s="31">
        <v>44921</v>
      </c>
      <c r="B1211" s="30">
        <v>14.6</v>
      </c>
      <c r="C1211" s="29">
        <f t="shared" si="100"/>
        <v>18.023</v>
      </c>
      <c r="D1211" s="29">
        <f t="shared" si="96"/>
        <v>13.45164999999999</v>
      </c>
      <c r="E1211" s="29">
        <f t="shared" si="98"/>
        <v>3945945.9459459432</v>
      </c>
      <c r="H1211" s="3">
        <v>124.54</v>
      </c>
      <c r="I1211" s="29">
        <f t="shared" si="101"/>
        <v>116.33760000000002</v>
      </c>
      <c r="J1211" s="29">
        <f t="shared" si="97"/>
        <v>112.17659999999997</v>
      </c>
      <c r="K1211" s="29">
        <f t="shared" si="99"/>
        <v>430785.19543410616</v>
      </c>
    </row>
    <row r="1212" spans="1:11" ht="18" x14ac:dyDescent="0.2">
      <c r="A1212" s="31">
        <v>44928</v>
      </c>
      <c r="B1212" s="30">
        <v>14.84</v>
      </c>
      <c r="C1212" s="29">
        <f t="shared" si="100"/>
        <v>17.853200000000001</v>
      </c>
      <c r="D1212" s="29">
        <f t="shared" si="96"/>
        <v>13.507149999999992</v>
      </c>
      <c r="E1212" s="29">
        <f t="shared" si="98"/>
        <v>4010810.8108108086</v>
      </c>
      <c r="H1212" s="3">
        <v>128.11000000000001</v>
      </c>
      <c r="I1212" s="29">
        <f t="shared" si="101"/>
        <v>115.96820000000001</v>
      </c>
      <c r="J1212" s="29">
        <f t="shared" si="97"/>
        <v>112.39039999999997</v>
      </c>
      <c r="K1212" s="29">
        <f t="shared" si="99"/>
        <v>443133.86371497787</v>
      </c>
    </row>
    <row r="1213" spans="1:11" ht="18" x14ac:dyDescent="0.2">
      <c r="A1213" s="31">
        <v>44935</v>
      </c>
      <c r="B1213" s="30">
        <v>16.88</v>
      </c>
      <c r="C1213" s="29">
        <f t="shared" si="100"/>
        <v>17.734800000000003</v>
      </c>
      <c r="D1213" s="29">
        <f t="shared" si="96"/>
        <v>13.57049999999999</v>
      </c>
      <c r="E1213" s="29">
        <f t="shared" si="98"/>
        <v>4562162.1621621596</v>
      </c>
      <c r="H1213" s="3">
        <v>133.80000000000001</v>
      </c>
      <c r="I1213" s="29">
        <f t="shared" si="101"/>
        <v>115.90240000000003</v>
      </c>
      <c r="J1213" s="29">
        <f t="shared" si="97"/>
        <v>112.61799999999995</v>
      </c>
      <c r="K1213" s="29">
        <f t="shared" si="99"/>
        <v>462815.63472846802</v>
      </c>
    </row>
    <row r="1214" spans="1:11" ht="18" x14ac:dyDescent="0.2">
      <c r="A1214" s="31">
        <v>44942</v>
      </c>
      <c r="B1214" s="30">
        <v>17.82</v>
      </c>
      <c r="C1214" s="29">
        <f t="shared" si="100"/>
        <v>17.605800000000002</v>
      </c>
      <c r="D1214" s="29">
        <f t="shared" si="96"/>
        <v>13.637549999999994</v>
      </c>
      <c r="E1214" s="29">
        <f t="shared" si="98"/>
        <v>4816216.216216214</v>
      </c>
      <c r="H1214" s="3">
        <v>126.38</v>
      </c>
      <c r="I1214" s="29">
        <f t="shared" si="101"/>
        <v>115.92260000000002</v>
      </c>
      <c r="J1214" s="29">
        <f t="shared" si="97"/>
        <v>112.83664999999998</v>
      </c>
      <c r="K1214" s="29">
        <f t="shared" si="99"/>
        <v>437149.77516430325</v>
      </c>
    </row>
    <row r="1215" spans="1:11" ht="18" x14ac:dyDescent="0.2">
      <c r="A1215" s="31">
        <v>44949</v>
      </c>
      <c r="B1215" s="30">
        <v>20.350000000000001</v>
      </c>
      <c r="C1215" s="29">
        <f t="shared" si="100"/>
        <v>17.534800000000004</v>
      </c>
      <c r="D1215" s="29">
        <f t="shared" si="96"/>
        <v>13.716999999999993</v>
      </c>
      <c r="E1215" s="29">
        <f t="shared" si="98"/>
        <v>5499999.9999999972</v>
      </c>
      <c r="H1215" s="3">
        <v>131.28</v>
      </c>
      <c r="I1215" s="29">
        <f t="shared" si="101"/>
        <v>115.6866</v>
      </c>
      <c r="J1215" s="29">
        <f t="shared" si="97"/>
        <v>113.07369999999996</v>
      </c>
      <c r="K1215" s="29">
        <f t="shared" si="99"/>
        <v>454098.92770667619</v>
      </c>
    </row>
    <row r="1216" spans="1:11" ht="18" x14ac:dyDescent="0.2">
      <c r="A1216" s="31">
        <v>44956</v>
      </c>
      <c r="B1216" s="30">
        <v>21.08</v>
      </c>
      <c r="C1216" s="29">
        <f t="shared" si="100"/>
        <v>17.484400000000004</v>
      </c>
      <c r="D1216" s="29">
        <f t="shared" si="96"/>
        <v>13.798699999999991</v>
      </c>
      <c r="E1216" s="29">
        <f t="shared" si="98"/>
        <v>5697297.2972972933</v>
      </c>
      <c r="H1216" s="3">
        <v>132</v>
      </c>
      <c r="I1216" s="29">
        <f t="shared" si="101"/>
        <v>115.52399999999997</v>
      </c>
      <c r="J1216" s="29">
        <f t="shared" si="97"/>
        <v>113.29744999999996</v>
      </c>
      <c r="K1216" s="29">
        <f t="shared" si="99"/>
        <v>456589.4154271881</v>
      </c>
    </row>
    <row r="1217" spans="1:11" ht="18" x14ac:dyDescent="0.2">
      <c r="A1217" s="31">
        <v>44963</v>
      </c>
      <c r="B1217" s="30">
        <v>21.24</v>
      </c>
      <c r="C1217" s="29">
        <f t="shared" si="100"/>
        <v>17.427000000000007</v>
      </c>
      <c r="D1217" s="29">
        <f t="shared" si="96"/>
        <v>13.881299999999992</v>
      </c>
      <c r="E1217" s="29">
        <f t="shared" si="98"/>
        <v>5740540.5405405369</v>
      </c>
      <c r="H1217" s="3">
        <v>131.96</v>
      </c>
      <c r="I1217" s="29">
        <f t="shared" si="101"/>
        <v>115.40799999999997</v>
      </c>
      <c r="J1217" s="29">
        <f t="shared" si="97"/>
        <v>113.49304999999995</v>
      </c>
      <c r="K1217" s="29">
        <f t="shared" si="99"/>
        <v>456451.05499827076</v>
      </c>
    </row>
    <row r="1218" spans="1:11" ht="18" x14ac:dyDescent="0.2">
      <c r="A1218" s="31">
        <v>44970</v>
      </c>
      <c r="B1218" s="30">
        <v>21.37</v>
      </c>
      <c r="C1218" s="29">
        <f t="shared" si="100"/>
        <v>17.396600000000007</v>
      </c>
      <c r="D1218" s="29">
        <f t="shared" si="96"/>
        <v>13.965049999999989</v>
      </c>
      <c r="E1218" s="29">
        <f t="shared" si="98"/>
        <v>5775675.6756756725</v>
      </c>
      <c r="H1218" s="3">
        <v>133.08000000000001</v>
      </c>
      <c r="I1218" s="29">
        <f t="shared" si="101"/>
        <v>115.36679999999998</v>
      </c>
      <c r="J1218" s="29">
        <f t="shared" si="97"/>
        <v>113.68484999999995</v>
      </c>
      <c r="K1218" s="29">
        <f t="shared" si="99"/>
        <v>460325.14700795599</v>
      </c>
    </row>
    <row r="1219" spans="1:11" ht="18" x14ac:dyDescent="0.2">
      <c r="A1219" s="31">
        <v>44977</v>
      </c>
      <c r="B1219" s="30">
        <v>23.26</v>
      </c>
      <c r="C1219" s="29">
        <f t="shared" si="100"/>
        <v>17.420600000000007</v>
      </c>
      <c r="D1219" s="29">
        <f t="shared" si="96"/>
        <v>14.059249999999993</v>
      </c>
      <c r="E1219" s="29">
        <f t="shared" si="98"/>
        <v>6286486.4864864834</v>
      </c>
      <c r="H1219" s="3">
        <v>131.86000000000001</v>
      </c>
      <c r="I1219" s="29">
        <f t="shared" si="101"/>
        <v>115.59379999999997</v>
      </c>
      <c r="J1219" s="29">
        <f t="shared" si="97"/>
        <v>113.86629999999997</v>
      </c>
      <c r="K1219" s="29">
        <f t="shared" si="99"/>
        <v>456105.15392597747</v>
      </c>
    </row>
    <row r="1220" spans="1:11" ht="18" x14ac:dyDescent="0.2">
      <c r="A1220" s="31">
        <v>44984</v>
      </c>
      <c r="B1220" s="30">
        <v>23.87</v>
      </c>
      <c r="C1220" s="29">
        <f t="shared" si="100"/>
        <v>17.369800000000005</v>
      </c>
      <c r="D1220" s="29">
        <f t="shared" si="96"/>
        <v>14.155899999999992</v>
      </c>
      <c r="E1220" s="29">
        <f t="shared" si="98"/>
        <v>6451351.3513513478</v>
      </c>
      <c r="H1220" s="3">
        <v>134.41</v>
      </c>
      <c r="I1220" s="29">
        <f t="shared" si="101"/>
        <v>115.89619999999996</v>
      </c>
      <c r="J1220" s="29">
        <f t="shared" si="97"/>
        <v>114.05364999999996</v>
      </c>
      <c r="K1220" s="29">
        <f t="shared" si="99"/>
        <v>464925.63126945717</v>
      </c>
    </row>
    <row r="1221" spans="1:11" ht="18" x14ac:dyDescent="0.2">
      <c r="A1221" s="31">
        <v>44991</v>
      </c>
      <c r="B1221" s="30">
        <v>22.94</v>
      </c>
      <c r="C1221" s="29">
        <f t="shared" si="100"/>
        <v>17.2758</v>
      </c>
      <c r="D1221" s="29">
        <f t="shared" si="96"/>
        <v>14.249649999999992</v>
      </c>
      <c r="E1221" s="29">
        <f t="shared" si="98"/>
        <v>6199999.9999999972</v>
      </c>
      <c r="H1221" s="3">
        <v>125.04</v>
      </c>
      <c r="I1221" s="29">
        <f t="shared" si="101"/>
        <v>116.04659999999996</v>
      </c>
      <c r="J1221" s="29">
        <f t="shared" si="97"/>
        <v>114.20919999999997</v>
      </c>
      <c r="K1221" s="29">
        <f t="shared" si="99"/>
        <v>432514.70079557272</v>
      </c>
    </row>
    <row r="1222" spans="1:11" ht="18" x14ac:dyDescent="0.2">
      <c r="A1222" s="31">
        <v>44998</v>
      </c>
      <c r="B1222" s="30">
        <v>25.71</v>
      </c>
      <c r="C1222" s="29">
        <f t="shared" si="100"/>
        <v>17.256600000000002</v>
      </c>
      <c r="D1222" s="29">
        <f t="shared" si="96"/>
        <v>14.358799999999992</v>
      </c>
      <c r="E1222" s="29">
        <f t="shared" si="98"/>
        <v>6948648.6486486457</v>
      </c>
      <c r="H1222" s="3">
        <v>117.71</v>
      </c>
      <c r="I1222" s="29">
        <f t="shared" si="101"/>
        <v>115.97659999999998</v>
      </c>
      <c r="J1222" s="29">
        <f t="shared" si="97"/>
        <v>114.33534999999996</v>
      </c>
      <c r="K1222" s="29">
        <f t="shared" si="99"/>
        <v>407160.15219647199</v>
      </c>
    </row>
    <row r="1223" spans="1:11" ht="18" x14ac:dyDescent="0.2">
      <c r="A1223" s="31">
        <v>45005</v>
      </c>
      <c r="B1223" s="30">
        <v>26.76</v>
      </c>
      <c r="C1223" s="29">
        <f t="shared" si="100"/>
        <v>17.330200000000005</v>
      </c>
      <c r="D1223" s="29">
        <f t="shared" si="96"/>
        <v>14.474599999999993</v>
      </c>
      <c r="E1223" s="29">
        <f t="shared" si="98"/>
        <v>7232432.4324324289</v>
      </c>
      <c r="H1223" s="3">
        <v>116.87</v>
      </c>
      <c r="I1223" s="29">
        <f t="shared" si="101"/>
        <v>115.87979999999997</v>
      </c>
      <c r="J1223" s="29">
        <f t="shared" si="97"/>
        <v>114.46174999999998</v>
      </c>
      <c r="K1223" s="29">
        <f t="shared" si="99"/>
        <v>404254.58318920812</v>
      </c>
    </row>
    <row r="1224" spans="1:11" ht="18" x14ac:dyDescent="0.2">
      <c r="A1224" s="31">
        <v>45012</v>
      </c>
      <c r="B1224" s="30">
        <v>27.76</v>
      </c>
      <c r="C1224" s="29">
        <f t="shared" si="100"/>
        <v>17.461000000000002</v>
      </c>
      <c r="D1224" s="29">
        <f t="shared" si="96"/>
        <v>14.596599999999993</v>
      </c>
      <c r="E1224" s="29">
        <f t="shared" si="98"/>
        <v>7502702.7027026992</v>
      </c>
      <c r="H1224" s="3">
        <v>121.92</v>
      </c>
      <c r="I1224" s="29">
        <f t="shared" si="101"/>
        <v>115.79899999999998</v>
      </c>
      <c r="J1224" s="29">
        <f t="shared" si="97"/>
        <v>114.62904999999996</v>
      </c>
      <c r="K1224" s="29">
        <f t="shared" si="99"/>
        <v>421722.58734002098</v>
      </c>
    </row>
    <row r="1225" spans="1:11" ht="18" x14ac:dyDescent="0.2">
      <c r="A1225" s="31">
        <v>45019</v>
      </c>
      <c r="B1225" s="30">
        <v>27.02</v>
      </c>
      <c r="C1225" s="29">
        <f t="shared" si="100"/>
        <v>17.611800000000002</v>
      </c>
      <c r="D1225" s="29">
        <f t="shared" ref="D1225:D1288" si="102">AVERAGE(B1026:B1225)</f>
        <v>14.713599999999994</v>
      </c>
      <c r="E1225" s="29">
        <f t="shared" si="98"/>
        <v>7302702.7027026983</v>
      </c>
      <c r="H1225" s="3">
        <v>119.26</v>
      </c>
      <c r="I1225" s="29">
        <f t="shared" si="101"/>
        <v>115.93579999999999</v>
      </c>
      <c r="J1225" s="29">
        <f t="shared" ref="J1225:J1288" si="103">AVERAGE(H1026:H1225)</f>
        <v>114.76969999999994</v>
      </c>
      <c r="K1225" s="29">
        <f t="shared" si="99"/>
        <v>412521.61881701858</v>
      </c>
    </row>
    <row r="1226" spans="1:11" ht="18" x14ac:dyDescent="0.2">
      <c r="A1226" s="31">
        <v>45026</v>
      </c>
      <c r="B1226" s="30">
        <v>26.74</v>
      </c>
      <c r="C1226" s="29">
        <f t="shared" si="100"/>
        <v>17.776200000000006</v>
      </c>
      <c r="D1226" s="29">
        <f t="shared" si="102"/>
        <v>14.829349999999993</v>
      </c>
      <c r="E1226" s="29">
        <f t="shared" ref="E1226:E1289" si="104">IF( C1226&gt;D1226,E1225*B1226/B1225,100000)</f>
        <v>7227027.0270270221</v>
      </c>
      <c r="H1226" s="3">
        <v>130.82</v>
      </c>
      <c r="I1226" s="29">
        <f t="shared" si="101"/>
        <v>116.00679999999998</v>
      </c>
      <c r="J1226" s="29">
        <f t="shared" si="103"/>
        <v>114.96539999999993</v>
      </c>
      <c r="K1226" s="29">
        <f t="shared" ref="K1226:K1289" si="105">IF(I1226&gt;J1226,K1225*H1226/H1225,100000)</f>
        <v>452507.7827741268</v>
      </c>
    </row>
    <row r="1227" spans="1:11" ht="18" x14ac:dyDescent="0.2">
      <c r="A1227" s="31">
        <v>45033</v>
      </c>
      <c r="B1227" s="30">
        <v>27.1</v>
      </c>
      <c r="C1227" s="29">
        <f t="shared" si="100"/>
        <v>17.945400000000006</v>
      </c>
      <c r="D1227" s="29">
        <f t="shared" si="102"/>
        <v>14.945999999999993</v>
      </c>
      <c r="E1227" s="29">
        <f t="shared" si="104"/>
        <v>7324324.324324321</v>
      </c>
      <c r="H1227" s="3">
        <v>132.52000000000001</v>
      </c>
      <c r="I1227" s="29">
        <f t="shared" si="101"/>
        <v>116.44499999999998</v>
      </c>
      <c r="J1227" s="29">
        <f t="shared" si="103"/>
        <v>115.17114999999994</v>
      </c>
      <c r="K1227" s="29">
        <f t="shared" si="105"/>
        <v>458388.10100311338</v>
      </c>
    </row>
    <row r="1228" spans="1:11" ht="18" x14ac:dyDescent="0.2">
      <c r="A1228" s="31">
        <v>45040</v>
      </c>
      <c r="B1228" s="30">
        <v>27.73</v>
      </c>
      <c r="C1228" s="29">
        <f t="shared" si="100"/>
        <v>18.146400000000007</v>
      </c>
      <c r="D1228" s="29">
        <f t="shared" si="102"/>
        <v>15.064249999999992</v>
      </c>
      <c r="E1228" s="29">
        <f t="shared" si="104"/>
        <v>7494594.5945945904</v>
      </c>
      <c r="H1228" s="3">
        <v>130.35</v>
      </c>
      <c r="I1228" s="29">
        <f t="shared" si="101"/>
        <v>116.83759999999998</v>
      </c>
      <c r="J1228" s="29">
        <f t="shared" si="103"/>
        <v>115.35619999999993</v>
      </c>
      <c r="K1228" s="29">
        <f t="shared" si="105"/>
        <v>450882.04773434822</v>
      </c>
    </row>
    <row r="1229" spans="1:11" ht="18" x14ac:dyDescent="0.2">
      <c r="A1229" s="31">
        <v>45047</v>
      </c>
      <c r="B1229" s="30">
        <v>28.66</v>
      </c>
      <c r="C1229" s="29">
        <f t="shared" si="100"/>
        <v>18.386200000000002</v>
      </c>
      <c r="D1229" s="29">
        <f t="shared" si="102"/>
        <v>15.187649999999994</v>
      </c>
      <c r="E1229" s="29">
        <f t="shared" si="104"/>
        <v>7745945.9459459418</v>
      </c>
      <c r="H1229" s="3">
        <v>128.94</v>
      </c>
      <c r="I1229" s="29">
        <f t="shared" si="101"/>
        <v>117.2714</v>
      </c>
      <c r="J1229" s="29">
        <f t="shared" si="103"/>
        <v>115.52714999999993</v>
      </c>
      <c r="K1229" s="29">
        <f t="shared" si="105"/>
        <v>446004.84261501237</v>
      </c>
    </row>
    <row r="1230" spans="1:11" ht="18" x14ac:dyDescent="0.2">
      <c r="A1230" s="31">
        <v>45054</v>
      </c>
      <c r="B1230" s="30">
        <v>28.32</v>
      </c>
      <c r="C1230" s="29">
        <f t="shared" si="100"/>
        <v>18.577000000000002</v>
      </c>
      <c r="D1230" s="29">
        <f t="shared" si="102"/>
        <v>15.308449999999995</v>
      </c>
      <c r="E1230" s="29">
        <f t="shared" si="104"/>
        <v>7654054.0540540498</v>
      </c>
      <c r="H1230" s="3">
        <v>126.45</v>
      </c>
      <c r="I1230" s="29">
        <f t="shared" si="101"/>
        <v>117.7088</v>
      </c>
      <c r="J1230" s="29">
        <f t="shared" si="103"/>
        <v>115.67469999999994</v>
      </c>
      <c r="K1230" s="29">
        <f t="shared" si="105"/>
        <v>437391.90591490862</v>
      </c>
    </row>
    <row r="1231" spans="1:11" ht="18" x14ac:dyDescent="0.2">
      <c r="A1231" s="31">
        <v>45061</v>
      </c>
      <c r="B1231" s="30">
        <v>31.24</v>
      </c>
      <c r="C1231" s="29">
        <f t="shared" si="100"/>
        <v>18.828000000000003</v>
      </c>
      <c r="D1231" s="29">
        <f t="shared" si="102"/>
        <v>15.443699999999994</v>
      </c>
      <c r="E1231" s="29">
        <f t="shared" si="104"/>
        <v>8443243.243243238</v>
      </c>
      <c r="H1231" s="3">
        <v>131.24</v>
      </c>
      <c r="I1231" s="29">
        <f t="shared" si="101"/>
        <v>117.84219999999999</v>
      </c>
      <c r="J1231" s="29">
        <f t="shared" si="103"/>
        <v>115.85359999999993</v>
      </c>
      <c r="K1231" s="29">
        <f t="shared" si="105"/>
        <v>453960.56727775885</v>
      </c>
    </row>
    <row r="1232" spans="1:11" ht="18" x14ac:dyDescent="0.2">
      <c r="A1232" s="31">
        <v>45068</v>
      </c>
      <c r="B1232" s="30">
        <v>38.92</v>
      </c>
      <c r="C1232" s="29">
        <f t="shared" si="100"/>
        <v>19.267400000000002</v>
      </c>
      <c r="D1232" s="29">
        <f t="shared" si="102"/>
        <v>15.616549999999995</v>
      </c>
      <c r="E1232" s="29">
        <f t="shared" si="104"/>
        <v>10518918.918918913</v>
      </c>
      <c r="H1232" s="3">
        <v>129.13</v>
      </c>
      <c r="I1232" s="29">
        <f t="shared" si="101"/>
        <v>118.09179999999998</v>
      </c>
      <c r="J1232" s="29">
        <f t="shared" si="103"/>
        <v>116.01069999999994</v>
      </c>
      <c r="K1232" s="29">
        <f t="shared" si="105"/>
        <v>446662.05465236964</v>
      </c>
    </row>
    <row r="1233" spans="1:11" ht="18" x14ac:dyDescent="0.2">
      <c r="A1233" s="31">
        <v>45075</v>
      </c>
      <c r="B1233" s="30">
        <v>39.299999999999997</v>
      </c>
      <c r="C1233" s="29">
        <f t="shared" si="100"/>
        <v>19.7362</v>
      </c>
      <c r="D1233" s="29">
        <f t="shared" si="102"/>
        <v>15.792999999999996</v>
      </c>
      <c r="E1233" s="29">
        <f t="shared" si="104"/>
        <v>10621621.621621614</v>
      </c>
      <c r="H1233" s="3">
        <v>132.46</v>
      </c>
      <c r="I1233" s="29">
        <f t="shared" si="101"/>
        <v>118.4928</v>
      </c>
      <c r="J1233" s="29">
        <f t="shared" si="103"/>
        <v>116.19824999999993</v>
      </c>
      <c r="K1233" s="29">
        <f t="shared" si="105"/>
        <v>458180.56035973737</v>
      </c>
    </row>
    <row r="1234" spans="1:11" ht="18" x14ac:dyDescent="0.2">
      <c r="A1234" s="31">
        <v>45082</v>
      </c>
      <c r="B1234" s="30">
        <v>38.74</v>
      </c>
      <c r="C1234" s="29">
        <f t="shared" si="100"/>
        <v>20.169</v>
      </c>
      <c r="D1234" s="29">
        <f t="shared" si="102"/>
        <v>15.967549999999994</v>
      </c>
      <c r="E1234" s="29">
        <f t="shared" si="104"/>
        <v>10470270.270270264</v>
      </c>
      <c r="H1234" s="3">
        <v>132.97</v>
      </c>
      <c r="I1234" s="29">
        <f t="shared" si="101"/>
        <v>119.07940000000001</v>
      </c>
      <c r="J1234" s="29">
        <f t="shared" si="103"/>
        <v>116.40174999999994</v>
      </c>
      <c r="K1234" s="29">
        <f t="shared" si="105"/>
        <v>459944.65582843329</v>
      </c>
    </row>
    <row r="1235" spans="1:11" ht="18" x14ac:dyDescent="0.2">
      <c r="A1235" s="31">
        <v>45089</v>
      </c>
      <c r="B1235" s="30">
        <v>42.66</v>
      </c>
      <c r="C1235" s="29">
        <f t="shared" si="100"/>
        <v>20.732200000000002</v>
      </c>
      <c r="D1235" s="29">
        <f t="shared" si="102"/>
        <v>16.161049999999992</v>
      </c>
      <c r="E1235" s="29">
        <f t="shared" si="104"/>
        <v>11529729.729729721</v>
      </c>
      <c r="H1235" s="3">
        <v>135.09</v>
      </c>
      <c r="I1235" s="29">
        <f t="shared" si="101"/>
        <v>119.59780000000001</v>
      </c>
      <c r="J1235" s="29">
        <f t="shared" si="103"/>
        <v>116.62434999999996</v>
      </c>
      <c r="K1235" s="29">
        <f t="shared" si="105"/>
        <v>467277.75856105174</v>
      </c>
    </row>
    <row r="1236" spans="1:11" ht="18" x14ac:dyDescent="0.2">
      <c r="A1236" s="31">
        <v>45096</v>
      </c>
      <c r="B1236" s="30">
        <v>42.18</v>
      </c>
      <c r="C1236" s="29">
        <f t="shared" si="100"/>
        <v>21.259599999999999</v>
      </c>
      <c r="D1236" s="29">
        <f t="shared" si="102"/>
        <v>16.351749999999992</v>
      </c>
      <c r="E1236" s="29">
        <f t="shared" si="104"/>
        <v>11399999.999999993</v>
      </c>
      <c r="H1236" s="3">
        <v>130.93</v>
      </c>
      <c r="I1236" s="29">
        <f t="shared" si="101"/>
        <v>120.21840000000002</v>
      </c>
      <c r="J1236" s="29">
        <f t="shared" si="103"/>
        <v>116.83329999999997</v>
      </c>
      <c r="K1236" s="29">
        <f t="shared" si="105"/>
        <v>452888.27395364945</v>
      </c>
    </row>
    <row r="1237" spans="1:11" ht="18" x14ac:dyDescent="0.2">
      <c r="A1237" s="31">
        <v>45103</v>
      </c>
      <c r="B1237" s="30">
        <v>42.27</v>
      </c>
      <c r="C1237" s="29">
        <f t="shared" si="100"/>
        <v>21.790199999999999</v>
      </c>
      <c r="D1237" s="29">
        <f t="shared" si="102"/>
        <v>16.542299999999994</v>
      </c>
      <c r="E1237" s="29">
        <f t="shared" si="104"/>
        <v>11424324.324324317</v>
      </c>
      <c r="H1237" s="3">
        <v>137.13999999999999</v>
      </c>
      <c r="I1237" s="29">
        <f t="shared" si="101"/>
        <v>120.75000000000001</v>
      </c>
      <c r="J1237" s="29">
        <f t="shared" si="103"/>
        <v>117.05714999999995</v>
      </c>
      <c r="K1237" s="29">
        <f t="shared" si="105"/>
        <v>474368.73054306483</v>
      </c>
    </row>
    <row r="1238" spans="1:11" ht="18" x14ac:dyDescent="0.2">
      <c r="A1238" s="31">
        <v>45110</v>
      </c>
      <c r="B1238" s="30">
        <v>42.47</v>
      </c>
      <c r="C1238" s="29">
        <f t="shared" si="100"/>
        <v>22.293800000000001</v>
      </c>
      <c r="D1238" s="29">
        <f t="shared" si="102"/>
        <v>16.732449999999993</v>
      </c>
      <c r="E1238" s="29">
        <f t="shared" si="104"/>
        <v>11478378.378378369</v>
      </c>
      <c r="H1238" s="3">
        <v>136.11000000000001</v>
      </c>
      <c r="I1238" s="29">
        <f t="shared" si="101"/>
        <v>121.41340000000002</v>
      </c>
      <c r="J1238" s="29">
        <f t="shared" si="103"/>
        <v>117.26429999999995</v>
      </c>
      <c r="K1238" s="29">
        <f t="shared" si="105"/>
        <v>470805.94949844369</v>
      </c>
    </row>
    <row r="1239" spans="1:11" ht="18" x14ac:dyDescent="0.2">
      <c r="A1239" s="31">
        <v>45117</v>
      </c>
      <c r="B1239" s="30">
        <v>45.44</v>
      </c>
      <c r="C1239" s="29">
        <f t="shared" si="100"/>
        <v>22.8398</v>
      </c>
      <c r="D1239" s="29">
        <f t="shared" si="102"/>
        <v>16.936999999999994</v>
      </c>
      <c r="E1239" s="29">
        <f t="shared" si="104"/>
        <v>12281081.08108107</v>
      </c>
      <c r="H1239" s="3">
        <v>142.19999999999999</v>
      </c>
      <c r="I1239" s="29">
        <f t="shared" si="101"/>
        <v>122.02280000000002</v>
      </c>
      <c r="J1239" s="29">
        <f t="shared" si="103"/>
        <v>117.46989999999997</v>
      </c>
      <c r="K1239" s="29">
        <f t="shared" si="105"/>
        <v>491871.32480110705</v>
      </c>
    </row>
    <row r="1240" spans="1:11" ht="18" x14ac:dyDescent="0.2">
      <c r="A1240" s="31">
        <v>45124</v>
      </c>
      <c r="B1240" s="30">
        <v>44.28</v>
      </c>
      <c r="C1240" s="29">
        <f t="shared" si="100"/>
        <v>23.3462</v>
      </c>
      <c r="D1240" s="29">
        <f t="shared" si="102"/>
        <v>17.136899999999997</v>
      </c>
      <c r="E1240" s="29">
        <f t="shared" si="104"/>
        <v>11967567.567567557</v>
      </c>
      <c r="H1240" s="3">
        <v>147.11000000000001</v>
      </c>
      <c r="I1240" s="29">
        <f t="shared" si="101"/>
        <v>122.74300000000001</v>
      </c>
      <c r="J1240" s="29">
        <f t="shared" si="103"/>
        <v>117.70559999999996</v>
      </c>
      <c r="K1240" s="29">
        <f t="shared" si="105"/>
        <v>508855.06745070935</v>
      </c>
    </row>
    <row r="1241" spans="1:11" ht="18" x14ac:dyDescent="0.2">
      <c r="A1241" s="31">
        <v>45131</v>
      </c>
      <c r="B1241" s="30">
        <v>46.72</v>
      </c>
      <c r="C1241" s="29">
        <f t="shared" si="100"/>
        <v>23.906999999999996</v>
      </c>
      <c r="D1241" s="29">
        <f t="shared" si="102"/>
        <v>17.349149999999995</v>
      </c>
      <c r="E1241" s="29">
        <f t="shared" si="104"/>
        <v>12627027.027027017</v>
      </c>
      <c r="H1241" s="3">
        <v>148.97</v>
      </c>
      <c r="I1241" s="29">
        <f t="shared" si="101"/>
        <v>123.554</v>
      </c>
      <c r="J1241" s="29">
        <f t="shared" si="103"/>
        <v>117.95559999999998</v>
      </c>
      <c r="K1241" s="29">
        <f t="shared" si="105"/>
        <v>515288.82739536517</v>
      </c>
    </row>
    <row r="1242" spans="1:11" ht="18" x14ac:dyDescent="0.2">
      <c r="A1242" s="31">
        <v>45138</v>
      </c>
      <c r="B1242" s="30">
        <v>44.65</v>
      </c>
      <c r="C1242" s="29">
        <f t="shared" si="100"/>
        <v>24.4436</v>
      </c>
      <c r="D1242" s="29">
        <f t="shared" si="102"/>
        <v>17.549749999999996</v>
      </c>
      <c r="E1242" s="29">
        <f t="shared" si="104"/>
        <v>12067567.567567559</v>
      </c>
      <c r="H1242" s="3">
        <v>148.13</v>
      </c>
      <c r="I1242" s="29">
        <f t="shared" si="101"/>
        <v>124.28500000000003</v>
      </c>
      <c r="J1242" s="29">
        <f t="shared" si="103"/>
        <v>118.21439999999997</v>
      </c>
      <c r="K1242" s="29">
        <f t="shared" si="105"/>
        <v>512383.25838810118</v>
      </c>
    </row>
    <row r="1243" spans="1:11" ht="18" x14ac:dyDescent="0.2">
      <c r="A1243" s="31">
        <v>45145</v>
      </c>
      <c r="B1243" s="30">
        <v>40.83</v>
      </c>
      <c r="C1243" s="29">
        <f t="shared" si="100"/>
        <v>24.935400000000001</v>
      </c>
      <c r="D1243" s="29">
        <f t="shared" si="102"/>
        <v>17.730749999999993</v>
      </c>
      <c r="E1243" s="29">
        <f t="shared" si="104"/>
        <v>11035135.135135127</v>
      </c>
      <c r="H1243" s="3">
        <v>146.63999999999999</v>
      </c>
      <c r="I1243" s="29">
        <f t="shared" si="101"/>
        <v>125.06360000000002</v>
      </c>
      <c r="J1243" s="29">
        <f t="shared" si="103"/>
        <v>118.45544999999997</v>
      </c>
      <c r="K1243" s="29">
        <f t="shared" si="105"/>
        <v>507229.3324109306</v>
      </c>
    </row>
    <row r="1244" spans="1:11" ht="18" x14ac:dyDescent="0.2">
      <c r="A1244" s="31">
        <v>45152</v>
      </c>
      <c r="B1244" s="30">
        <v>43.27</v>
      </c>
      <c r="C1244" s="29">
        <f t="shared" si="100"/>
        <v>25.528199999999998</v>
      </c>
      <c r="D1244" s="29">
        <f t="shared" si="102"/>
        <v>17.923399999999994</v>
      </c>
      <c r="E1244" s="29">
        <f t="shared" si="104"/>
        <v>11694594.594594589</v>
      </c>
      <c r="H1244" s="3">
        <v>141.44</v>
      </c>
      <c r="I1244" s="29">
        <f t="shared" si="101"/>
        <v>125.88540000000003</v>
      </c>
      <c r="J1244" s="29">
        <f t="shared" si="103"/>
        <v>118.65179999999995</v>
      </c>
      <c r="K1244" s="29">
        <f t="shared" si="105"/>
        <v>489242.4766516778</v>
      </c>
    </row>
    <row r="1245" spans="1:11" ht="18" x14ac:dyDescent="0.2">
      <c r="A1245" s="31">
        <v>45159</v>
      </c>
      <c r="B1245" s="30">
        <v>45.99</v>
      </c>
      <c r="C1245" s="29">
        <f t="shared" si="100"/>
        <v>26.160599999999999</v>
      </c>
      <c r="D1245" s="29">
        <f t="shared" si="102"/>
        <v>18.127899999999993</v>
      </c>
      <c r="E1245" s="29">
        <f t="shared" si="104"/>
        <v>12429729.729729723</v>
      </c>
      <c r="H1245" s="3">
        <v>139.61000000000001</v>
      </c>
      <c r="I1245" s="29">
        <f t="shared" si="101"/>
        <v>126.62080000000002</v>
      </c>
      <c r="J1245" s="29">
        <f t="shared" si="103"/>
        <v>118.81579999999994</v>
      </c>
      <c r="K1245" s="29">
        <f t="shared" si="105"/>
        <v>482912.48702871008</v>
      </c>
    </row>
    <row r="1246" spans="1:11" ht="18" x14ac:dyDescent="0.2">
      <c r="A1246" s="31">
        <v>45166</v>
      </c>
      <c r="B1246" s="30">
        <v>48.48</v>
      </c>
      <c r="C1246" s="29">
        <f t="shared" si="100"/>
        <v>26.866599999999998</v>
      </c>
      <c r="D1246" s="29">
        <f t="shared" si="102"/>
        <v>18.345099999999992</v>
      </c>
      <c r="E1246" s="29">
        <f t="shared" si="104"/>
        <v>13102702.702702694</v>
      </c>
      <c r="H1246" s="3">
        <v>139.38999999999999</v>
      </c>
      <c r="I1246" s="29">
        <f t="shared" si="101"/>
        <v>127.21900000000001</v>
      </c>
      <c r="J1246" s="29">
        <f t="shared" si="103"/>
        <v>118.97119999999995</v>
      </c>
      <c r="K1246" s="29">
        <f t="shared" si="105"/>
        <v>482151.50466966466</v>
      </c>
    </row>
    <row r="1247" spans="1:11" ht="18" x14ac:dyDescent="0.2">
      <c r="A1247" s="31">
        <v>45173</v>
      </c>
      <c r="B1247" s="30">
        <v>45.54</v>
      </c>
      <c r="C1247" s="29">
        <f t="shared" si="100"/>
        <v>27.527399999999997</v>
      </c>
      <c r="D1247" s="29">
        <f t="shared" si="102"/>
        <v>18.546949999999992</v>
      </c>
      <c r="E1247" s="29">
        <f t="shared" si="104"/>
        <v>12308108.108108101</v>
      </c>
      <c r="H1247" s="3">
        <v>136.56</v>
      </c>
      <c r="I1247" s="29">
        <f t="shared" si="101"/>
        <v>127.85140000000001</v>
      </c>
      <c r="J1247" s="29">
        <f t="shared" si="103"/>
        <v>119.10149999999996</v>
      </c>
      <c r="K1247" s="29">
        <f t="shared" si="105"/>
        <v>472362.50432376366</v>
      </c>
    </row>
    <row r="1248" spans="1:11" ht="18" x14ac:dyDescent="0.2">
      <c r="A1248" s="31">
        <v>45180</v>
      </c>
      <c r="B1248" s="30">
        <v>43.87</v>
      </c>
      <c r="C1248" s="29">
        <f t="shared" si="100"/>
        <v>28.162399999999995</v>
      </c>
      <c r="D1248" s="29">
        <f t="shared" si="102"/>
        <v>18.740899999999993</v>
      </c>
      <c r="E1248" s="29">
        <f t="shared" si="104"/>
        <v>11856756.756756751</v>
      </c>
      <c r="H1248" s="3">
        <v>141.28</v>
      </c>
      <c r="I1248" s="29">
        <f t="shared" si="101"/>
        <v>128.57340000000002</v>
      </c>
      <c r="J1248" s="29">
        <f t="shared" si="103"/>
        <v>119.25899999999994</v>
      </c>
      <c r="K1248" s="29">
        <f t="shared" si="105"/>
        <v>488689.03493600857</v>
      </c>
    </row>
    <row r="1249" spans="1:11" ht="18" x14ac:dyDescent="0.2">
      <c r="A1249" s="31">
        <v>45187</v>
      </c>
      <c r="B1249" s="30">
        <v>41.59</v>
      </c>
      <c r="C1249" s="29">
        <f t="shared" si="100"/>
        <v>28.752999999999993</v>
      </c>
      <c r="D1249" s="29">
        <f t="shared" si="102"/>
        <v>18.922599999999992</v>
      </c>
      <c r="E1249" s="29">
        <f t="shared" si="104"/>
        <v>11240540.540540537</v>
      </c>
      <c r="H1249" s="3">
        <v>138.36000000000001</v>
      </c>
      <c r="I1249" s="29">
        <f t="shared" si="101"/>
        <v>129.47520000000003</v>
      </c>
      <c r="J1249" s="29">
        <f t="shared" si="103"/>
        <v>119.39659999999995</v>
      </c>
      <c r="K1249" s="29">
        <f t="shared" si="105"/>
        <v>478588.72362504358</v>
      </c>
    </row>
    <row r="1250" spans="1:11" ht="18" x14ac:dyDescent="0.2">
      <c r="A1250" s="31">
        <v>45194</v>
      </c>
      <c r="B1250" s="30">
        <v>43.47</v>
      </c>
      <c r="C1250" s="29">
        <f t="shared" si="100"/>
        <v>29.398199999999992</v>
      </c>
      <c r="D1250" s="29">
        <f t="shared" si="102"/>
        <v>19.112999999999989</v>
      </c>
      <c r="E1250" s="29">
        <f t="shared" si="104"/>
        <v>11748648.648648644</v>
      </c>
      <c r="H1250" s="3">
        <v>137.69</v>
      </c>
      <c r="I1250" s="29">
        <f t="shared" si="101"/>
        <v>130.2912</v>
      </c>
      <c r="J1250" s="29">
        <f t="shared" si="103"/>
        <v>119.52669999999995</v>
      </c>
      <c r="K1250" s="29">
        <f t="shared" si="105"/>
        <v>476271.18644067826</v>
      </c>
    </row>
    <row r="1251" spans="1:11" ht="18" x14ac:dyDescent="0.2">
      <c r="A1251" s="31">
        <v>45201</v>
      </c>
      <c r="B1251" s="30">
        <v>45.74</v>
      </c>
      <c r="C1251" s="29">
        <f t="shared" si="100"/>
        <v>30.063999999999993</v>
      </c>
      <c r="D1251" s="29">
        <f t="shared" si="102"/>
        <v>19.31529999999999</v>
      </c>
      <c r="E1251" s="29">
        <f t="shared" si="104"/>
        <v>12362162.162162157</v>
      </c>
      <c r="H1251" s="3">
        <v>137.76</v>
      </c>
      <c r="I1251" s="29">
        <f t="shared" si="101"/>
        <v>130.9796</v>
      </c>
      <c r="J1251" s="29">
        <f t="shared" si="103"/>
        <v>119.64324999999994</v>
      </c>
      <c r="K1251" s="29">
        <f t="shared" si="105"/>
        <v>476513.31719128357</v>
      </c>
    </row>
    <row r="1252" spans="1:11" ht="18" x14ac:dyDescent="0.2">
      <c r="A1252" s="31">
        <v>45208</v>
      </c>
      <c r="B1252" s="30">
        <v>45.43</v>
      </c>
      <c r="C1252" s="29">
        <f t="shared" si="100"/>
        <v>30.696199999999994</v>
      </c>
      <c r="D1252" s="29">
        <f t="shared" si="102"/>
        <v>19.514549999999989</v>
      </c>
      <c r="E1252" s="29">
        <f t="shared" si="104"/>
        <v>12278378.378378373</v>
      </c>
      <c r="H1252" s="3">
        <v>141.55000000000001</v>
      </c>
      <c r="I1252" s="29">
        <f t="shared" si="101"/>
        <v>131.46440000000001</v>
      </c>
      <c r="J1252" s="29">
        <f t="shared" si="103"/>
        <v>119.77124999999995</v>
      </c>
      <c r="K1252" s="29">
        <f t="shared" si="105"/>
        <v>489622.96783120063</v>
      </c>
    </row>
    <row r="1253" spans="1:11" ht="18" x14ac:dyDescent="0.2">
      <c r="A1253" s="31">
        <v>45215</v>
      </c>
      <c r="B1253" s="30">
        <v>41.36</v>
      </c>
      <c r="C1253" s="29">
        <f t="shared" si="100"/>
        <v>31.240599999999993</v>
      </c>
      <c r="D1253" s="29">
        <f t="shared" si="102"/>
        <v>19.691549999999992</v>
      </c>
      <c r="E1253" s="29">
        <f t="shared" si="104"/>
        <v>11178378.378378373</v>
      </c>
      <c r="H1253" s="3">
        <v>136.72</v>
      </c>
      <c r="I1253" s="29">
        <f t="shared" si="101"/>
        <v>131.95339999999999</v>
      </c>
      <c r="J1253" s="29">
        <f t="shared" si="103"/>
        <v>119.87329999999994</v>
      </c>
      <c r="K1253" s="29">
        <f t="shared" si="105"/>
        <v>472915.94603943307</v>
      </c>
    </row>
    <row r="1254" spans="1:11" ht="18" x14ac:dyDescent="0.2">
      <c r="A1254" s="31">
        <v>45222</v>
      </c>
      <c r="B1254" s="30">
        <v>40.479999999999997</v>
      </c>
      <c r="C1254" s="29">
        <f t="shared" si="100"/>
        <v>31.723999999999997</v>
      </c>
      <c r="D1254" s="29">
        <f t="shared" si="102"/>
        <v>19.864449999999991</v>
      </c>
      <c r="E1254" s="29">
        <f t="shared" si="104"/>
        <v>10940540.540540535</v>
      </c>
      <c r="H1254" s="3">
        <v>129.78</v>
      </c>
      <c r="I1254" s="29">
        <f t="shared" si="101"/>
        <v>132.2604</v>
      </c>
      <c r="J1254" s="29">
        <f t="shared" si="103"/>
        <v>119.93259999999995</v>
      </c>
      <c r="K1254" s="29">
        <f t="shared" si="105"/>
        <v>448910.41162227636</v>
      </c>
    </row>
    <row r="1255" spans="1:11" ht="18" x14ac:dyDescent="0.2">
      <c r="A1255" s="31">
        <v>45229</v>
      </c>
      <c r="B1255" s="30">
        <v>44.98</v>
      </c>
      <c r="C1255" s="29">
        <f t="shared" si="100"/>
        <v>32.315799999999996</v>
      </c>
      <c r="D1255" s="29">
        <f t="shared" si="102"/>
        <v>20.05994999999999</v>
      </c>
      <c r="E1255" s="29">
        <f t="shared" si="104"/>
        <v>12156756.756756751</v>
      </c>
      <c r="H1255" s="3">
        <v>136.77000000000001</v>
      </c>
      <c r="I1255" s="29">
        <f t="shared" si="101"/>
        <v>132.34279999999998</v>
      </c>
      <c r="J1255" s="29">
        <f t="shared" si="103"/>
        <v>120.03024999999994</v>
      </c>
      <c r="K1255" s="29">
        <f t="shared" si="105"/>
        <v>473088.89657557977</v>
      </c>
    </row>
    <row r="1256" spans="1:11" ht="18" x14ac:dyDescent="0.2">
      <c r="A1256" s="31">
        <v>45236</v>
      </c>
      <c r="B1256" s="30">
        <v>48.31</v>
      </c>
      <c r="C1256" s="29">
        <f t="shared" si="100"/>
        <v>32.956999999999994</v>
      </c>
      <c r="D1256" s="29">
        <f t="shared" si="102"/>
        <v>20.27109999999999</v>
      </c>
      <c r="E1256" s="29">
        <f t="shared" si="104"/>
        <v>13056756.756756751</v>
      </c>
      <c r="H1256" s="3">
        <v>140.05000000000001</v>
      </c>
      <c r="I1256" s="29">
        <f t="shared" si="101"/>
        <v>132.59220000000002</v>
      </c>
      <c r="J1256" s="29">
        <f t="shared" si="103"/>
        <v>120.15019999999996</v>
      </c>
      <c r="K1256" s="29">
        <f t="shared" si="105"/>
        <v>484434.4517468008</v>
      </c>
    </row>
    <row r="1257" spans="1:11" ht="18" x14ac:dyDescent="0.2">
      <c r="A1257" s="31">
        <v>45243</v>
      </c>
      <c r="B1257" s="30">
        <v>49.27</v>
      </c>
      <c r="C1257" s="29">
        <f t="shared" si="100"/>
        <v>33.605199999999996</v>
      </c>
      <c r="D1257" s="29">
        <f t="shared" si="102"/>
        <v>20.486449999999991</v>
      </c>
      <c r="E1257" s="29">
        <f t="shared" si="104"/>
        <v>13316216.21621621</v>
      </c>
      <c r="H1257" s="3">
        <v>146.16</v>
      </c>
      <c r="I1257" s="29">
        <f t="shared" si="101"/>
        <v>132.85320000000002</v>
      </c>
      <c r="J1257" s="29">
        <f t="shared" si="103"/>
        <v>120.29159999999995</v>
      </c>
      <c r="K1257" s="29">
        <f t="shared" si="105"/>
        <v>505569.00726392283</v>
      </c>
    </row>
    <row r="1258" spans="1:11" ht="18" x14ac:dyDescent="0.2">
      <c r="A1258" s="31">
        <v>45250</v>
      </c>
      <c r="B1258" s="30">
        <v>47.75</v>
      </c>
      <c r="C1258" s="29">
        <f t="shared" si="100"/>
        <v>34.22059999999999</v>
      </c>
      <c r="D1258" s="29">
        <f t="shared" si="102"/>
        <v>20.69404999999999</v>
      </c>
      <c r="E1258" s="29">
        <f t="shared" si="104"/>
        <v>12905405.405405398</v>
      </c>
      <c r="H1258" s="3">
        <v>146.85</v>
      </c>
      <c r="I1258" s="29">
        <f t="shared" si="101"/>
        <v>133.26580000000001</v>
      </c>
      <c r="J1258" s="29">
        <f t="shared" si="103"/>
        <v>120.45799999999991</v>
      </c>
      <c r="K1258" s="29">
        <f t="shared" si="105"/>
        <v>507955.72466274677</v>
      </c>
    </row>
    <row r="1259" spans="1:11" ht="18" x14ac:dyDescent="0.2">
      <c r="A1259" s="31">
        <v>45257</v>
      </c>
      <c r="B1259" s="30">
        <v>46.74</v>
      </c>
      <c r="C1259" s="29">
        <f t="shared" si="100"/>
        <v>34.82419999999999</v>
      </c>
      <c r="D1259" s="29">
        <f t="shared" si="102"/>
        <v>20.89834999999999</v>
      </c>
      <c r="E1259" s="29">
        <f t="shared" si="104"/>
        <v>12632432.432432426</v>
      </c>
      <c r="H1259" s="3">
        <v>150.01</v>
      </c>
      <c r="I1259" s="29">
        <f t="shared" si="101"/>
        <v>133.74800000000002</v>
      </c>
      <c r="J1259" s="29">
        <f t="shared" si="103"/>
        <v>120.64359999999992</v>
      </c>
      <c r="K1259" s="29">
        <f t="shared" si="105"/>
        <v>518886.19854721584</v>
      </c>
    </row>
    <row r="1260" spans="1:11" ht="18" x14ac:dyDescent="0.2">
      <c r="A1260" s="31">
        <v>45264</v>
      </c>
      <c r="B1260" s="30">
        <v>47.48</v>
      </c>
      <c r="C1260" s="29">
        <f t="shared" si="100"/>
        <v>35.47</v>
      </c>
      <c r="D1260" s="29">
        <f t="shared" si="102"/>
        <v>21.104449999999989</v>
      </c>
      <c r="E1260" s="29">
        <f t="shared" si="104"/>
        <v>12832432.432432426</v>
      </c>
      <c r="H1260" s="3">
        <v>151.61000000000001</v>
      </c>
      <c r="I1260" s="29">
        <f t="shared" si="101"/>
        <v>134.34660000000002</v>
      </c>
      <c r="J1260" s="29">
        <f t="shared" si="103"/>
        <v>120.81664999999994</v>
      </c>
      <c r="K1260" s="29">
        <f t="shared" si="105"/>
        <v>524420.61570390908</v>
      </c>
    </row>
    <row r="1261" spans="1:11" ht="18" x14ac:dyDescent="0.2">
      <c r="A1261" s="31">
        <v>45271</v>
      </c>
      <c r="B1261" s="30">
        <v>48.87</v>
      </c>
      <c r="C1261" s="29">
        <f t="shared" si="100"/>
        <v>36.155399999999993</v>
      </c>
      <c r="D1261" s="29">
        <f t="shared" si="102"/>
        <v>21.312749999999987</v>
      </c>
      <c r="E1261" s="29">
        <f t="shared" si="104"/>
        <v>13208108.108108101</v>
      </c>
      <c r="H1261" s="3">
        <v>158.03</v>
      </c>
      <c r="I1261" s="29">
        <f t="shared" si="101"/>
        <v>134.9402</v>
      </c>
      <c r="J1261" s="29">
        <f t="shared" si="103"/>
        <v>121.02059999999992</v>
      </c>
      <c r="K1261" s="29">
        <f t="shared" si="105"/>
        <v>546627.46454514039</v>
      </c>
    </row>
    <row r="1262" spans="1:11" ht="18" x14ac:dyDescent="0.2">
      <c r="A1262" s="31">
        <v>45278</v>
      </c>
      <c r="B1262" s="30">
        <v>48.81</v>
      </c>
      <c r="C1262" s="29">
        <f t="shared" si="100"/>
        <v>36.834799999999994</v>
      </c>
      <c r="D1262" s="29">
        <f t="shared" si="102"/>
        <v>21.520199999999985</v>
      </c>
      <c r="E1262" s="29">
        <f t="shared" si="104"/>
        <v>13191891.891891886</v>
      </c>
      <c r="H1262" s="3">
        <v>160.11000000000001</v>
      </c>
      <c r="I1262" s="29">
        <f t="shared" si="101"/>
        <v>135.61000000000001</v>
      </c>
      <c r="J1262" s="29">
        <f t="shared" si="103"/>
        <v>121.24194999999995</v>
      </c>
      <c r="K1262" s="29">
        <f t="shared" si="105"/>
        <v>553822.20684884163</v>
      </c>
    </row>
    <row r="1263" spans="1:11" ht="18" x14ac:dyDescent="0.2">
      <c r="A1263" s="31">
        <v>45285</v>
      </c>
      <c r="B1263" s="30">
        <v>49.5</v>
      </c>
      <c r="C1263" s="29">
        <f t="shared" si="100"/>
        <v>37.487199999999994</v>
      </c>
      <c r="D1263" s="29">
        <f t="shared" si="102"/>
        <v>21.734099999999991</v>
      </c>
      <c r="E1263" s="29">
        <f t="shared" si="104"/>
        <v>13378378.378378373</v>
      </c>
      <c r="H1263" s="3">
        <v>162.69</v>
      </c>
      <c r="I1263" s="29">
        <f t="shared" si="101"/>
        <v>136.25</v>
      </c>
      <c r="J1263" s="29">
        <f t="shared" si="103"/>
        <v>121.56024999999993</v>
      </c>
      <c r="K1263" s="29">
        <f t="shared" si="105"/>
        <v>562746.45451400941</v>
      </c>
    </row>
    <row r="1264" spans="1:11" ht="18" x14ac:dyDescent="0.2">
      <c r="A1264" s="31">
        <v>45292</v>
      </c>
      <c r="B1264" s="30">
        <v>49.07</v>
      </c>
      <c r="C1264" s="29">
        <f t="shared" si="100"/>
        <v>38.112199999999994</v>
      </c>
      <c r="D1264" s="29">
        <f t="shared" si="102"/>
        <v>21.946299999999987</v>
      </c>
      <c r="E1264" s="29">
        <f t="shared" si="104"/>
        <v>13262162.162162157</v>
      </c>
      <c r="H1264" s="3">
        <v>164.76</v>
      </c>
      <c r="I1264" s="29">
        <f t="shared" si="101"/>
        <v>136.8278</v>
      </c>
      <c r="J1264" s="29">
        <f t="shared" si="103"/>
        <v>121.92309999999992</v>
      </c>
      <c r="K1264" s="29">
        <f t="shared" si="105"/>
        <v>569906.60671048122</v>
      </c>
    </row>
    <row r="1265" spans="1:11" ht="18" x14ac:dyDescent="0.2">
      <c r="A1265" s="31">
        <v>45299</v>
      </c>
      <c r="B1265" s="30">
        <v>54.68</v>
      </c>
      <c r="C1265" s="29">
        <f t="shared" si="100"/>
        <v>38.798799999999993</v>
      </c>
      <c r="D1265" s="29">
        <f t="shared" si="102"/>
        <v>22.189699999999988</v>
      </c>
      <c r="E1265" s="29">
        <f t="shared" si="104"/>
        <v>14778378.378378373</v>
      </c>
      <c r="H1265" s="3">
        <v>162.68</v>
      </c>
      <c r="I1265" s="29">
        <f t="shared" si="101"/>
        <v>137.59539999999998</v>
      </c>
      <c r="J1265" s="29">
        <f t="shared" si="103"/>
        <v>122.29334999999993</v>
      </c>
      <c r="K1265" s="29">
        <f t="shared" si="105"/>
        <v>562711.86440678011</v>
      </c>
    </row>
    <row r="1266" spans="1:11" ht="18" x14ac:dyDescent="0.2">
      <c r="A1266" s="31">
        <v>45306</v>
      </c>
      <c r="B1266" s="30">
        <v>59.46</v>
      </c>
      <c r="C1266" s="29">
        <f t="shared" si="100"/>
        <v>39.566399999999994</v>
      </c>
      <c r="D1266" s="29">
        <f t="shared" si="102"/>
        <v>22.46139999999999</v>
      </c>
      <c r="E1266" s="29">
        <f t="shared" si="104"/>
        <v>16070270.270270264</v>
      </c>
      <c r="H1266" s="3">
        <v>163.89</v>
      </c>
      <c r="I1266" s="29">
        <f t="shared" si="101"/>
        <v>138.2234</v>
      </c>
      <c r="J1266" s="29">
        <f t="shared" si="103"/>
        <v>122.75669999999992</v>
      </c>
      <c r="K1266" s="29">
        <f t="shared" si="105"/>
        <v>566897.26738152921</v>
      </c>
    </row>
    <row r="1267" spans="1:11" ht="18" x14ac:dyDescent="0.2">
      <c r="A1267" s="31">
        <v>45313</v>
      </c>
      <c r="B1267" s="30">
        <v>61</v>
      </c>
      <c r="C1267" s="29">
        <f t="shared" ref="C1267:C1330" si="106">AVERAGE(B1218:B1267)</f>
        <v>40.361599999999996</v>
      </c>
      <c r="D1267" s="29">
        <f t="shared" si="102"/>
        <v>22.734949999999991</v>
      </c>
      <c r="E1267" s="29">
        <f t="shared" si="104"/>
        <v>16486486.48648648</v>
      </c>
      <c r="H1267" s="3">
        <v>165.79</v>
      </c>
      <c r="I1267" s="29">
        <f t="shared" si="101"/>
        <v>138.8612</v>
      </c>
      <c r="J1267" s="29">
        <f t="shared" si="103"/>
        <v>123.19699999999993</v>
      </c>
      <c r="K1267" s="29">
        <f t="shared" si="105"/>
        <v>573469.38775510236</v>
      </c>
    </row>
    <row r="1268" spans="1:11" ht="18" x14ac:dyDescent="0.2">
      <c r="A1268" s="31">
        <v>45320</v>
      </c>
      <c r="B1268" s="30">
        <v>66.13</v>
      </c>
      <c r="C1268" s="29">
        <f t="shared" si="106"/>
        <v>41.256799999999991</v>
      </c>
      <c r="D1268" s="29">
        <f t="shared" si="102"/>
        <v>23.035249999999991</v>
      </c>
      <c r="E1268" s="29">
        <f t="shared" si="104"/>
        <v>17872972.972972963</v>
      </c>
      <c r="H1268" s="3">
        <v>168.15</v>
      </c>
      <c r="I1268" s="29">
        <f t="shared" ref="I1268:I1331" si="107">AVERAGE(H1218:H1267)</f>
        <v>139.53779999999998</v>
      </c>
      <c r="J1268" s="29">
        <f t="shared" si="103"/>
        <v>123.67929999999996</v>
      </c>
      <c r="K1268" s="29">
        <f t="shared" si="105"/>
        <v>581632.65306122485</v>
      </c>
    </row>
    <row r="1269" spans="1:11" ht="18" x14ac:dyDescent="0.2">
      <c r="A1269" s="31">
        <v>45327</v>
      </c>
      <c r="B1269" s="30">
        <v>72.099999999999994</v>
      </c>
      <c r="C1269" s="29">
        <f t="shared" si="106"/>
        <v>42.233599999999988</v>
      </c>
      <c r="D1269" s="29">
        <f t="shared" si="102"/>
        <v>23.362999999999992</v>
      </c>
      <c r="E1269" s="29">
        <f t="shared" si="104"/>
        <v>19486486.486486476</v>
      </c>
      <c r="H1269" s="3">
        <v>168.42</v>
      </c>
      <c r="I1269" s="29">
        <f t="shared" si="107"/>
        <v>140.23920000000001</v>
      </c>
      <c r="J1269" s="29">
        <f t="shared" si="103"/>
        <v>124.07859999999994</v>
      </c>
      <c r="K1269" s="29">
        <f t="shared" si="105"/>
        <v>582566.58595641679</v>
      </c>
    </row>
    <row r="1270" spans="1:11" ht="18" x14ac:dyDescent="0.2">
      <c r="A1270" s="31">
        <v>45334</v>
      </c>
      <c r="B1270" s="30">
        <v>72.58</v>
      </c>
      <c r="C1270" s="29">
        <f t="shared" si="106"/>
        <v>43.207799999999992</v>
      </c>
      <c r="D1270" s="29">
        <f t="shared" si="102"/>
        <v>23.689499999999995</v>
      </c>
      <c r="E1270" s="29">
        <f t="shared" si="104"/>
        <v>19616216.216216207</v>
      </c>
      <c r="H1270" s="3">
        <v>172.29</v>
      </c>
      <c r="I1270" s="29">
        <f t="shared" si="107"/>
        <v>140.97040000000001</v>
      </c>
      <c r="J1270" s="29">
        <f t="shared" si="103"/>
        <v>124.52989999999993</v>
      </c>
      <c r="K1270" s="29">
        <f t="shared" si="105"/>
        <v>595952.95745416847</v>
      </c>
    </row>
    <row r="1271" spans="1:11" ht="18" x14ac:dyDescent="0.2">
      <c r="A1271" s="31">
        <v>45341</v>
      </c>
      <c r="B1271" s="30">
        <v>78.78</v>
      </c>
      <c r="C1271" s="29">
        <f t="shared" si="106"/>
        <v>44.324600000000004</v>
      </c>
      <c r="D1271" s="29">
        <f t="shared" si="102"/>
        <v>24.047349999999991</v>
      </c>
      <c r="E1271" s="29">
        <f t="shared" si="104"/>
        <v>21291891.891891882</v>
      </c>
      <c r="H1271" s="3">
        <v>177.06</v>
      </c>
      <c r="I1271" s="29">
        <f t="shared" si="107"/>
        <v>141.72800000000001</v>
      </c>
      <c r="J1271" s="29">
        <f t="shared" si="103"/>
        <v>125.02434999999993</v>
      </c>
      <c r="K1271" s="29">
        <f t="shared" si="105"/>
        <v>612452.43860256008</v>
      </c>
    </row>
    <row r="1272" spans="1:11" ht="18" x14ac:dyDescent="0.2">
      <c r="A1272" s="31">
        <v>45348</v>
      </c>
      <c r="B1272" s="30">
        <v>82.24</v>
      </c>
      <c r="C1272" s="29">
        <f t="shared" si="106"/>
        <v>45.455199999999998</v>
      </c>
      <c r="D1272" s="29">
        <f t="shared" si="102"/>
        <v>24.423349999999992</v>
      </c>
      <c r="E1272" s="29">
        <f t="shared" si="104"/>
        <v>22227027.027027015</v>
      </c>
      <c r="H1272" s="3">
        <v>178.31</v>
      </c>
      <c r="I1272" s="29">
        <f t="shared" si="107"/>
        <v>142.76840000000001</v>
      </c>
      <c r="J1272" s="29">
        <f t="shared" si="103"/>
        <v>125.51409999999993</v>
      </c>
      <c r="K1272" s="29">
        <f t="shared" si="105"/>
        <v>616776.20200622664</v>
      </c>
    </row>
    <row r="1273" spans="1:11" ht="18" x14ac:dyDescent="0.2">
      <c r="A1273" s="31">
        <v>45355</v>
      </c>
      <c r="B1273" s="30">
        <v>87.48</v>
      </c>
      <c r="C1273" s="29">
        <f t="shared" si="106"/>
        <v>46.669599999999988</v>
      </c>
      <c r="D1273" s="29">
        <f t="shared" si="102"/>
        <v>24.821849999999991</v>
      </c>
      <c r="E1273" s="29">
        <f t="shared" si="104"/>
        <v>23643243.243243232</v>
      </c>
      <c r="H1273" s="3">
        <v>181.13</v>
      </c>
      <c r="I1273" s="29">
        <f t="shared" si="107"/>
        <v>143.98040000000003</v>
      </c>
      <c r="J1273" s="29">
        <f t="shared" si="103"/>
        <v>126.02029999999993</v>
      </c>
      <c r="K1273" s="29">
        <f t="shared" si="105"/>
        <v>626530.61224489834</v>
      </c>
    </row>
    <row r="1274" spans="1:11" ht="18" x14ac:dyDescent="0.2">
      <c r="A1274" s="31">
        <v>45362</v>
      </c>
      <c r="B1274" s="30">
        <v>87.8</v>
      </c>
      <c r="C1274" s="29">
        <f t="shared" si="106"/>
        <v>47.870399999999997</v>
      </c>
      <c r="D1274" s="29">
        <f t="shared" si="102"/>
        <v>25.21854999999999</v>
      </c>
      <c r="E1274" s="29">
        <f t="shared" si="104"/>
        <v>23729729.729729719</v>
      </c>
      <c r="H1274" s="3">
        <v>183.13</v>
      </c>
      <c r="I1274" s="29">
        <f t="shared" si="107"/>
        <v>145.26560000000003</v>
      </c>
      <c r="J1274" s="29">
        <f t="shared" si="103"/>
        <v>126.56579999999994</v>
      </c>
      <c r="K1274" s="29">
        <f t="shared" si="105"/>
        <v>633448.63369076478</v>
      </c>
    </row>
    <row r="1275" spans="1:11" ht="18" x14ac:dyDescent="0.2">
      <c r="A1275" s="31">
        <v>45369</v>
      </c>
      <c r="B1275" s="30">
        <v>94.25</v>
      </c>
      <c r="C1275" s="29">
        <f t="shared" si="106"/>
        <v>49.215000000000003</v>
      </c>
      <c r="D1275" s="29">
        <f t="shared" si="102"/>
        <v>25.644849999999991</v>
      </c>
      <c r="E1275" s="29">
        <f t="shared" si="104"/>
        <v>25472972.972972963</v>
      </c>
      <c r="H1275" s="3">
        <v>189.21</v>
      </c>
      <c r="I1275" s="29">
        <f t="shared" si="107"/>
        <v>146.48980000000003</v>
      </c>
      <c r="J1275" s="29">
        <f t="shared" si="103"/>
        <v>127.12629999999996</v>
      </c>
      <c r="K1275" s="29">
        <f t="shared" si="105"/>
        <v>654479.4188861989</v>
      </c>
    </row>
    <row r="1276" spans="1:11" ht="18" x14ac:dyDescent="0.2">
      <c r="A1276" s="31">
        <v>45376</v>
      </c>
      <c r="B1276" s="30">
        <v>90.31</v>
      </c>
      <c r="C1276" s="29">
        <f t="shared" si="106"/>
        <v>50.486399999999996</v>
      </c>
      <c r="D1276" s="29">
        <f t="shared" si="102"/>
        <v>26.052199999999992</v>
      </c>
      <c r="E1276" s="29">
        <f t="shared" si="104"/>
        <v>24408108.1081081</v>
      </c>
      <c r="H1276" s="3">
        <v>192.75</v>
      </c>
      <c r="I1276" s="29">
        <f t="shared" si="107"/>
        <v>147.88880000000003</v>
      </c>
      <c r="J1276" s="29">
        <f t="shared" si="103"/>
        <v>127.67074999999996</v>
      </c>
      <c r="K1276" s="29">
        <f t="shared" si="105"/>
        <v>666724.31684538256</v>
      </c>
    </row>
    <row r="1277" spans="1:11" ht="18" x14ac:dyDescent="0.2">
      <c r="A1277" s="31">
        <v>45383</v>
      </c>
      <c r="B1277" s="30">
        <v>87.97</v>
      </c>
      <c r="C1277" s="29">
        <f t="shared" si="106"/>
        <v>51.703799999999994</v>
      </c>
      <c r="D1277" s="29">
        <f t="shared" si="102"/>
        <v>26.447599999999998</v>
      </c>
      <c r="E1277" s="29">
        <f t="shared" si="104"/>
        <v>23775675.675675664</v>
      </c>
      <c r="H1277" s="3">
        <v>190.01</v>
      </c>
      <c r="I1277" s="29">
        <f t="shared" si="107"/>
        <v>149.12740000000002</v>
      </c>
      <c r="J1277" s="29">
        <f t="shared" si="103"/>
        <v>128.14149999999992</v>
      </c>
      <c r="K1277" s="29">
        <f t="shared" si="105"/>
        <v>657246.62746454543</v>
      </c>
    </row>
    <row r="1278" spans="1:11" ht="18" x14ac:dyDescent="0.2">
      <c r="A1278" s="31">
        <v>45390</v>
      </c>
      <c r="B1278" s="30">
        <v>88.15</v>
      </c>
      <c r="C1278" s="29">
        <f t="shared" si="106"/>
        <v>52.912199999999991</v>
      </c>
      <c r="D1278" s="29">
        <f t="shared" si="102"/>
        <v>26.843849999999996</v>
      </c>
      <c r="E1278" s="29">
        <f t="shared" si="104"/>
        <v>23824324.324324314</v>
      </c>
      <c r="H1278" s="3">
        <v>176.93</v>
      </c>
      <c r="I1278" s="29">
        <f t="shared" si="107"/>
        <v>150.27720000000005</v>
      </c>
      <c r="J1278" s="29">
        <f t="shared" si="103"/>
        <v>128.59579999999994</v>
      </c>
      <c r="K1278" s="29">
        <f t="shared" si="105"/>
        <v>612002.76720857865</v>
      </c>
    </row>
    <row r="1279" spans="1:11" ht="18" x14ac:dyDescent="0.2">
      <c r="A1279" s="31">
        <v>45397</v>
      </c>
      <c r="B1279" s="30">
        <v>76.17</v>
      </c>
      <c r="C1279" s="29">
        <f t="shared" si="106"/>
        <v>53.862400000000001</v>
      </c>
      <c r="D1279" s="29">
        <f t="shared" si="102"/>
        <v>27.178549999999994</v>
      </c>
      <c r="E1279" s="29">
        <f t="shared" si="104"/>
        <v>20586486.486486476</v>
      </c>
      <c r="H1279" s="3">
        <v>179.84</v>
      </c>
      <c r="I1279" s="29">
        <f t="shared" si="107"/>
        <v>151.20880000000002</v>
      </c>
      <c r="J1279" s="29">
        <f t="shared" si="103"/>
        <v>129.07354999999995</v>
      </c>
      <c r="K1279" s="29">
        <f t="shared" si="105"/>
        <v>622068.48841231444</v>
      </c>
    </row>
    <row r="1280" spans="1:11" ht="18" x14ac:dyDescent="0.2">
      <c r="A1280" s="31">
        <v>45404</v>
      </c>
      <c r="B1280" s="30">
        <v>87.7</v>
      </c>
      <c r="C1280" s="29">
        <f t="shared" si="106"/>
        <v>55.04999999999999</v>
      </c>
      <c r="D1280" s="29">
        <f t="shared" si="102"/>
        <v>27.571449999999995</v>
      </c>
      <c r="E1280" s="29">
        <f t="shared" si="104"/>
        <v>23702702.702702694</v>
      </c>
      <c r="H1280" s="3">
        <v>187.29</v>
      </c>
      <c r="I1280" s="29">
        <f t="shared" si="107"/>
        <v>152.22680000000003</v>
      </c>
      <c r="J1280" s="29">
        <f t="shared" si="103"/>
        <v>129.61104999999995</v>
      </c>
      <c r="K1280" s="29">
        <f t="shared" si="105"/>
        <v>647838.11829816701</v>
      </c>
    </row>
    <row r="1281" spans="1:11" ht="18" x14ac:dyDescent="0.2">
      <c r="A1281" s="31">
        <v>45411</v>
      </c>
      <c r="B1281" s="30">
        <v>88.75</v>
      </c>
      <c r="C1281" s="29">
        <f t="shared" si="106"/>
        <v>56.200199999999995</v>
      </c>
      <c r="D1281" s="29">
        <f t="shared" si="102"/>
        <v>27.967299999999994</v>
      </c>
      <c r="E1281" s="29">
        <f t="shared" si="104"/>
        <v>23986486.486486476</v>
      </c>
      <c r="H1281" s="3">
        <v>184.4</v>
      </c>
      <c r="I1281" s="29">
        <f t="shared" si="107"/>
        <v>153.44360000000003</v>
      </c>
      <c r="J1281" s="29">
        <f t="shared" si="103"/>
        <v>130.13379999999995</v>
      </c>
      <c r="K1281" s="29">
        <f t="shared" si="105"/>
        <v>637841.57730888994</v>
      </c>
    </row>
    <row r="1282" spans="1:11" ht="18" x14ac:dyDescent="0.2">
      <c r="A1282" s="31">
        <v>45418</v>
      </c>
      <c r="B1282" s="30">
        <v>89.84</v>
      </c>
      <c r="C1282" s="29">
        <f t="shared" si="106"/>
        <v>57.218599999999995</v>
      </c>
      <c r="D1282" s="29">
        <f t="shared" si="102"/>
        <v>28.3643</v>
      </c>
      <c r="E1282" s="29">
        <f t="shared" si="104"/>
        <v>24281081.081081074</v>
      </c>
      <c r="H1282" s="3">
        <v>192.4</v>
      </c>
      <c r="I1282" s="29">
        <f t="shared" si="107"/>
        <v>154.50680000000003</v>
      </c>
      <c r="J1282" s="29">
        <f t="shared" si="103"/>
        <v>130.67694999999995</v>
      </c>
      <c r="K1282" s="29">
        <f t="shared" si="105"/>
        <v>665513.66309235583</v>
      </c>
    </row>
    <row r="1283" spans="1:11" ht="18" x14ac:dyDescent="0.2">
      <c r="A1283" s="31">
        <v>45425</v>
      </c>
      <c r="B1283" s="30">
        <v>92.44</v>
      </c>
      <c r="C1283" s="29">
        <f t="shared" si="106"/>
        <v>58.281399999999991</v>
      </c>
      <c r="D1283" s="29">
        <f t="shared" si="102"/>
        <v>28.775649999999992</v>
      </c>
      <c r="E1283" s="29">
        <f t="shared" si="104"/>
        <v>24983783.783783771</v>
      </c>
      <c r="H1283" s="3">
        <v>198.22</v>
      </c>
      <c r="I1283" s="29">
        <f t="shared" si="107"/>
        <v>155.77220000000003</v>
      </c>
      <c r="J1283" s="29">
        <f t="shared" si="103"/>
        <v>131.24094999999997</v>
      </c>
      <c r="K1283" s="29">
        <f t="shared" si="105"/>
        <v>685645.1054998273</v>
      </c>
    </row>
    <row r="1284" spans="1:11" ht="18" x14ac:dyDescent="0.2">
      <c r="A1284" s="31">
        <v>45432</v>
      </c>
      <c r="B1284" s="30">
        <v>106.42</v>
      </c>
      <c r="C1284" s="29">
        <f t="shared" si="106"/>
        <v>59.634999999999998</v>
      </c>
      <c r="D1284" s="29">
        <f t="shared" si="102"/>
        <v>29.256949999999993</v>
      </c>
      <c r="E1284" s="29">
        <f t="shared" si="104"/>
        <v>28762162.162162147</v>
      </c>
      <c r="H1284" s="3">
        <v>194.28</v>
      </c>
      <c r="I1284" s="29">
        <f t="shared" si="107"/>
        <v>157.08740000000003</v>
      </c>
      <c r="J1284" s="29">
        <f t="shared" si="103"/>
        <v>131.78474999999997</v>
      </c>
      <c r="K1284" s="29">
        <f t="shared" si="105"/>
        <v>672016.60325147037</v>
      </c>
    </row>
    <row r="1285" spans="1:11" ht="18" x14ac:dyDescent="0.2">
      <c r="A1285" s="31">
        <v>45439</v>
      </c>
      <c r="B1285" s="30">
        <v>109.58</v>
      </c>
      <c r="C1285" s="29">
        <f t="shared" si="106"/>
        <v>60.973399999999998</v>
      </c>
      <c r="D1285" s="29">
        <f t="shared" si="102"/>
        <v>29.751949999999994</v>
      </c>
      <c r="E1285" s="29">
        <f t="shared" si="104"/>
        <v>29616216.216216203</v>
      </c>
      <c r="H1285" s="3">
        <v>196.13</v>
      </c>
      <c r="I1285" s="29">
        <f t="shared" si="107"/>
        <v>158.31360000000004</v>
      </c>
      <c r="J1285" s="29">
        <f t="shared" si="103"/>
        <v>132.34489999999997</v>
      </c>
      <c r="K1285" s="29">
        <f t="shared" si="105"/>
        <v>678415.77308889688</v>
      </c>
    </row>
    <row r="1286" spans="1:11" ht="18" x14ac:dyDescent="0.2">
      <c r="A1286" s="31">
        <v>45446</v>
      </c>
      <c r="B1286" s="30">
        <v>120.83</v>
      </c>
      <c r="C1286" s="29">
        <f t="shared" si="106"/>
        <v>62.546399999999991</v>
      </c>
      <c r="D1286" s="29">
        <f t="shared" si="102"/>
        <v>30.300299999999993</v>
      </c>
      <c r="E1286" s="29">
        <f t="shared" si="104"/>
        <v>32656756.756756742</v>
      </c>
      <c r="H1286" s="3">
        <v>193.54</v>
      </c>
      <c r="I1286" s="29">
        <f t="shared" si="107"/>
        <v>159.53440000000003</v>
      </c>
      <c r="J1286" s="29">
        <f t="shared" si="103"/>
        <v>132.88019999999997</v>
      </c>
      <c r="K1286" s="29">
        <f t="shared" si="105"/>
        <v>669456.93531649979</v>
      </c>
    </row>
    <row r="1287" spans="1:11" ht="18" x14ac:dyDescent="0.2">
      <c r="A1287" s="31">
        <v>45453</v>
      </c>
      <c r="B1287" s="30">
        <v>131.82</v>
      </c>
      <c r="C1287" s="29">
        <f t="shared" si="106"/>
        <v>64.337400000000002</v>
      </c>
      <c r="D1287" s="29">
        <f t="shared" si="102"/>
        <v>30.901749999999993</v>
      </c>
      <c r="E1287" s="29">
        <f t="shared" si="104"/>
        <v>35627027.027027011</v>
      </c>
      <c r="H1287" s="3">
        <v>187.57</v>
      </c>
      <c r="I1287" s="29">
        <f t="shared" si="107"/>
        <v>160.78660000000002</v>
      </c>
      <c r="J1287" s="29">
        <f t="shared" si="103"/>
        <v>133.37244999999996</v>
      </c>
      <c r="K1287" s="29">
        <f t="shared" si="105"/>
        <v>648806.64130058838</v>
      </c>
    </row>
    <row r="1288" spans="1:11" ht="18" x14ac:dyDescent="0.2">
      <c r="A1288" s="31">
        <v>45460</v>
      </c>
      <c r="B1288" s="30">
        <v>126.52</v>
      </c>
      <c r="C1288" s="29">
        <f t="shared" si="106"/>
        <v>66.0184</v>
      </c>
      <c r="D1288" s="29">
        <f t="shared" si="102"/>
        <v>31.471149999999987</v>
      </c>
      <c r="E1288" s="29">
        <f t="shared" si="104"/>
        <v>34194594.594594583</v>
      </c>
      <c r="H1288" s="3">
        <v>190.01</v>
      </c>
      <c r="I1288" s="29">
        <f t="shared" si="107"/>
        <v>161.79519999999999</v>
      </c>
      <c r="J1288" s="29">
        <f t="shared" si="103"/>
        <v>133.89904999999996</v>
      </c>
      <c r="K1288" s="29">
        <f t="shared" si="105"/>
        <v>657246.62746454543</v>
      </c>
    </row>
    <row r="1289" spans="1:11" ht="18" x14ac:dyDescent="0.2">
      <c r="A1289" s="31">
        <v>45467</v>
      </c>
      <c r="B1289" s="30">
        <v>123.49</v>
      </c>
      <c r="C1289" s="29">
        <f t="shared" si="106"/>
        <v>67.579399999999993</v>
      </c>
      <c r="D1289" s="29">
        <f t="shared" ref="D1289:D1352" si="108">AVERAGE(B1090:B1289)</f>
        <v>32.023099999999992</v>
      </c>
      <c r="E1289" s="29">
        <f t="shared" si="104"/>
        <v>33375675.675675664</v>
      </c>
      <c r="H1289" s="3">
        <v>195.78</v>
      </c>
      <c r="I1289" s="29">
        <f t="shared" si="107"/>
        <v>162.87320000000003</v>
      </c>
      <c r="J1289" s="29">
        <f t="shared" ref="J1289:J1352" si="109">AVERAGE(H1090:H1289)</f>
        <v>134.43079999999998</v>
      </c>
      <c r="K1289" s="29">
        <f t="shared" si="105"/>
        <v>677205.11933587026</v>
      </c>
    </row>
    <row r="1290" spans="1:11" ht="18" x14ac:dyDescent="0.2">
      <c r="A1290" s="31">
        <v>45474</v>
      </c>
      <c r="B1290" s="30">
        <v>125.78</v>
      </c>
      <c r="C1290" s="29">
        <f t="shared" si="106"/>
        <v>69.209400000000002</v>
      </c>
      <c r="D1290" s="29">
        <f t="shared" si="108"/>
        <v>32.589099999999988</v>
      </c>
      <c r="E1290" s="29">
        <f t="shared" ref="E1290:E1353" si="110">IF( C1290&gt;D1290,E1289*B1290/B1289,100000)</f>
        <v>33994594.594594583</v>
      </c>
      <c r="H1290" s="3">
        <v>198.22</v>
      </c>
      <c r="I1290" s="29">
        <f t="shared" si="107"/>
        <v>163.94480000000004</v>
      </c>
      <c r="J1290" s="29">
        <f t="shared" si="109"/>
        <v>134.97149999999996</v>
      </c>
      <c r="K1290" s="29">
        <f t="shared" ref="K1290:K1353" si="111">IF(I1290&gt;J1290,K1289*H1290/H1289,100000)</f>
        <v>685645.10549982742</v>
      </c>
    </row>
    <row r="1291" spans="1:11" ht="18" x14ac:dyDescent="0.2">
      <c r="A1291" s="31">
        <v>45481</v>
      </c>
      <c r="B1291" s="30">
        <v>129.19</v>
      </c>
      <c r="C1291" s="29">
        <f t="shared" si="106"/>
        <v>70.858800000000002</v>
      </c>
      <c r="D1291" s="29">
        <f t="shared" si="108"/>
        <v>33.174399999999991</v>
      </c>
      <c r="E1291" s="29">
        <f t="shared" si="110"/>
        <v>34916216.216216207</v>
      </c>
      <c r="H1291" s="3">
        <v>199.47</v>
      </c>
      <c r="I1291" s="29">
        <f t="shared" si="107"/>
        <v>164.96700000000001</v>
      </c>
      <c r="J1291" s="29">
        <f t="shared" si="109"/>
        <v>135.52909999999997</v>
      </c>
      <c r="K1291" s="29">
        <f t="shared" si="111"/>
        <v>689968.86890349397</v>
      </c>
    </row>
    <row r="1292" spans="1:11" ht="18" x14ac:dyDescent="0.2">
      <c r="A1292" s="31">
        <v>45488</v>
      </c>
      <c r="B1292" s="30">
        <v>117.89</v>
      </c>
      <c r="C1292" s="29">
        <f t="shared" si="106"/>
        <v>72.323599999999999</v>
      </c>
      <c r="D1292" s="29">
        <f t="shared" si="108"/>
        <v>33.703099999999992</v>
      </c>
      <c r="E1292" s="29">
        <f t="shared" si="110"/>
        <v>31862162.162162155</v>
      </c>
      <c r="H1292" s="3">
        <v>204.18</v>
      </c>
      <c r="I1292" s="29">
        <f t="shared" si="107"/>
        <v>165.977</v>
      </c>
      <c r="J1292" s="29">
        <f t="shared" si="109"/>
        <v>136.12209999999996</v>
      </c>
      <c r="K1292" s="29">
        <f t="shared" si="111"/>
        <v>706260.80940850964</v>
      </c>
    </row>
    <row r="1293" spans="1:11" ht="18" x14ac:dyDescent="0.2">
      <c r="A1293" s="31">
        <v>45495</v>
      </c>
      <c r="B1293" s="30">
        <v>113.02</v>
      </c>
      <c r="C1293" s="29">
        <f t="shared" si="106"/>
        <v>73.767399999999995</v>
      </c>
      <c r="D1293" s="29">
        <f t="shared" si="108"/>
        <v>34.204049999999995</v>
      </c>
      <c r="E1293" s="29">
        <f t="shared" si="110"/>
        <v>30545945.945945937</v>
      </c>
      <c r="H1293" s="3">
        <v>206.57</v>
      </c>
      <c r="I1293" s="29">
        <f t="shared" si="107"/>
        <v>167.09800000000004</v>
      </c>
      <c r="J1293" s="29">
        <f t="shared" si="109"/>
        <v>136.74824999999998</v>
      </c>
      <c r="K1293" s="29">
        <f t="shared" si="111"/>
        <v>714527.84503632004</v>
      </c>
    </row>
    <row r="1294" spans="1:11" ht="18" x14ac:dyDescent="0.2">
      <c r="A1294" s="31">
        <v>45502</v>
      </c>
      <c r="B1294" s="30">
        <v>107.23</v>
      </c>
      <c r="C1294" s="29">
        <f t="shared" si="106"/>
        <v>75.046599999999998</v>
      </c>
      <c r="D1294" s="29">
        <f t="shared" si="108"/>
        <v>34.675099999999993</v>
      </c>
      <c r="E1294" s="29">
        <f t="shared" si="110"/>
        <v>28981081.081081074</v>
      </c>
      <c r="H1294" s="3">
        <v>193.82</v>
      </c>
      <c r="I1294" s="29">
        <f t="shared" si="107"/>
        <v>168.29660000000001</v>
      </c>
      <c r="J1294" s="29">
        <f t="shared" si="109"/>
        <v>137.29145</v>
      </c>
      <c r="K1294" s="29">
        <f t="shared" si="111"/>
        <v>670425.45831892116</v>
      </c>
    </row>
    <row r="1295" spans="1:11" ht="18" x14ac:dyDescent="0.2">
      <c r="A1295" s="31">
        <v>45509</v>
      </c>
      <c r="B1295" s="30">
        <v>104.71</v>
      </c>
      <c r="C1295" s="29">
        <f t="shared" si="106"/>
        <v>76.221000000000004</v>
      </c>
      <c r="D1295" s="29">
        <f t="shared" si="108"/>
        <v>35.13004999999999</v>
      </c>
      <c r="E1295" s="29">
        <f t="shared" si="110"/>
        <v>28299999.999999989</v>
      </c>
      <c r="H1295" s="3">
        <v>200.31</v>
      </c>
      <c r="I1295" s="29">
        <f t="shared" si="107"/>
        <v>169.34420000000003</v>
      </c>
      <c r="J1295" s="29">
        <f t="shared" si="109"/>
        <v>137.8527</v>
      </c>
      <c r="K1295" s="29">
        <f t="shared" si="111"/>
        <v>692874.43791075796</v>
      </c>
    </row>
    <row r="1296" spans="1:11" ht="18" x14ac:dyDescent="0.2">
      <c r="A1296" s="31">
        <v>45516</v>
      </c>
      <c r="B1296" s="30">
        <v>124.53</v>
      </c>
      <c r="C1296" s="29">
        <f t="shared" si="106"/>
        <v>77.742000000000004</v>
      </c>
      <c r="D1296" s="29">
        <f t="shared" si="108"/>
        <v>35.683849999999985</v>
      </c>
      <c r="E1296" s="29">
        <f t="shared" si="110"/>
        <v>33656756.756756745</v>
      </c>
      <c r="H1296" s="3">
        <v>208.26</v>
      </c>
      <c r="I1296" s="29">
        <f t="shared" si="107"/>
        <v>170.5582</v>
      </c>
      <c r="J1296" s="29">
        <f t="shared" si="109"/>
        <v>138.44825</v>
      </c>
      <c r="K1296" s="29">
        <f t="shared" si="111"/>
        <v>720373.57315807731</v>
      </c>
    </row>
    <row r="1297" spans="1:11" ht="18" x14ac:dyDescent="0.2">
      <c r="A1297" s="31">
        <v>45523</v>
      </c>
      <c r="B1297" s="30">
        <v>129.32</v>
      </c>
      <c r="C1297" s="29">
        <f t="shared" si="106"/>
        <v>79.417600000000022</v>
      </c>
      <c r="D1297" s="29">
        <f t="shared" si="108"/>
        <v>36.262699999999988</v>
      </c>
      <c r="E1297" s="29">
        <f t="shared" si="110"/>
        <v>34951351.351351336</v>
      </c>
      <c r="H1297" s="3">
        <v>212.48</v>
      </c>
      <c r="I1297" s="29">
        <f t="shared" si="107"/>
        <v>171.93560000000002</v>
      </c>
      <c r="J1297" s="29">
        <f t="shared" si="109"/>
        <v>139.0548</v>
      </c>
      <c r="K1297" s="29">
        <f t="shared" si="111"/>
        <v>734970.59840885561</v>
      </c>
    </row>
    <row r="1298" spans="1:11" ht="18" x14ac:dyDescent="0.2">
      <c r="A1298" s="31">
        <v>45530</v>
      </c>
      <c r="B1298" s="30">
        <v>119.33</v>
      </c>
      <c r="C1298" s="29">
        <f t="shared" si="106"/>
        <v>80.926800000000014</v>
      </c>
      <c r="D1298" s="29">
        <f t="shared" si="108"/>
        <v>36.796849999999985</v>
      </c>
      <c r="E1298" s="29">
        <f t="shared" si="110"/>
        <v>32251351.351351339</v>
      </c>
      <c r="H1298" s="3">
        <v>218.8</v>
      </c>
      <c r="I1298" s="29">
        <f t="shared" si="107"/>
        <v>173.45399999999998</v>
      </c>
      <c r="J1298" s="29">
        <f t="shared" si="109"/>
        <v>139.71824999999998</v>
      </c>
      <c r="K1298" s="29">
        <f t="shared" si="111"/>
        <v>756831.54617779376</v>
      </c>
    </row>
    <row r="1299" spans="1:11" ht="18" x14ac:dyDescent="0.2">
      <c r="A1299" s="31">
        <v>45537</v>
      </c>
      <c r="B1299" s="30">
        <v>102.79</v>
      </c>
      <c r="C1299" s="29">
        <f t="shared" si="106"/>
        <v>82.150800000000018</v>
      </c>
      <c r="D1299" s="29">
        <f t="shared" si="108"/>
        <v>37.238199999999985</v>
      </c>
      <c r="E1299" s="29">
        <f t="shared" si="110"/>
        <v>27781081.081081074</v>
      </c>
      <c r="H1299" s="3">
        <v>206.79</v>
      </c>
      <c r="I1299" s="29">
        <f t="shared" si="107"/>
        <v>175.00439999999995</v>
      </c>
      <c r="J1299" s="29">
        <f t="shared" si="109"/>
        <v>140.30005</v>
      </c>
      <c r="K1299" s="29">
        <f t="shared" si="111"/>
        <v>715288.82739536546</v>
      </c>
    </row>
    <row r="1300" spans="1:11" ht="18" x14ac:dyDescent="0.2">
      <c r="A1300" s="31">
        <v>45544</v>
      </c>
      <c r="B1300" s="30">
        <v>119.06</v>
      </c>
      <c r="C1300" s="29">
        <f t="shared" si="106"/>
        <v>83.662600000000026</v>
      </c>
      <c r="D1300" s="29">
        <f t="shared" si="108"/>
        <v>37.767199999999981</v>
      </c>
      <c r="E1300" s="29">
        <f t="shared" si="110"/>
        <v>32178378.378378369</v>
      </c>
      <c r="H1300" s="3">
        <v>198.87</v>
      </c>
      <c r="I1300" s="29">
        <f t="shared" si="107"/>
        <v>176.37299999999999</v>
      </c>
      <c r="J1300" s="29">
        <f t="shared" si="109"/>
        <v>140.79345000000001</v>
      </c>
      <c r="K1300" s="29">
        <f t="shared" si="111"/>
        <v>687893.46246973414</v>
      </c>
    </row>
    <row r="1301" spans="1:11" ht="18" x14ac:dyDescent="0.2">
      <c r="A1301" s="31">
        <v>45551</v>
      </c>
      <c r="B1301" s="30">
        <v>115.97</v>
      </c>
      <c r="C1301" s="29">
        <f t="shared" si="106"/>
        <v>85.067200000000014</v>
      </c>
      <c r="D1301" s="29">
        <f t="shared" si="108"/>
        <v>38.28179999999999</v>
      </c>
      <c r="E1301" s="29">
        <f t="shared" si="110"/>
        <v>31343243.243243232</v>
      </c>
      <c r="H1301" s="3">
        <v>205.46</v>
      </c>
      <c r="I1301" s="29">
        <f t="shared" si="107"/>
        <v>177.59660000000002</v>
      </c>
      <c r="J1301" s="29">
        <f t="shared" si="109"/>
        <v>141.31764999999999</v>
      </c>
      <c r="K1301" s="29">
        <f t="shared" si="111"/>
        <v>710688.34313386423</v>
      </c>
    </row>
    <row r="1302" spans="1:11" ht="18" x14ac:dyDescent="0.2">
      <c r="A1302" s="31">
        <v>45558</v>
      </c>
      <c r="B1302" s="30">
        <v>121.37</v>
      </c>
      <c r="C1302" s="29">
        <f t="shared" si="106"/>
        <v>86.585999999999999</v>
      </c>
      <c r="D1302" s="29">
        <f t="shared" si="108"/>
        <v>38.822549999999985</v>
      </c>
      <c r="E1302" s="29">
        <f t="shared" si="110"/>
        <v>32802702.702702694</v>
      </c>
      <c r="H1302" s="3">
        <v>204.88</v>
      </c>
      <c r="I1302" s="29">
        <f t="shared" si="107"/>
        <v>178.95060000000001</v>
      </c>
      <c r="J1302" s="29">
        <f t="shared" si="109"/>
        <v>141.80975000000001</v>
      </c>
      <c r="K1302" s="29">
        <f t="shared" si="111"/>
        <v>708682.11691456288</v>
      </c>
    </row>
    <row r="1303" spans="1:11" ht="18" x14ac:dyDescent="0.2">
      <c r="A1303" s="31">
        <v>45565</v>
      </c>
      <c r="B1303" s="30">
        <v>124.88</v>
      </c>
      <c r="C1303" s="29">
        <f t="shared" si="106"/>
        <v>88.256400000000014</v>
      </c>
      <c r="D1303" s="29">
        <f t="shared" si="108"/>
        <v>39.379349999999988</v>
      </c>
      <c r="E1303" s="29">
        <f t="shared" si="110"/>
        <v>33751351.351351336</v>
      </c>
      <c r="H1303" s="3">
        <v>205.58</v>
      </c>
      <c r="I1303" s="29">
        <f t="shared" si="107"/>
        <v>180.21719999999996</v>
      </c>
      <c r="J1303" s="29">
        <f t="shared" si="109"/>
        <v>142.3004</v>
      </c>
      <c r="K1303" s="29">
        <f t="shared" si="111"/>
        <v>711103.42442061624</v>
      </c>
    </row>
    <row r="1304" spans="1:11" ht="18" x14ac:dyDescent="0.2">
      <c r="A1304" s="31">
        <v>45572</v>
      </c>
      <c r="B1304" s="30">
        <v>134.76</v>
      </c>
      <c r="C1304" s="29">
        <f t="shared" si="106"/>
        <v>90.14200000000001</v>
      </c>
      <c r="D1304" s="29">
        <f t="shared" si="108"/>
        <v>39.988249999999987</v>
      </c>
      <c r="E1304" s="29">
        <f t="shared" si="110"/>
        <v>36421621.621621601</v>
      </c>
      <c r="H1304" s="3">
        <v>217.68</v>
      </c>
      <c r="I1304" s="29">
        <f t="shared" si="107"/>
        <v>181.59439999999998</v>
      </c>
      <c r="J1304" s="29">
        <f t="shared" si="109"/>
        <v>142.86375000000001</v>
      </c>
      <c r="K1304" s="29">
        <f t="shared" si="111"/>
        <v>752957.45416810852</v>
      </c>
    </row>
    <row r="1305" spans="1:11" ht="18" x14ac:dyDescent="0.2">
      <c r="A1305" s="31">
        <v>45579</v>
      </c>
      <c r="B1305" s="30">
        <v>137.96</v>
      </c>
      <c r="C1305" s="29">
        <f t="shared" si="106"/>
        <v>92.00160000000001</v>
      </c>
      <c r="D1305" s="29">
        <f t="shared" si="108"/>
        <v>40.61184999999999</v>
      </c>
      <c r="E1305" s="29">
        <f t="shared" si="110"/>
        <v>37286486.486486472</v>
      </c>
      <c r="H1305" s="3">
        <v>220.7</v>
      </c>
      <c r="I1305" s="29">
        <f t="shared" si="107"/>
        <v>183.35239999999999</v>
      </c>
      <c r="J1305" s="29">
        <f t="shared" si="109"/>
        <v>143.44434999999999</v>
      </c>
      <c r="K1305" s="29">
        <f t="shared" si="111"/>
        <v>763403.66655136691</v>
      </c>
    </row>
    <row r="1306" spans="1:11" ht="18" x14ac:dyDescent="0.2">
      <c r="A1306" s="31">
        <v>45586</v>
      </c>
      <c r="B1306" s="30">
        <v>141.5</v>
      </c>
      <c r="C1306" s="29">
        <f t="shared" si="106"/>
        <v>93.865400000000008</v>
      </c>
      <c r="D1306" s="29">
        <f t="shared" si="108"/>
        <v>41.254549999999988</v>
      </c>
      <c r="E1306" s="29">
        <f t="shared" si="110"/>
        <v>38243243.243243232</v>
      </c>
      <c r="H1306" s="3">
        <v>217.7</v>
      </c>
      <c r="I1306" s="29">
        <f t="shared" si="107"/>
        <v>185.03099999999998</v>
      </c>
      <c r="J1306" s="29">
        <f t="shared" si="109"/>
        <v>143.98605000000001</v>
      </c>
      <c r="K1306" s="29">
        <f t="shared" si="111"/>
        <v>753026.63438256725</v>
      </c>
    </row>
    <row r="1307" spans="1:11" ht="18" x14ac:dyDescent="0.2">
      <c r="A1307" s="31">
        <v>45593</v>
      </c>
      <c r="B1307" s="30">
        <v>135.36000000000001</v>
      </c>
      <c r="C1307" s="29">
        <f t="shared" si="106"/>
        <v>95.58720000000001</v>
      </c>
      <c r="D1307" s="29">
        <f t="shared" si="108"/>
        <v>41.866249999999994</v>
      </c>
      <c r="E1307" s="29">
        <f t="shared" si="110"/>
        <v>36583783.783783771</v>
      </c>
      <c r="H1307" s="3">
        <v>218.32</v>
      </c>
      <c r="I1307" s="29">
        <f t="shared" si="107"/>
        <v>186.584</v>
      </c>
      <c r="J1307" s="29">
        <f t="shared" si="109"/>
        <v>144.51965000000001</v>
      </c>
      <c r="K1307" s="29">
        <f t="shared" si="111"/>
        <v>755171.22103078593</v>
      </c>
    </row>
    <row r="1308" spans="1:11" ht="18" x14ac:dyDescent="0.2">
      <c r="A1308" s="31">
        <v>45600</v>
      </c>
      <c r="B1308" s="30">
        <v>147.59</v>
      </c>
      <c r="C1308" s="29">
        <f t="shared" si="106"/>
        <v>97.584000000000003</v>
      </c>
      <c r="D1308" s="29">
        <f t="shared" si="108"/>
        <v>42.53799999999999</v>
      </c>
      <c r="E1308" s="29">
        <f t="shared" si="110"/>
        <v>39889189.189189173</v>
      </c>
      <c r="H1308" s="3">
        <v>232.07</v>
      </c>
      <c r="I1308" s="29">
        <f t="shared" si="107"/>
        <v>188.02720000000002</v>
      </c>
      <c r="J1308" s="29">
        <f t="shared" si="109"/>
        <v>145.08269999999999</v>
      </c>
      <c r="K1308" s="29">
        <f t="shared" si="111"/>
        <v>802732.61847111804</v>
      </c>
    </row>
    <row r="1309" spans="1:11" ht="18" x14ac:dyDescent="0.2">
      <c r="A1309" s="31">
        <v>45607</v>
      </c>
      <c r="B1309" s="30">
        <v>141.94</v>
      </c>
      <c r="C1309" s="29">
        <f t="shared" si="106"/>
        <v>99.488</v>
      </c>
      <c r="D1309" s="29">
        <f t="shared" si="108"/>
        <v>43.183599999999998</v>
      </c>
      <c r="E1309" s="29">
        <f t="shared" si="110"/>
        <v>38362162.16216214</v>
      </c>
      <c r="H1309" s="3">
        <v>240.22</v>
      </c>
      <c r="I1309" s="29">
        <f t="shared" si="107"/>
        <v>189.73160000000004</v>
      </c>
      <c r="J1309" s="29">
        <f t="shared" si="109"/>
        <v>145.67060000000001</v>
      </c>
      <c r="K1309" s="29">
        <f t="shared" si="111"/>
        <v>830923.55586302397</v>
      </c>
    </row>
    <row r="1310" spans="1:11" ht="18" x14ac:dyDescent="0.2">
      <c r="A1310" s="31">
        <v>45614</v>
      </c>
      <c r="B1310" s="30">
        <v>141.91</v>
      </c>
      <c r="C1310" s="29">
        <f t="shared" si="106"/>
        <v>101.3766</v>
      </c>
      <c r="D1310" s="29">
        <f t="shared" si="108"/>
        <v>43.824799999999996</v>
      </c>
      <c r="E1310" s="29">
        <f t="shared" si="110"/>
        <v>38354054.054054029</v>
      </c>
      <c r="H1310" s="3">
        <v>243.4</v>
      </c>
      <c r="I1310" s="29">
        <f t="shared" si="107"/>
        <v>191.53580000000002</v>
      </c>
      <c r="J1310" s="29">
        <f t="shared" si="109"/>
        <v>146.29585</v>
      </c>
      <c r="K1310" s="29">
        <f t="shared" si="111"/>
        <v>841923.20996195171</v>
      </c>
    </row>
    <row r="1311" spans="1:11" ht="18" x14ac:dyDescent="0.2">
      <c r="A1311" s="31">
        <v>45621</v>
      </c>
      <c r="B1311" s="30">
        <v>138.21</v>
      </c>
      <c r="C1311" s="29">
        <f t="shared" si="106"/>
        <v>103.16339999999998</v>
      </c>
      <c r="D1311" s="29">
        <f t="shared" si="108"/>
        <v>44.45109999999999</v>
      </c>
      <c r="E1311" s="29">
        <f t="shared" si="110"/>
        <v>37354054.054054029</v>
      </c>
      <c r="H1311" s="3">
        <v>244.54</v>
      </c>
      <c r="I1311" s="29">
        <f t="shared" si="107"/>
        <v>193.3716</v>
      </c>
      <c r="J1311" s="29">
        <f t="shared" si="109"/>
        <v>146.94945000000001</v>
      </c>
      <c r="K1311" s="29">
        <f t="shared" si="111"/>
        <v>845866.48218609556</v>
      </c>
    </row>
    <row r="1312" spans="1:11" ht="18" x14ac:dyDescent="0.2">
      <c r="A1312" s="31">
        <v>45628</v>
      </c>
      <c r="B1312" s="30">
        <v>142.4</v>
      </c>
      <c r="C1312" s="29">
        <f t="shared" si="106"/>
        <v>105.03519999999999</v>
      </c>
      <c r="D1312" s="29">
        <f t="shared" si="108"/>
        <v>45.095349999999989</v>
      </c>
      <c r="E1312" s="29">
        <f t="shared" si="110"/>
        <v>38486486.486486457</v>
      </c>
      <c r="H1312" s="3">
        <v>242.23</v>
      </c>
      <c r="I1312" s="29">
        <f t="shared" si="107"/>
        <v>195.1018</v>
      </c>
      <c r="J1312" s="29">
        <f t="shared" si="109"/>
        <v>147.55029999999999</v>
      </c>
      <c r="K1312" s="29">
        <f t="shared" si="111"/>
        <v>837876.16741611972</v>
      </c>
    </row>
    <row r="1313" spans="1:11" ht="18" x14ac:dyDescent="0.2">
      <c r="A1313" s="31">
        <v>45635</v>
      </c>
      <c r="B1313" s="30">
        <v>134.22</v>
      </c>
      <c r="C1313" s="29">
        <f t="shared" si="106"/>
        <v>106.72959999999999</v>
      </c>
      <c r="D1313" s="29">
        <f t="shared" si="108"/>
        <v>45.691849999999988</v>
      </c>
      <c r="E1313" s="29">
        <f t="shared" si="110"/>
        <v>36275675.675675645</v>
      </c>
      <c r="H1313" s="3">
        <v>234.97</v>
      </c>
      <c r="I1313" s="29">
        <f t="shared" si="107"/>
        <v>196.74419999999998</v>
      </c>
      <c r="J1313" s="29">
        <f t="shared" si="109"/>
        <v>148.10040000000004</v>
      </c>
      <c r="K1313" s="29">
        <f t="shared" si="111"/>
        <v>812763.74956762441</v>
      </c>
    </row>
    <row r="1314" spans="1:11" ht="18" x14ac:dyDescent="0.2">
      <c r="A1314" s="31">
        <v>45642</v>
      </c>
      <c r="B1314" s="30">
        <v>134.66999999999999</v>
      </c>
      <c r="C1314" s="29">
        <f t="shared" si="106"/>
        <v>108.44159999999998</v>
      </c>
      <c r="D1314" s="29">
        <f t="shared" si="108"/>
        <v>46.290749999999981</v>
      </c>
      <c r="E1314" s="29">
        <f t="shared" si="110"/>
        <v>36397297.297297262</v>
      </c>
      <c r="H1314" s="3">
        <v>232.67</v>
      </c>
      <c r="I1314" s="29">
        <f t="shared" si="107"/>
        <v>198.18979999999999</v>
      </c>
      <c r="J1314" s="29">
        <f t="shared" si="109"/>
        <v>148.60905000000002</v>
      </c>
      <c r="K1314" s="29">
        <f t="shared" si="111"/>
        <v>804808.02490487788</v>
      </c>
    </row>
    <row r="1315" spans="1:11" ht="18" x14ac:dyDescent="0.2">
      <c r="A1315" s="31">
        <v>45649</v>
      </c>
      <c r="B1315" s="30">
        <v>136.97999999999999</v>
      </c>
      <c r="C1315" s="29">
        <f t="shared" si="106"/>
        <v>110.08759999999998</v>
      </c>
      <c r="D1315" s="29">
        <f t="shared" si="108"/>
        <v>46.907249999999976</v>
      </c>
      <c r="E1315" s="29">
        <f t="shared" si="110"/>
        <v>37021621.621621586</v>
      </c>
      <c r="H1315" s="3">
        <v>236.17</v>
      </c>
      <c r="I1315" s="29">
        <f t="shared" si="107"/>
        <v>199.548</v>
      </c>
      <c r="J1315" s="29">
        <f t="shared" si="109"/>
        <v>149.13894999999999</v>
      </c>
      <c r="K1315" s="29">
        <f t="shared" si="111"/>
        <v>816914.56243514421</v>
      </c>
    </row>
    <row r="1316" spans="1:11" ht="18" x14ac:dyDescent="0.2">
      <c r="A1316" s="31">
        <v>45656</v>
      </c>
      <c r="B1316" s="30">
        <v>144.44</v>
      </c>
      <c r="C1316" s="29">
        <f t="shared" si="106"/>
        <v>111.78719999999997</v>
      </c>
      <c r="D1316" s="29">
        <f t="shared" si="108"/>
        <v>47.567299999999989</v>
      </c>
      <c r="E1316" s="29">
        <f t="shared" si="110"/>
        <v>39037837.8378378</v>
      </c>
      <c r="H1316" s="3">
        <v>238.24</v>
      </c>
      <c r="I1316" s="29">
        <f t="shared" si="107"/>
        <v>201.01779999999999</v>
      </c>
      <c r="J1316" s="29">
        <f t="shared" si="109"/>
        <v>149.6627</v>
      </c>
      <c r="K1316" s="29">
        <f t="shared" si="111"/>
        <v>824074.71463161602</v>
      </c>
    </row>
    <row r="1317" spans="1:11" ht="18" x14ac:dyDescent="0.2">
      <c r="A1317" s="31">
        <v>45663</v>
      </c>
      <c r="B1317" s="30">
        <v>135.88</v>
      </c>
      <c r="C1317" s="29">
        <f t="shared" si="106"/>
        <v>113.28479999999998</v>
      </c>
      <c r="D1317" s="29">
        <f t="shared" si="108"/>
        <v>48.182599999999972</v>
      </c>
      <c r="E1317" s="29">
        <f t="shared" si="110"/>
        <v>36724324.324324287</v>
      </c>
      <c r="H1317" s="3">
        <v>234.9</v>
      </c>
      <c r="I1317" s="29">
        <f t="shared" si="107"/>
        <v>202.50479999999999</v>
      </c>
      <c r="J1317" s="29">
        <f t="shared" si="109"/>
        <v>150.14655000000002</v>
      </c>
      <c r="K1317" s="29">
        <f t="shared" si="111"/>
        <v>812521.61881701893</v>
      </c>
    </row>
    <row r="1318" spans="1:11" ht="18" x14ac:dyDescent="0.2">
      <c r="A1318" s="31">
        <v>45670</v>
      </c>
      <c r="B1318" s="30">
        <v>137.68</v>
      </c>
      <c r="C1318" s="29">
        <f t="shared" si="106"/>
        <v>114.71579999999999</v>
      </c>
      <c r="D1318" s="29">
        <f t="shared" si="108"/>
        <v>48.806949999999979</v>
      </c>
      <c r="E1318" s="29">
        <f t="shared" si="110"/>
        <v>37210810.810810775</v>
      </c>
      <c r="H1318" s="3">
        <v>255.1</v>
      </c>
      <c r="I1318" s="29">
        <f t="shared" si="107"/>
        <v>203.88699999999997</v>
      </c>
      <c r="J1318" s="29">
        <f t="shared" si="109"/>
        <v>150.73585000000003</v>
      </c>
      <c r="K1318" s="29">
        <f t="shared" si="111"/>
        <v>882393.63542027038</v>
      </c>
    </row>
    <row r="1319" spans="1:11" ht="18" x14ac:dyDescent="0.2">
      <c r="A1319" s="31">
        <v>45677</v>
      </c>
      <c r="B1319" s="30">
        <v>142.59</v>
      </c>
      <c r="C1319" s="29">
        <f t="shared" si="106"/>
        <v>116.12559999999998</v>
      </c>
      <c r="D1319" s="29">
        <f t="shared" si="108"/>
        <v>49.455849999999984</v>
      </c>
      <c r="E1319" s="29">
        <f t="shared" si="110"/>
        <v>38537837.8378378</v>
      </c>
      <c r="H1319" s="3">
        <v>260.69</v>
      </c>
      <c r="I1319" s="29">
        <f t="shared" si="107"/>
        <v>205.62599999999998</v>
      </c>
      <c r="J1319" s="29">
        <f t="shared" si="109"/>
        <v>151.35335000000003</v>
      </c>
      <c r="K1319" s="29">
        <f t="shared" si="111"/>
        <v>901729.50536146725</v>
      </c>
    </row>
    <row r="1320" spans="1:11" ht="18" x14ac:dyDescent="0.2">
      <c r="A1320" s="31">
        <v>45684</v>
      </c>
      <c r="B1320" s="30">
        <v>120.04</v>
      </c>
      <c r="C1320" s="29">
        <f t="shared" si="106"/>
        <v>117.07479999999998</v>
      </c>
      <c r="D1320" s="29">
        <f t="shared" si="108"/>
        <v>49.987149999999986</v>
      </c>
      <c r="E1320" s="29">
        <f t="shared" si="110"/>
        <v>32443243.24324321</v>
      </c>
      <c r="H1320" s="3">
        <v>263.11</v>
      </c>
      <c r="I1320" s="29">
        <f t="shared" si="107"/>
        <v>207.47139999999999</v>
      </c>
      <c r="J1320" s="29">
        <f t="shared" si="109"/>
        <v>151.98905000000002</v>
      </c>
      <c r="K1320" s="29">
        <f t="shared" si="111"/>
        <v>910100.31131096568</v>
      </c>
    </row>
    <row r="1321" spans="1:11" ht="18" x14ac:dyDescent="0.2">
      <c r="A1321" s="31">
        <v>45691</v>
      </c>
      <c r="B1321" s="30">
        <v>129.81</v>
      </c>
      <c r="C1321" s="29">
        <f t="shared" si="106"/>
        <v>118.09539999999998</v>
      </c>
      <c r="D1321" s="29">
        <f t="shared" si="108"/>
        <v>50.564349999999976</v>
      </c>
      <c r="E1321" s="29">
        <f t="shared" si="110"/>
        <v>35083783.783783749</v>
      </c>
      <c r="H1321" s="3">
        <v>271.48</v>
      </c>
      <c r="I1321" s="29">
        <f t="shared" si="107"/>
        <v>209.28779999999998</v>
      </c>
      <c r="J1321" s="29">
        <f t="shared" si="109"/>
        <v>152.65520000000001</v>
      </c>
      <c r="K1321" s="29">
        <f t="shared" si="111"/>
        <v>939052.23106191691</v>
      </c>
    </row>
    <row r="1322" spans="1:11" ht="18" x14ac:dyDescent="0.2">
      <c r="A1322" s="31">
        <v>45698</v>
      </c>
      <c r="B1322" s="30">
        <v>138.82</v>
      </c>
      <c r="C1322" s="29">
        <f t="shared" si="106"/>
        <v>119.22699999999999</v>
      </c>
      <c r="D1322" s="29">
        <f t="shared" si="108"/>
        <v>51.17909999999997</v>
      </c>
      <c r="E1322" s="29">
        <f t="shared" si="110"/>
        <v>37518918.918918878</v>
      </c>
      <c r="H1322" s="3">
        <v>272.26</v>
      </c>
      <c r="I1322" s="29">
        <f t="shared" si="107"/>
        <v>211.17619999999999</v>
      </c>
      <c r="J1322" s="29">
        <f t="shared" si="109"/>
        <v>153.33445</v>
      </c>
      <c r="K1322" s="29">
        <f t="shared" si="111"/>
        <v>941750.25942580472</v>
      </c>
    </row>
    <row r="1323" spans="1:11" ht="18" x14ac:dyDescent="0.2">
      <c r="A1323" s="31">
        <v>45705</v>
      </c>
      <c r="B1323" s="30">
        <v>134.4</v>
      </c>
      <c r="C1323" s="29">
        <f t="shared" si="106"/>
        <v>120.16539999999999</v>
      </c>
      <c r="D1323" s="29">
        <f t="shared" si="108"/>
        <v>51.774949999999968</v>
      </c>
      <c r="E1323" s="29">
        <f t="shared" si="110"/>
        <v>36324324.324324287</v>
      </c>
      <c r="H1323" s="3">
        <v>260.10000000000002</v>
      </c>
      <c r="I1323" s="29">
        <f t="shared" si="107"/>
        <v>213.05520000000001</v>
      </c>
      <c r="J1323" s="29">
        <f t="shared" si="109"/>
        <v>153.96675000000002</v>
      </c>
      <c r="K1323" s="29">
        <f t="shared" si="111"/>
        <v>899688.6890349366</v>
      </c>
    </row>
    <row r="1324" spans="1:11" ht="18" x14ac:dyDescent="0.2">
      <c r="A1324" s="31">
        <v>45712</v>
      </c>
      <c r="B1324" s="30">
        <v>124.89</v>
      </c>
      <c r="C1324" s="29">
        <f t="shared" si="106"/>
        <v>120.90719999999999</v>
      </c>
      <c r="D1324" s="29">
        <f t="shared" si="108"/>
        <v>52.324549999999974</v>
      </c>
      <c r="E1324" s="29">
        <f t="shared" si="110"/>
        <v>33754054.054054022</v>
      </c>
      <c r="H1324" s="3">
        <v>260.5</v>
      </c>
      <c r="I1324" s="29">
        <f t="shared" si="107"/>
        <v>214.63459999999998</v>
      </c>
      <c r="J1324" s="29">
        <f t="shared" si="109"/>
        <v>154.58495000000002</v>
      </c>
      <c r="K1324" s="29">
        <f t="shared" si="111"/>
        <v>901072.29332410987</v>
      </c>
    </row>
    <row r="1325" spans="1:11" ht="18" x14ac:dyDescent="0.2">
      <c r="A1325" s="31">
        <v>45719</v>
      </c>
      <c r="B1325" s="30">
        <v>112.67</v>
      </c>
      <c r="C1325" s="29">
        <f t="shared" si="106"/>
        <v>121.2756</v>
      </c>
      <c r="D1325" s="29">
        <f t="shared" si="108"/>
        <v>52.813999999999972</v>
      </c>
      <c r="E1325" s="29">
        <f t="shared" si="110"/>
        <v>30451351.351351321</v>
      </c>
      <c r="H1325" s="3">
        <v>238.48</v>
      </c>
      <c r="I1325" s="29">
        <f t="shared" si="107"/>
        <v>216.18200000000002</v>
      </c>
      <c r="J1325" s="29">
        <f t="shared" si="109"/>
        <v>155.06000000000003</v>
      </c>
      <c r="K1325" s="29">
        <f t="shared" si="111"/>
        <v>824904.87720511982</v>
      </c>
    </row>
    <row r="1326" spans="1:11" ht="18" x14ac:dyDescent="0.2">
      <c r="A1326" s="31">
        <v>45726</v>
      </c>
      <c r="B1326" s="30">
        <v>121.64</v>
      </c>
      <c r="C1326" s="29">
        <f t="shared" si="106"/>
        <v>121.90220000000001</v>
      </c>
      <c r="D1326" s="29">
        <f t="shared" si="108"/>
        <v>53.351149999999969</v>
      </c>
      <c r="E1326" s="29">
        <f t="shared" si="110"/>
        <v>32875675.675675642</v>
      </c>
      <c r="H1326" s="3">
        <v>228.8</v>
      </c>
      <c r="I1326" s="29">
        <f t="shared" si="107"/>
        <v>217.16739999999999</v>
      </c>
      <c r="J1326" s="29">
        <f t="shared" si="109"/>
        <v>155.47430000000003</v>
      </c>
      <c r="K1326" s="29">
        <f t="shared" si="111"/>
        <v>791421.65340712608</v>
      </c>
    </row>
    <row r="1327" spans="1:11" ht="18" x14ac:dyDescent="0.2">
      <c r="A1327" s="31">
        <v>45733</v>
      </c>
      <c r="B1327" s="30">
        <v>117.69</v>
      </c>
      <c r="C1327" s="29">
        <f t="shared" si="106"/>
        <v>122.4966</v>
      </c>
      <c r="D1327" s="29">
        <f t="shared" si="108"/>
        <v>53.864799999999967</v>
      </c>
      <c r="E1327" s="29">
        <f t="shared" si="110"/>
        <v>31808108.108108073</v>
      </c>
      <c r="H1327" s="3">
        <v>237.84</v>
      </c>
      <c r="I1327" s="29">
        <f t="shared" si="107"/>
        <v>217.88839999999996</v>
      </c>
      <c r="J1327" s="29">
        <f t="shared" si="109"/>
        <v>155.93980000000002</v>
      </c>
      <c r="K1327" s="29">
        <f t="shared" si="111"/>
        <v>822691.11034244252</v>
      </c>
    </row>
    <row r="1328" spans="1:11" ht="18" x14ac:dyDescent="0.2">
      <c r="A1328" s="31">
        <v>45740</v>
      </c>
      <c r="B1328" s="30">
        <v>109.66</v>
      </c>
      <c r="C1328" s="29">
        <f t="shared" si="106"/>
        <v>122.9268</v>
      </c>
      <c r="D1328" s="29">
        <f t="shared" si="108"/>
        <v>54.332049999999974</v>
      </c>
      <c r="E1328" s="29">
        <f t="shared" si="110"/>
        <v>29637837.837837808</v>
      </c>
      <c r="H1328" s="3">
        <v>239.04</v>
      </c>
      <c r="I1328" s="29">
        <f t="shared" si="107"/>
        <v>218.84499999999997</v>
      </c>
      <c r="J1328" s="29">
        <f t="shared" si="109"/>
        <v>156.40430000000003</v>
      </c>
      <c r="K1328" s="29">
        <f t="shared" si="111"/>
        <v>826841.92320996244</v>
      </c>
    </row>
    <row r="1329" spans="1:11" ht="18" x14ac:dyDescent="0.2">
      <c r="A1329" s="31">
        <v>45747</v>
      </c>
      <c r="B1329" s="30">
        <v>94.3</v>
      </c>
      <c r="C1329" s="29">
        <f t="shared" si="106"/>
        <v>123.2894</v>
      </c>
      <c r="D1329" s="29">
        <f t="shared" si="108"/>
        <v>54.715849999999961</v>
      </c>
      <c r="E1329" s="29">
        <f t="shared" si="110"/>
        <v>25486486.486486461</v>
      </c>
      <c r="H1329" s="3">
        <v>206.98</v>
      </c>
      <c r="I1329" s="29">
        <f t="shared" si="107"/>
        <v>220.08720000000002</v>
      </c>
      <c r="J1329" s="29">
        <f t="shared" si="109"/>
        <v>156.69870000000003</v>
      </c>
      <c r="K1329" s="29">
        <f t="shared" si="111"/>
        <v>715946.03943272261</v>
      </c>
    </row>
    <row r="1330" spans="1:11" ht="18" x14ac:dyDescent="0.2">
      <c r="A1330" s="31">
        <v>45754</v>
      </c>
      <c r="B1330" s="30">
        <v>110.92</v>
      </c>
      <c r="C1330" s="29">
        <f t="shared" si="106"/>
        <v>123.7538</v>
      </c>
      <c r="D1330" s="29">
        <f t="shared" si="108"/>
        <v>55.181549999999973</v>
      </c>
      <c r="E1330" s="29">
        <f t="shared" si="110"/>
        <v>29978378.378378354</v>
      </c>
      <c r="H1330" s="3">
        <v>233.93</v>
      </c>
      <c r="I1330" s="29">
        <f t="shared" si="107"/>
        <v>220.63</v>
      </c>
      <c r="J1330" s="29">
        <f t="shared" si="109"/>
        <v>157.15520000000004</v>
      </c>
      <c r="K1330" s="29">
        <f t="shared" si="111"/>
        <v>809166.37841577362</v>
      </c>
    </row>
    <row r="1331" spans="1:11" ht="18" x14ac:dyDescent="0.2">
      <c r="A1331" s="31">
        <v>45761</v>
      </c>
      <c r="B1331" s="30">
        <v>101.48</v>
      </c>
      <c r="C1331" s="29">
        <f t="shared" ref="C1331:C1394" si="112">AVERAGE(B1282:B1331)</f>
        <v>124.00839999999998</v>
      </c>
      <c r="D1331" s="29">
        <f t="shared" si="108"/>
        <v>55.595949999999966</v>
      </c>
      <c r="E1331" s="29">
        <f t="shared" si="110"/>
        <v>27427027.027027003</v>
      </c>
      <c r="H1331" s="3">
        <v>229.73</v>
      </c>
      <c r="I1331" s="29">
        <f t="shared" si="107"/>
        <v>221.56279999999998</v>
      </c>
      <c r="J1331" s="29">
        <f t="shared" si="109"/>
        <v>157.64575000000002</v>
      </c>
      <c r="K1331" s="29">
        <f t="shared" si="111"/>
        <v>794638.53337945393</v>
      </c>
    </row>
    <row r="1332" spans="1:11" ht="18" x14ac:dyDescent="0.2">
      <c r="A1332" s="31">
        <v>45768</v>
      </c>
      <c r="B1332" s="30">
        <v>111</v>
      </c>
      <c r="C1332" s="29">
        <f t="shared" si="112"/>
        <v>124.43159999999997</v>
      </c>
      <c r="D1332" s="29">
        <f t="shared" si="108"/>
        <v>56.055999999999969</v>
      </c>
      <c r="E1332" s="29">
        <f t="shared" si="110"/>
        <v>29999999.999999974</v>
      </c>
      <c r="H1332" s="3">
        <v>241.21</v>
      </c>
      <c r="I1332" s="29">
        <f t="shared" ref="I1332:I1395" si="113">AVERAGE(H1282:H1331)</f>
        <v>222.46939999999995</v>
      </c>
      <c r="J1332" s="29">
        <f t="shared" si="109"/>
        <v>158.16640000000004</v>
      </c>
      <c r="K1332" s="29">
        <f t="shared" si="111"/>
        <v>834347.97647872765</v>
      </c>
    </row>
    <row r="1333" spans="1:11" ht="18" x14ac:dyDescent="0.2">
      <c r="A1333" s="31">
        <v>45775</v>
      </c>
      <c r="B1333" s="30">
        <v>114.49</v>
      </c>
      <c r="C1333" s="29">
        <f t="shared" si="112"/>
        <v>124.87260000000001</v>
      </c>
      <c r="D1333" s="29">
        <f t="shared" si="108"/>
        <v>56.526249999999962</v>
      </c>
      <c r="E1333" s="29">
        <f t="shared" si="110"/>
        <v>30943243.243243214</v>
      </c>
      <c r="H1333" s="3">
        <v>250.08</v>
      </c>
      <c r="I1333" s="29">
        <f t="shared" si="113"/>
        <v>223.44559999999998</v>
      </c>
      <c r="J1333" s="29">
        <f t="shared" si="109"/>
        <v>158.72260000000003</v>
      </c>
      <c r="K1333" s="29">
        <f t="shared" si="111"/>
        <v>865029.40159114543</v>
      </c>
    </row>
    <row r="1334" spans="1:11" ht="18" x14ac:dyDescent="0.2">
      <c r="A1334" s="31">
        <v>45782</v>
      </c>
      <c r="B1334" s="30">
        <v>116.64</v>
      </c>
      <c r="C1334" s="29">
        <f t="shared" si="112"/>
        <v>125.07700000000001</v>
      </c>
      <c r="D1334" s="29">
        <f t="shared" si="108"/>
        <v>57.009399999999957</v>
      </c>
      <c r="E1334" s="29">
        <f t="shared" si="110"/>
        <v>31524324.324324299</v>
      </c>
      <c r="H1334" s="3">
        <v>250.65</v>
      </c>
      <c r="I1334" s="29">
        <f t="shared" si="113"/>
        <v>224.48279999999994</v>
      </c>
      <c r="J1334" s="29">
        <f t="shared" si="109"/>
        <v>159.27885000000006</v>
      </c>
      <c r="K1334" s="29">
        <f t="shared" si="111"/>
        <v>867001.03770321736</v>
      </c>
    </row>
    <row r="1335" spans="1:11" ht="18" x14ac:dyDescent="0.2">
      <c r="A1335" s="31">
        <v>45789</v>
      </c>
      <c r="B1335" s="30">
        <v>135.38</v>
      </c>
      <c r="C1335" s="29">
        <f t="shared" si="112"/>
        <v>125.59300000000002</v>
      </c>
      <c r="D1335" s="29">
        <f t="shared" si="108"/>
        <v>57.595699999999958</v>
      </c>
      <c r="E1335" s="29">
        <f t="shared" si="110"/>
        <v>36589189.189189158</v>
      </c>
      <c r="H1335" s="3">
        <v>264.99</v>
      </c>
      <c r="I1335" s="29">
        <f t="shared" si="113"/>
        <v>225.61019999999994</v>
      </c>
      <c r="J1335" s="29">
        <f t="shared" si="109"/>
        <v>159.92405000000005</v>
      </c>
      <c r="K1335" s="29">
        <f t="shared" si="111"/>
        <v>916603.25147007999</v>
      </c>
    </row>
    <row r="1336" spans="1:11" ht="18" x14ac:dyDescent="0.2">
      <c r="A1336" s="31">
        <v>45796</v>
      </c>
      <c r="B1336" s="30">
        <v>131.27000000000001</v>
      </c>
      <c r="C1336" s="29">
        <f t="shared" si="112"/>
        <v>125.80180000000001</v>
      </c>
      <c r="D1336" s="29">
        <f t="shared" si="108"/>
        <v>58.154449999999962</v>
      </c>
      <c r="E1336" s="29">
        <f t="shared" si="110"/>
        <v>35478378.378378354</v>
      </c>
      <c r="H1336" s="3">
        <v>258.2</v>
      </c>
      <c r="I1336" s="29">
        <f t="shared" si="113"/>
        <v>226.98739999999989</v>
      </c>
      <c r="J1336" s="29">
        <f t="shared" si="109"/>
        <v>160.54100000000008</v>
      </c>
      <c r="K1336" s="29">
        <f t="shared" si="111"/>
        <v>893116.56866136321</v>
      </c>
    </row>
    <row r="1337" spans="1:11" ht="18" x14ac:dyDescent="0.2">
      <c r="A1337" s="31">
        <v>45803</v>
      </c>
      <c r="B1337" s="30">
        <v>135.11000000000001</v>
      </c>
      <c r="C1337" s="29">
        <f t="shared" si="112"/>
        <v>125.8676</v>
      </c>
      <c r="D1337" s="29">
        <f t="shared" si="108"/>
        <v>58.732699999999959</v>
      </c>
      <c r="E1337" s="29">
        <f t="shared" si="110"/>
        <v>36516216.216216192</v>
      </c>
      <c r="H1337" s="3">
        <v>261.45999999999998</v>
      </c>
      <c r="I1337" s="29">
        <f t="shared" si="113"/>
        <v>228.28059999999994</v>
      </c>
      <c r="J1337" s="29">
        <f t="shared" si="109"/>
        <v>161.16915000000009</v>
      </c>
      <c r="K1337" s="29">
        <f t="shared" si="111"/>
        <v>904392.94361812552</v>
      </c>
    </row>
    <row r="1338" spans="1:11" ht="18" x14ac:dyDescent="0.2">
      <c r="A1338" s="31">
        <v>45810</v>
      </c>
      <c r="B1338" s="30">
        <v>141.69999999999999</v>
      </c>
      <c r="C1338" s="29">
        <f t="shared" si="112"/>
        <v>126.17120000000001</v>
      </c>
      <c r="D1338" s="29">
        <f t="shared" si="108"/>
        <v>59.339599999999962</v>
      </c>
      <c r="E1338" s="29">
        <f t="shared" si="110"/>
        <v>38297297.297297269</v>
      </c>
      <c r="H1338" s="3">
        <v>263.18</v>
      </c>
      <c r="I1338" s="29">
        <f t="shared" si="113"/>
        <v>229.75839999999994</v>
      </c>
      <c r="J1338" s="29">
        <f t="shared" si="109"/>
        <v>161.78030000000007</v>
      </c>
      <c r="K1338" s="29">
        <f t="shared" si="111"/>
        <v>910342.44206157071</v>
      </c>
    </row>
    <row r="1339" spans="1:11" ht="18" x14ac:dyDescent="0.2">
      <c r="A1339" s="31">
        <v>45817</v>
      </c>
      <c r="B1339" s="30">
        <v>141.94999999999999</v>
      </c>
      <c r="C1339" s="29">
        <f t="shared" si="112"/>
        <v>126.54039999999999</v>
      </c>
      <c r="D1339" s="29">
        <f t="shared" si="108"/>
        <v>59.948649999999972</v>
      </c>
      <c r="E1339" s="29">
        <f t="shared" si="110"/>
        <v>38364864.864864834</v>
      </c>
      <c r="H1339" s="3">
        <v>262.39999999999998</v>
      </c>
      <c r="I1339" s="29">
        <f t="shared" si="113"/>
        <v>231.22179999999992</v>
      </c>
      <c r="J1339" s="29">
        <f t="shared" si="109"/>
        <v>162.37645000000009</v>
      </c>
      <c r="K1339" s="29">
        <f t="shared" si="111"/>
        <v>907644.41369768267</v>
      </c>
    </row>
    <row r="1340" spans="1:11" ht="18" x14ac:dyDescent="0.2">
      <c r="A1340" s="31">
        <v>45824</v>
      </c>
      <c r="B1340" s="30">
        <v>143.84</v>
      </c>
      <c r="C1340" s="29">
        <f t="shared" si="112"/>
        <v>126.9016</v>
      </c>
      <c r="D1340" s="29">
        <f t="shared" si="108"/>
        <v>60.563999999999972</v>
      </c>
      <c r="E1340" s="29">
        <f t="shared" si="110"/>
        <v>38875675.675675653</v>
      </c>
      <c r="H1340" s="3">
        <v>272.36</v>
      </c>
      <c r="I1340" s="29">
        <f t="shared" si="113"/>
        <v>232.55419999999995</v>
      </c>
      <c r="J1340" s="29">
        <f t="shared" si="109"/>
        <v>163.04595000000009</v>
      </c>
      <c r="K1340" s="29">
        <f t="shared" si="111"/>
        <v>942096.16049809789</v>
      </c>
    </row>
    <row r="1341" spans="1:11" ht="18" x14ac:dyDescent="0.2">
      <c r="A1341" s="31">
        <v>45831</v>
      </c>
      <c r="B1341" s="30">
        <v>157.74</v>
      </c>
      <c r="C1341" s="29">
        <f t="shared" si="112"/>
        <v>127.4726</v>
      </c>
      <c r="D1341" s="29">
        <f t="shared" si="108"/>
        <v>61.239749999999965</v>
      </c>
      <c r="E1341" s="29">
        <f t="shared" si="110"/>
        <v>42632432.432432406</v>
      </c>
      <c r="H1341" s="3">
        <v>284.35000000000002</v>
      </c>
      <c r="I1341" s="29">
        <f t="shared" si="113"/>
        <v>234.03699999999992</v>
      </c>
      <c r="J1341" s="29">
        <f t="shared" si="109"/>
        <v>163.73810000000009</v>
      </c>
      <c r="K1341" s="29">
        <f t="shared" si="111"/>
        <v>983569.69906606746</v>
      </c>
    </row>
    <row r="1342" spans="1:11" ht="18" x14ac:dyDescent="0.2">
      <c r="A1342" s="31">
        <v>45838</v>
      </c>
      <c r="B1342" s="30">
        <v>159.33000000000001</v>
      </c>
      <c r="C1342" s="29">
        <f t="shared" si="112"/>
        <v>128.3014</v>
      </c>
      <c r="D1342" s="29">
        <f t="shared" si="108"/>
        <v>61.922449999999969</v>
      </c>
      <c r="E1342" s="29">
        <f t="shared" si="110"/>
        <v>43062162.162162133</v>
      </c>
      <c r="H1342" s="3">
        <v>293.16000000000003</v>
      </c>
      <c r="I1342" s="29">
        <f t="shared" si="113"/>
        <v>235.73459999999994</v>
      </c>
      <c r="J1342" s="29">
        <f t="shared" si="109"/>
        <v>164.49025000000009</v>
      </c>
      <c r="K1342" s="29">
        <f t="shared" si="111"/>
        <v>1014043.5835351093</v>
      </c>
    </row>
    <row r="1343" spans="1:11" ht="18" x14ac:dyDescent="0.2">
      <c r="A1343" s="31">
        <v>45845</v>
      </c>
      <c r="B1343" s="30">
        <v>164.91</v>
      </c>
      <c r="C1343" s="29">
        <f t="shared" si="112"/>
        <v>129.33919999999998</v>
      </c>
      <c r="D1343" s="29">
        <f t="shared" si="108"/>
        <v>62.634849999999972</v>
      </c>
      <c r="E1343" s="29">
        <f t="shared" si="110"/>
        <v>44570270.270270236</v>
      </c>
      <c r="H1343" s="3">
        <v>285.47000000000003</v>
      </c>
      <c r="I1343" s="29">
        <f t="shared" si="113"/>
        <v>237.51419999999996</v>
      </c>
      <c r="J1343" s="29">
        <f t="shared" si="109"/>
        <v>165.21345000000008</v>
      </c>
      <c r="K1343" s="29">
        <f t="shared" si="111"/>
        <v>987443.79107575258</v>
      </c>
    </row>
    <row r="1344" spans="1:11" ht="18" x14ac:dyDescent="0.2">
      <c r="A1344" s="31">
        <v>45852</v>
      </c>
      <c r="B1344" s="30">
        <v>172.4</v>
      </c>
      <c r="C1344" s="29">
        <f t="shared" si="112"/>
        <v>130.64259999999999</v>
      </c>
      <c r="D1344" s="29">
        <f t="shared" si="108"/>
        <v>63.387549999999976</v>
      </c>
      <c r="E1344" s="29">
        <f t="shared" si="110"/>
        <v>46594594.594594561</v>
      </c>
      <c r="H1344" s="3">
        <v>289.86</v>
      </c>
      <c r="I1344" s="29">
        <f t="shared" si="113"/>
        <v>239.09219999999993</v>
      </c>
      <c r="J1344" s="29">
        <f t="shared" si="109"/>
        <v>165.95720000000009</v>
      </c>
      <c r="K1344" s="29">
        <f t="shared" si="111"/>
        <v>1002628.8481494294</v>
      </c>
    </row>
    <row r="1345" spans="1:11" ht="18" x14ac:dyDescent="0.2">
      <c r="A1345" s="31">
        <v>45859</v>
      </c>
      <c r="B1345" s="30">
        <v>173.49</v>
      </c>
      <c r="C1345" s="29">
        <f t="shared" si="112"/>
        <v>132.01819999999998</v>
      </c>
      <c r="D1345" s="29">
        <f t="shared" si="108"/>
        <v>64.144799999999975</v>
      </c>
      <c r="E1345" s="29">
        <f t="shared" si="110"/>
        <v>46889189.189189151</v>
      </c>
      <c r="H1345" s="3">
        <v>297.18</v>
      </c>
      <c r="I1345" s="29">
        <f t="shared" si="113"/>
        <v>241.01299999999995</v>
      </c>
      <c r="J1345" s="29">
        <f t="shared" si="109"/>
        <v>166.71355000000005</v>
      </c>
      <c r="K1345" s="29">
        <f t="shared" si="111"/>
        <v>1027948.8066413007</v>
      </c>
    </row>
    <row r="1346" spans="1:11" ht="18" x14ac:dyDescent="0.2">
      <c r="A1346" s="31">
        <v>45866</v>
      </c>
      <c r="B1346" s="30">
        <v>173.71</v>
      </c>
      <c r="C1346" s="29">
        <f t="shared" si="112"/>
        <v>133.00179999999997</v>
      </c>
      <c r="D1346" s="29">
        <f t="shared" si="108"/>
        <v>64.909849999999963</v>
      </c>
      <c r="E1346" s="29">
        <f t="shared" si="110"/>
        <v>46948648.648648612</v>
      </c>
      <c r="H1346" s="3">
        <v>287.97000000000003</v>
      </c>
      <c r="I1346" s="29">
        <f t="shared" si="113"/>
        <v>242.95039999999997</v>
      </c>
      <c r="J1346" s="29">
        <f t="shared" si="109"/>
        <v>167.40555000000006</v>
      </c>
      <c r="K1346" s="29">
        <f t="shared" si="111"/>
        <v>996091.31788308558</v>
      </c>
    </row>
    <row r="1347" spans="1:11" ht="18" x14ac:dyDescent="0.2">
      <c r="A1347" s="31">
        <v>45873</v>
      </c>
      <c r="B1347" s="30">
        <v>182.69</v>
      </c>
      <c r="C1347" s="29">
        <f t="shared" si="112"/>
        <v>134.06919999999997</v>
      </c>
      <c r="D1347" s="29">
        <f t="shared" si="108"/>
        <v>65.719349999999963</v>
      </c>
      <c r="E1347" s="29">
        <f t="shared" si="110"/>
        <v>49375675.675675631</v>
      </c>
      <c r="H1347" s="3">
        <v>287.36</v>
      </c>
      <c r="I1347" s="29">
        <f t="shared" si="113"/>
        <v>244.54459999999995</v>
      </c>
      <c r="J1347" s="29">
        <f t="shared" si="109"/>
        <v>168.08065000000011</v>
      </c>
      <c r="K1347" s="29">
        <f t="shared" si="111"/>
        <v>993981.3213420962</v>
      </c>
    </row>
    <row r="1348" spans="1:11" ht="18" x14ac:dyDescent="0.2">
      <c r="A1348" s="31">
        <v>45880</v>
      </c>
      <c r="B1348" s="30">
        <v>180.44</v>
      </c>
      <c r="C1348" s="29">
        <f t="shared" si="112"/>
        <v>135.29139999999995</v>
      </c>
      <c r="D1348" s="29">
        <f t="shared" si="108"/>
        <v>66.512449999999973</v>
      </c>
      <c r="E1348" s="29">
        <f t="shared" si="110"/>
        <v>48767567.567567527</v>
      </c>
      <c r="H1348" s="3">
        <v>289.08</v>
      </c>
      <c r="I1348" s="29">
        <f t="shared" si="113"/>
        <v>246.04219999999998</v>
      </c>
      <c r="J1348" s="29">
        <f t="shared" si="109"/>
        <v>168.77605000000005</v>
      </c>
      <c r="K1348" s="29">
        <f t="shared" si="111"/>
        <v>999930.81978554116</v>
      </c>
    </row>
    <row r="1349" spans="1:11" ht="18" x14ac:dyDescent="0.2">
      <c r="A1349" s="31">
        <v>45887</v>
      </c>
      <c r="B1349" s="30">
        <v>177.98</v>
      </c>
      <c r="C1349" s="29">
        <f t="shared" si="112"/>
        <v>136.79519999999997</v>
      </c>
      <c r="D1349" s="29">
        <f t="shared" si="108"/>
        <v>67.288949999999971</v>
      </c>
      <c r="E1349" s="29">
        <f t="shared" si="110"/>
        <v>48102702.702702664</v>
      </c>
      <c r="H1349" s="3">
        <v>294.81</v>
      </c>
      <c r="I1349" s="29">
        <f t="shared" si="113"/>
        <v>247.4478</v>
      </c>
      <c r="J1349" s="29">
        <f t="shared" si="109"/>
        <v>169.47680000000008</v>
      </c>
      <c r="K1349" s="29">
        <f t="shared" si="111"/>
        <v>1019750.9512279487</v>
      </c>
    </row>
    <row r="1350" spans="1:11" ht="18" x14ac:dyDescent="0.2">
      <c r="A1350" s="31">
        <v>45894</v>
      </c>
      <c r="B1350" s="30">
        <v>174.17</v>
      </c>
      <c r="C1350" s="29">
        <f t="shared" si="112"/>
        <v>137.89739999999998</v>
      </c>
      <c r="D1350" s="29">
        <f t="shared" si="108"/>
        <v>68.03219999999996</v>
      </c>
      <c r="E1350" s="29">
        <f t="shared" si="110"/>
        <v>47072972.972972929</v>
      </c>
      <c r="H1350" s="3">
        <v>299.95999999999998</v>
      </c>
      <c r="I1350" s="29">
        <f t="shared" si="113"/>
        <v>249.20820000000001</v>
      </c>
      <c r="J1350" s="29">
        <f t="shared" si="109"/>
        <v>170.21180000000007</v>
      </c>
      <c r="K1350" s="29">
        <f t="shared" si="111"/>
        <v>1037564.8564510547</v>
      </c>
    </row>
    <row r="1351" spans="1:11" ht="18" x14ac:dyDescent="0.2">
      <c r="A1351" s="31">
        <v>45901</v>
      </c>
      <c r="B1351" s="30">
        <v>167.01</v>
      </c>
      <c r="C1351" s="29">
        <f t="shared" si="112"/>
        <v>138.91819999999998</v>
      </c>
      <c r="D1351" s="29">
        <f t="shared" si="108"/>
        <v>68.718799999999973</v>
      </c>
      <c r="E1351" s="29">
        <f t="shared" si="110"/>
        <v>45137837.837837793</v>
      </c>
      <c r="H1351" s="3">
        <v>292.95999999999998</v>
      </c>
      <c r="I1351" s="29">
        <f t="shared" si="113"/>
        <v>251.22999999999996</v>
      </c>
      <c r="J1351" s="29">
        <f t="shared" si="109"/>
        <v>170.92010000000005</v>
      </c>
      <c r="K1351" s="29">
        <f t="shared" si="111"/>
        <v>1013351.781390522</v>
      </c>
    </row>
    <row r="1352" spans="1:11" ht="18" x14ac:dyDescent="0.2">
      <c r="A1352" s="31">
        <v>45908</v>
      </c>
      <c r="B1352" s="30">
        <v>177.81</v>
      </c>
      <c r="C1352" s="29">
        <f t="shared" si="112"/>
        <v>140.04699999999997</v>
      </c>
      <c r="D1352" s="29">
        <f t="shared" si="108"/>
        <v>69.456199999999967</v>
      </c>
      <c r="E1352" s="29">
        <f t="shared" si="110"/>
        <v>48056756.756756715</v>
      </c>
      <c r="H1352" s="3">
        <v>305.43</v>
      </c>
      <c r="I1352" s="29">
        <f t="shared" si="113"/>
        <v>252.97999999999993</v>
      </c>
      <c r="J1352" s="29">
        <f t="shared" si="109"/>
        <v>171.69610000000003</v>
      </c>
      <c r="K1352" s="29">
        <f t="shared" si="111"/>
        <v>1056485.6451054995</v>
      </c>
    </row>
    <row r="1353" spans="1:11" ht="18" x14ac:dyDescent="0.2">
      <c r="A1353" s="31">
        <v>45915</v>
      </c>
      <c r="B1353" s="30">
        <v>176.67</v>
      </c>
      <c r="C1353" s="29">
        <f t="shared" si="112"/>
        <v>141.08279999999996</v>
      </c>
      <c r="D1353" s="29">
        <f t="shared" ref="D1353:D1416" si="114">AVERAGE(B1154:B1353)</f>
        <v>70.174949999999967</v>
      </c>
      <c r="E1353" s="29">
        <f t="shared" si="110"/>
        <v>47748648.648648605</v>
      </c>
      <c r="H1353" s="3">
        <v>313.26</v>
      </c>
      <c r="I1353" s="29">
        <f t="shared" si="113"/>
        <v>254.99099999999996</v>
      </c>
      <c r="J1353" s="29">
        <f t="shared" ref="J1353:J1416" si="115">AVERAGE(H1154:H1353)</f>
        <v>172.53800000000007</v>
      </c>
      <c r="K1353" s="29">
        <f t="shared" si="111"/>
        <v>1083569.6990660666</v>
      </c>
    </row>
    <row r="1354" spans="1:11" ht="18" x14ac:dyDescent="0.2">
      <c r="A1354" s="31">
        <v>45922</v>
      </c>
      <c r="B1354" s="30">
        <v>178.19</v>
      </c>
      <c r="C1354" s="29">
        <f t="shared" si="112"/>
        <v>141.95139999999995</v>
      </c>
      <c r="D1354" s="29">
        <f t="shared" si="114"/>
        <v>70.908699999999968</v>
      </c>
      <c r="E1354" s="29">
        <f t="shared" ref="E1354:E1356" si="116">IF( C1354&gt;D1354,E1353*B1354/B1353,100000)</f>
        <v>48159459.459459417</v>
      </c>
      <c r="H1354" s="3">
        <v>314.52999999999997</v>
      </c>
      <c r="I1354" s="29">
        <f t="shared" si="113"/>
        <v>257.14459999999997</v>
      </c>
      <c r="J1354" s="29">
        <f t="shared" si="115"/>
        <v>173.38170000000005</v>
      </c>
      <c r="K1354" s="29">
        <f t="shared" ref="K1354:K1356" si="117">IF(I1354&gt;J1354,K1353*H1354/H1353,100000)</f>
        <v>1087962.6426841917</v>
      </c>
    </row>
    <row r="1355" spans="1:11" ht="18" x14ac:dyDescent="0.2">
      <c r="A1355" s="31">
        <v>45929</v>
      </c>
      <c r="B1355" s="30">
        <v>186.58</v>
      </c>
      <c r="C1355" s="29">
        <f t="shared" si="112"/>
        <v>142.92379999999994</v>
      </c>
      <c r="D1355" s="29">
        <f t="shared" si="114"/>
        <v>71.688449999999975</v>
      </c>
      <c r="E1355" s="29">
        <f t="shared" si="116"/>
        <v>50427027.027026981</v>
      </c>
      <c r="H1355" s="3">
        <v>308.52999999999997</v>
      </c>
      <c r="I1355" s="29">
        <f t="shared" si="113"/>
        <v>259.08159999999998</v>
      </c>
      <c r="J1355" s="29">
        <f t="shared" si="115"/>
        <v>174.21180000000007</v>
      </c>
      <c r="K1355" s="29">
        <f t="shared" si="117"/>
        <v>1067208.5783465924</v>
      </c>
    </row>
    <row r="1356" spans="1:11" ht="18" x14ac:dyDescent="0.2">
      <c r="A1356" s="31">
        <v>45930</v>
      </c>
      <c r="B1356" s="30">
        <v>186.58</v>
      </c>
      <c r="C1356" s="29">
        <f t="shared" si="112"/>
        <v>143.82539999999997</v>
      </c>
      <c r="D1356" s="29">
        <f t="shared" si="114"/>
        <v>72.470649999999964</v>
      </c>
      <c r="E1356" s="29">
        <f t="shared" si="116"/>
        <v>50427027.027026974</v>
      </c>
      <c r="H1356" s="3">
        <v>313.89999999999998</v>
      </c>
      <c r="I1356" s="29">
        <f t="shared" si="113"/>
        <v>260.83819999999997</v>
      </c>
      <c r="J1356" s="29">
        <f t="shared" si="115"/>
        <v>175.06185000000005</v>
      </c>
      <c r="K1356" s="29">
        <f t="shared" si="117"/>
        <v>1085783.4659287438</v>
      </c>
    </row>
    <row r="1357" spans="1:11" ht="18" x14ac:dyDescent="0.2">
      <c r="H1357" s="30"/>
    </row>
    <row r="1358" spans="1:11" ht="18" x14ac:dyDescent="0.2">
      <c r="H1358" s="30"/>
    </row>
    <row r="1359" spans="1:11" ht="18" x14ac:dyDescent="0.2">
      <c r="H1359" s="30"/>
    </row>
    <row r="1360" spans="1:11" ht="18" x14ac:dyDescent="0.2">
      <c r="H1360" s="30"/>
    </row>
    <row r="1361" spans="8:8" ht="18" x14ac:dyDescent="0.2">
      <c r="H1361" s="30"/>
    </row>
    <row r="1362" spans="8:8" ht="18" x14ac:dyDescent="0.2">
      <c r="H1362" s="30"/>
    </row>
    <row r="1363" spans="8:8" ht="18" x14ac:dyDescent="0.2">
      <c r="H1363" s="30"/>
    </row>
    <row r="1364" spans="8:8" ht="18" x14ac:dyDescent="0.2">
      <c r="H1364" s="30"/>
    </row>
    <row r="1365" spans="8:8" ht="18" x14ac:dyDescent="0.2">
      <c r="H1365" s="30"/>
    </row>
    <row r="1366" spans="8:8" ht="18" x14ac:dyDescent="0.2">
      <c r="H1366" s="30"/>
    </row>
    <row r="1367" spans="8:8" ht="18" x14ac:dyDescent="0.2">
      <c r="H1367" s="30"/>
    </row>
    <row r="1368" spans="8:8" ht="18" x14ac:dyDescent="0.2">
      <c r="H1368" s="30"/>
    </row>
    <row r="1369" spans="8:8" ht="18" x14ac:dyDescent="0.2">
      <c r="H1369" s="30"/>
    </row>
    <row r="1370" spans="8:8" ht="18" x14ac:dyDescent="0.2">
      <c r="H1370" s="30"/>
    </row>
    <row r="1371" spans="8:8" ht="18" x14ac:dyDescent="0.2">
      <c r="H1371" s="30"/>
    </row>
    <row r="1372" spans="8:8" ht="18" x14ac:dyDescent="0.2">
      <c r="H1372" s="30"/>
    </row>
    <row r="1373" spans="8:8" ht="18" x14ac:dyDescent="0.2">
      <c r="H1373" s="30"/>
    </row>
    <row r="1374" spans="8:8" ht="18" x14ac:dyDescent="0.2">
      <c r="H1374" s="30"/>
    </row>
    <row r="1375" spans="8:8" ht="18" x14ac:dyDescent="0.2">
      <c r="H1375" s="30"/>
    </row>
    <row r="1376" spans="8:8" ht="18" x14ac:dyDescent="0.2">
      <c r="H1376" s="30"/>
    </row>
    <row r="1377" spans="8:8" ht="18" x14ac:dyDescent="0.2">
      <c r="H1377" s="30"/>
    </row>
    <row r="1378" spans="8:8" ht="18" x14ac:dyDescent="0.2">
      <c r="H1378" s="30"/>
    </row>
    <row r="1379" spans="8:8" ht="18" x14ac:dyDescent="0.2">
      <c r="H1379" s="30"/>
    </row>
    <row r="1380" spans="8:8" ht="18" x14ac:dyDescent="0.2">
      <c r="H1380" s="30"/>
    </row>
    <row r="1381" spans="8:8" ht="18" x14ac:dyDescent="0.2">
      <c r="H1381" s="30"/>
    </row>
    <row r="1382" spans="8:8" ht="18" x14ac:dyDescent="0.2">
      <c r="H1382" s="30"/>
    </row>
    <row r="1383" spans="8:8" ht="18" x14ac:dyDescent="0.2">
      <c r="H1383" s="30"/>
    </row>
    <row r="1384" spans="8:8" ht="18" x14ac:dyDescent="0.2">
      <c r="H1384" s="30"/>
    </row>
    <row r="1385" spans="8:8" ht="18" x14ac:dyDescent="0.2">
      <c r="H1385" s="30"/>
    </row>
    <row r="1386" spans="8:8" ht="18" x14ac:dyDescent="0.2">
      <c r="H1386" s="30"/>
    </row>
    <row r="1387" spans="8:8" ht="18" x14ac:dyDescent="0.2">
      <c r="H1387" s="30"/>
    </row>
    <row r="1388" spans="8:8" ht="18" x14ac:dyDescent="0.2">
      <c r="H1388" s="30"/>
    </row>
    <row r="1389" spans="8:8" ht="18" x14ac:dyDescent="0.2">
      <c r="H1389" s="30"/>
    </row>
    <row r="1390" spans="8:8" ht="18" x14ac:dyDescent="0.2">
      <c r="H1390" s="30"/>
    </row>
    <row r="1391" spans="8:8" ht="18" x14ac:dyDescent="0.2">
      <c r="H1391" s="30"/>
    </row>
    <row r="1392" spans="8:8" ht="18" x14ac:dyDescent="0.2">
      <c r="H1392" s="30"/>
    </row>
    <row r="1393" spans="8:8" ht="18" x14ac:dyDescent="0.2">
      <c r="H1393" s="30"/>
    </row>
    <row r="1394" spans="8:8" ht="18" x14ac:dyDescent="0.2">
      <c r="H1394" s="30"/>
    </row>
    <row r="1395" spans="8:8" ht="18" x14ac:dyDescent="0.2">
      <c r="H1395" s="30"/>
    </row>
    <row r="1396" spans="8:8" ht="18" x14ac:dyDescent="0.2">
      <c r="H1396" s="30"/>
    </row>
  </sheetData>
  <mergeCells count="3">
    <mergeCell ref="R3:V3"/>
    <mergeCell ref="R5:V5"/>
    <mergeCell ref="K2:L2"/>
  </mergeCells>
  <pageMargins left="0.7" right="0.7" top="0.75" bottom="0.75" header="0.3" footer="0.3"/>
  <pageSetup orientation="portrait" horizontalDpi="0"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58CCCA-54BF-D34C-ADC2-E59E80DC4D8C}">
  <dimension ref="A1"/>
  <sheetViews>
    <sheetView workbookViewId="0"/>
  </sheetViews>
  <sheetFormatPr baseColWidth="10" defaultRowHeight="16" x14ac:dyDescent="0.2"/>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Company_Info</vt:lpstr>
      <vt:lpstr>Portfolio_NVDA_JPM</vt:lpstr>
      <vt:lpstr>NVDA_EMA</vt:lpstr>
      <vt:lpstr>NVDA_GoldenC</vt:lpstr>
      <vt:lpstr>Sheet4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Olvera, Andrea</dc:creator>
  <cp:lastModifiedBy>Olvera, Andrea</cp:lastModifiedBy>
  <dcterms:created xsi:type="dcterms:W3CDTF">2025-10-07T00:09:25Z</dcterms:created>
  <dcterms:modified xsi:type="dcterms:W3CDTF">2025-10-11T05:41:48Z</dcterms:modified>
</cp:coreProperties>
</file>